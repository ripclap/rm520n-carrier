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ab0b4b46a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mbly BOM" sheetId="1" r:id="R70f92169f3cc4121"/>
    <x:sheet xmlns:r="http://schemas.openxmlformats.org/officeDocument/2006/relationships" name="Component costs" sheetId="2" r:id="Rf15f0f3ba2514518"/>
    <x:sheet xmlns:r="http://schemas.openxmlformats.org/officeDocument/2006/relationships" name="Order plan" sheetId="3" r:id="R65060dab82a54e6f"/>
    <x:sheet xmlns:r="http://schemas.openxmlformats.org/officeDocument/2006/relationships" name="Dated offers" sheetId="4" r:id="Rcdca4aaa050e4f59"/>
    <x:sheet xmlns:r="http://schemas.openxmlformats.org/officeDocument/2006/relationships" name="Exclusions" sheetId="5" r:id="Rb6497580e746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#,##0"/>
    <x:numFmt numFmtId="202" formatCode="0"/>
    <x:numFmt numFmtId="203" formatCode="yyyy-mm-dd hh:mm"/>
    <x:numFmt numFmtId="204" formatCode="&quot;$&quot;#,##0.00000"/>
    <x:numFmt numFmtId="205" formatCode="0.0%"/>
    <x:numFmt numFmtId="206" formatCode="&quot;$&quot;#,##0.00"/>
  </x:numFmts>
  <x:fonts count="6">
    <x:font>
      <x:sz val="11"/>
      <x:name val="Carlito"/>
    </x:font>
    <x:font>
      <x:sz val="10"/>
      <x:color rgb="FF223344"/>
      <x:name val="Arial"/>
    </x:font>
    <x:font>
      <x:b/>
      <x:sz val="14"/>
      <x:color rgb="FF213C51"/>
      <x:name val="Arial"/>
    </x:font>
    <x:font>
      <x:i/>
      <x:sz val="10"/>
      <x:color rgb="FF5B6770"/>
      <x:name val="Arial"/>
    </x:font>
    <x:font>
      <x:b/>
      <x:sz val="10"/>
      <x:color rgb="FFFFFFFF"/>
      <x:name val="Arial"/>
    </x:font>
    <x:font>
      <x:b/>
      <x:sz val="10"/>
      <x:color rgb="FF213C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51"/>
      </x:patternFill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7D1D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8A4B00"/>
      </x:font>
      <x:fill>
        <x:patternFill patternType="solid">
          <x:bgColor rgb="FFFFF2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fe1b923244e74" /><Relationship Type="http://schemas.openxmlformats.org/officeDocument/2006/relationships/theme" Target="/xl/theme/theme1.xml" Id="Rcc7a67478b3c454b" /><Relationship Type="http://schemas.microsoft.com/office/2022/11/relationships/FeaturePropertyBag" Target="/xl/featurePropertyBag/featurePropertyBag.xml" Id="R05cde1d4d55d4b1b" /><Relationship Type="http://schemas.openxmlformats.org/officeDocument/2006/relationships/sharedStrings" Target="/xl/sharedStrings.xml" Id="R213d345a67c14b22" /><Relationship Type="http://schemas.openxmlformats.org/officeDocument/2006/relationships/worksheet" Target="/xl/worksheets/sheet1.xml" Id="R70f92169f3cc4121" /><Relationship Type="http://schemas.openxmlformats.org/officeDocument/2006/relationships/worksheet" Target="/xl/worksheets/sheet2.xml" Id="Rf15f0f3ba2514518" /><Relationship Type="http://schemas.openxmlformats.org/officeDocument/2006/relationships/worksheet" Target="/xl/worksheets/sheet3.xml" Id="R65060dab82a54e6f" /><Relationship Type="http://schemas.openxmlformats.org/officeDocument/2006/relationships/worksheet" Target="/xl/worksheets/sheet4.xml" Id="Rcdca4aaa050e4f59" /><Relationship Type="http://schemas.openxmlformats.org/officeDocument/2006/relationships/worksheet" Target="/xl/worksheets/sheet5.xml" Id="Rb6497580e7464f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ssemblyParts" displayName="AssemblyParts" ref="A6:I162" headerRowCount="1" totalsRowCount="0" totalsRowShown="0">
  <x:autoFilter ref="A6:I162"/>
  <x:tableColumns count="9">
    <x:tableColumn id="1" name="MPN"/>
    <x:tableColumn id="2" name="Manufacturer"/>
    <x:tableColumn id="3" name="Qty per board"/>
    <x:tableColumn id="4" name="Design value"/>
    <x:tableColumn id="5" name="References"/>
    <x:tableColumn id="6" name="Side"/>
    <x:tableColumn id="7" name="Assembly"/>
    <x:tableColumn id="8" name="Native footprint"/>
    <x:tableColumn id="9" name="LCSC in design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3" name="OrderModels" displayName="OrderModels" ref="A6:Z630" headerRowCount="1" totalsRowCount="0" totalsRowShown="0">
  <x:autoFilter ref="A6:Z630"/>
  <x:tableColumns count="26">
    <x:tableColumn id="1" name="Case"/>
    <x:tableColumn id="2" name="MPN"/>
    <x:tableColumn id="3" name="Boards"/>
    <x:tableColumn id="4" name="Planning extra"/>
    <x:tableColumn id="5" name="Qty per board"/>
    <x:tableColumn id="6" name="Fitted qty"/>
    <x:tableColumn id="7" name="Required qty"/>
    <x:tableColumn id="8" name="Minimum qty"/>
    <x:tableColumn id="9" name="Pack multiple"/>
    <x:tableColumn id="10" name="Pack-rounded qty"/>
    <x:tableColumn id="11" name="Selected ordered qty"/>
    <x:tableColumn id="12" name="Price tier qty"/>
    <x:tableColumn id="13" name="Unit USD"/>
    <x:tableColumn id="14" name="Reel USD"/>
    <x:tableColumn id="15" name="Consumed USD"/>
    <x:tableColumn id="16" name="Required parts USD"/>
    <x:tableColumn id="17" name="Ordered USD"/>
    <x:tableColumn id="18" name="Extra units"/>
    <x:tableColumn id="19" name="Stock / allocation"/>
    <x:tableColumn id="20" name="Quantity status"/>
    <x:tableColumn id="21" name="Supplier"/>
    <x:tableColumn id="22" name="Supplier SKU"/>
    <x:tableColumn id="23" name="Observed UTC"/>
    <x:tableColumn id="24" name="PCBA only"/>
    <x:tableColumn id="25" name="Supply conditions"/>
    <x:tableColumn id="26" name="Offer 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2" name="SelectedOffers" displayName="SelectedOffers" ref="A6:O305" headerRowCount="1" totalsRowCount="0" totalsRowShown="0">
  <x:autoFilter ref="A6:O305"/>
  <x:tableColumns count="15">
    <x:tableColumn id="1" name="Offer ID"/>
    <x:tableColumn id="2" name="MPN"/>
    <x:tableColumn id="3" name="Supplier"/>
    <x:tableColumn id="4" name="Supplier SKU"/>
    <x:tableColumn id="5" name="Observed UTC"/>
    <x:tableColumn id="6" name="Minimum qty"/>
    <x:tableColumn id="7" name="Pack multiple"/>
    <x:tableColumn id="8" name="Stock / allocation"/>
    <x:tableColumn id="9" name="Price tier qty"/>
    <x:tableColumn id="10" name="Unit USD"/>
    <x:tableColumn id="11" name="Reel USD"/>
    <x:tableColumn id="12" name="Supplier lifecycle"/>
    <x:tableColumn id="13" name="Manufacturer status"/>
    <x:tableColumn id="14" name="PCBA only"/>
    <x:tableColumn id="15" name="Supply conditions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AssemblyExclusions" displayName="AssemblyExclusions" ref="A6:H31" headerRowCount="1" totalsRowCount="0" totalsRowShown="0">
  <x:autoFilter ref="A6:H31"/>
  <x:tableColumns count="8">
    <x:tableColumn id="1" name="Reference"/>
    <x:tableColumn id="2" name="Category"/>
    <x:tableColumn id="3" name="MPN"/>
    <x:tableColumn id="4" name="Manufacturer"/>
    <x:tableColumn id="5" name="Design value"/>
    <x:tableColumn id="6" name="Fitted quantity"/>
    <x:tableColumn id="7" name="Native footprint"/>
    <x:tableColumn id="8" name="Dispositi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arrier">
  <a:themeElements>
    <a:clrScheme name="Carrie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arrier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6742b5b22949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57345000ba42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465266dbb746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d8e3d7f4284442" /></Relationships>
</file>

<file path=xl/worksheets/sheet1.xml><?xml version="1.0" encoding="utf-8"?>
<x:worksheet xmlns:x="http://schemas.openxmlformats.org/spreadsheetml/2006/main">
  <x:sheetPr>
    <x:tabColor rgb="FF213C5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3" hidden="0" customWidth="1"/>
    <x:col min="2" max="2" width="29" hidden="0" customWidth="1"/>
    <x:col min="3" max="3" width="12" hidden="0" customWidth="1"/>
    <x:col min="4" max="4" width="34" hidden="0" customWidth="1"/>
    <x:col min="5" max="5" width="70" hidden="0" customWidth="1"/>
    <x:col min="6" max="6" width="10" hidden="0" customWidth="1"/>
    <x:col min="7" max="7" width="12" hidden="0" customWidth="1"/>
    <x:col min="8" max="8" width="75" hidden="0" customWidth="1"/>
    <x:col min="9" max="9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RM520N-GL carrier Rev A assembly BOM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423 fitted components and 156 part numbers. Quectel modem excluded.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4" t="str">
        <x:v>MPN</x:v>
      </x:c>
      <x:c r="B6" s="15" t="str">
        <x:v>Manufacturer</x:v>
      </x:c>
      <x:c r="C6" s="15" t="str">
        <x:v>Qty per board</x:v>
      </x:c>
      <x:c r="D6" s="15" t="str">
        <x:v>Design value</x:v>
      </x:c>
      <x:c r="E6" s="15" t="str">
        <x:v>References</x:v>
      </x:c>
      <x:c r="F6" s="15" t="str">
        <x:v>Side</x:v>
      </x:c>
      <x:c r="G6" s="15" t="str">
        <x:v>Assembly</x:v>
      </x:c>
      <x:c r="H6" s="15" t="str">
        <x:v>Native footprint</x:v>
      </x:c>
      <x:c r="I6" s="16" t="str">
        <x:v>LCSC in design</x:v>
      </x:c>
    </x:row>
    <x:row r="7" ht="30" customHeight="1">
      <x:c r="A7" s="17" t="str">
        <x:v>GRM155R71C104KA88D</x:v>
      </x:c>
      <x:c r="B7" s="20" t="str">
        <x:v>Murata</x:v>
      </x:c>
      <x:c r="C7" s="19" t="n">
        <x:v>5</x:v>
      </x:c>
      <x:c r="D7" s="20" t="str">
        <x:v>100nF 16V X7R 10%</x:v>
      </x:c>
      <x:c r="E7" s="20" t="str">
        <x:v>C36, C38, C42, C101, C102</x:v>
      </x:c>
      <x:c r="F7" s="17" t="str">
        <x:v>B, F</x:v>
      </x:c>
      <x:c r="G7" s="17" t="str">
        <x:v>SMT</x:v>
      </x:c>
      <x:c r="H7" s="20" t="str">
        <x:v>Capacitor_SMD:C_0402_1005Metric</x:v>
      </x:c>
      <x:c r="I7" s="20" t="str"/>
    </x:row>
    <x:row r="8" ht="36" customHeight="1">
      <x:c r="A8" s="17" t="str">
        <x:v>CL10B225KP8NNNC</x:v>
      </x:c>
      <x:c r="B8" s="20" t="str">
        <x:v>Samsung Electro-Mechanics</x:v>
      </x:c>
      <x:c r="C8" s="19" t="n">
        <x:v>18</x:v>
      </x:c>
      <x:c r="D8" s="20" t="str">
        <x:v>2.2uF10V X7R10%</x:v>
      </x:c>
      <x:c r="E8" s="20" t="str">
        <x:v>C32, C37, C39, C44, C45, C46, C47, C48, C49, C50, C51, C52, C54, C55, C56, C118, C119, C210</x:v>
      </x:c>
      <x:c r="F8" s="17" t="str">
        <x:v>B, F</x:v>
      </x:c>
      <x:c r="G8" s="17" t="str">
        <x:v>SMT</x:v>
      </x:c>
      <x:c r="H8" s="20" t="str">
        <x:v>Capacitor_SMD:C_0603_1608Metric; carrier:Samsung_CL10_0603_Dense100_50_890</x:v>
      </x:c>
      <x:c r="I8" s="20" t="str">
        <x:v>C100082</x:v>
      </x:c>
    </x:row>
    <x:row r="9" ht="30" customHeight="1">
      <x:c r="A9" s="17" t="str">
        <x:v>GRM1555C1H270JA01D</x:v>
      </x:c>
      <x:c r="B9" s="20" t="str">
        <x:v>Murata</x:v>
      </x:c>
      <x:c r="C9" s="19" t="n">
        <x:v>2</x:v>
      </x:c>
      <x:c r="D9" s="20" t="str">
        <x:v>27pF 50V C0G 5%</x:v>
      </x:c>
      <x:c r="E9" s="20" t="str">
        <x:v>C40, C41</x:v>
      </x:c>
      <x:c r="F9" s="17" t="str">
        <x:v>F</x:v>
      </x:c>
      <x:c r="G9" s="17" t="str">
        <x:v>SMT</x:v>
      </x:c>
      <x:c r="H9" s="20" t="str">
        <x:v>Capacitor_SMD:C_0402_1005Metric</x:v>
      </x:c>
      <x:c r="I9" s="20" t="str"/>
    </x:row>
    <x:row r="10" ht="30" customHeight="1">
      <x:c r="A10" s="17" t="str">
        <x:v>C0402C391J5GACTU</x:v>
      </x:c>
      <x:c r="B10" s="20" t="str">
        <x:v>KEMET</x:v>
      </x:c>
      <x:c r="C10" s="19" t="n">
        <x:v>1</x:v>
      </x:c>
      <x:c r="D10" s="20" t="str">
        <x:v>390pF 50V C0G 5%</x:v>
      </x:c>
      <x:c r="E10" s="20" t="str">
        <x:v>C58</x:v>
      </x:c>
      <x:c r="F10" s="17" t="str">
        <x:v>B</x:v>
      </x:c>
      <x:c r="G10" s="17" t="str">
        <x:v>SMT</x:v>
      </x:c>
      <x:c r="H10" s="20" t="str">
        <x:v>Capacitor_SMD:C_0402_1005Metric</x:v>
      </x:c>
      <x:c r="I10" s="20" t="str"/>
    </x:row>
    <x:row r="11" ht="30" customHeight="1">
      <x:c r="A11" s="17" t="str">
        <x:v>C0805C102JAGACTU</x:v>
      </x:c>
      <x:c r="B11" s="20" t="str">
        <x:v>KEMET</x:v>
      </x:c>
      <x:c r="C11" s="19" t="n">
        <x:v>2</x:v>
      </x:c>
      <x:c r="D11" s="20" t="str">
        <x:v>1nF250V C0G5%</x:v>
      </x:c>
      <x:c r="E11" s="20" t="str">
        <x:v>C59, C414</x:v>
      </x:c>
      <x:c r="F11" s="17" t="str">
        <x:v>B, F</x:v>
      </x:c>
      <x:c r="G11" s="17" t="str">
        <x:v>SMT</x:v>
      </x:c>
      <x:c r="H11" s="20" t="str">
        <x:v>Capacitor_SMD:C_0805_2012Metric</x:v>
      </x:c>
      <x:c r="I11" s="20" t="str"/>
    </x:row>
    <x:row r="12" ht="30" customHeight="1">
      <x:c r="A12" s="17" t="str">
        <x:v>RHA0J471MCN1GS</x:v>
      </x:c>
      <x:c r="B12" s="20" t="str">
        <x:v>Nichicon</x:v>
      </x:c>
      <x:c r="C12" s="19" t="n">
        <x:v>1</x:v>
      </x:c>
      <x:c r="D12" s="20" t="str">
        <x:v>470uF 6.3V polymer</x:v>
      </x:c>
      <x:c r="E12" s="20" t="str">
        <x:v>C100</x:v>
      </x:c>
      <x:c r="F12" s="17" t="str">
        <x:v>F</x:v>
      </x:c>
      <x:c r="G12" s="17" t="str">
        <x:v>SMT</x:v>
      </x:c>
      <x:c r="H12" s="20" t="str">
        <x:v>carrier:Nichicon_RHA_8x6.7_FPCAP</x:v>
      </x:c>
      <x:c r="I12" s="20" t="str"/>
    </x:row>
    <x:row r="13" ht="30" customHeight="1">
      <x:c r="A13" s="17" t="str">
        <x:v>25SVPK82M</x:v>
      </x:c>
      <x:c r="B13" s="20" t="str">
        <x:v>Panasonic</x:v>
      </x:c>
      <x:c r="C13" s="19" t="n">
        <x:v>1</x:v>
      </x:c>
      <x:c r="D13" s="20" t="str">
        <x:v>82uF 25V polymer</x:v>
      </x:c>
      <x:c r="E13" s="20" t="str">
        <x:v>C201</x:v>
      </x:c>
      <x:c r="F13" s="17" t="str">
        <x:v>F</x:v>
      </x:c>
      <x:c r="G13" s="17" t="str">
        <x:v>SMT</x:v>
      </x:c>
      <x:c r="H13" s="20" t="str">
        <x:v>Capacitor_SMD:CP_Elec_6.3x5.9</x:v>
      </x:c>
      <x:c r="I13" s="20" t="str"/>
    </x:row>
    <x:row r="14" ht="30" customHeight="1">
      <x:c r="A14" s="17" t="str">
        <x:v>CL21B105KBFNNNF</x:v>
      </x:c>
      <x:c r="B14" s="20" t="str">
        <x:v>Samsung Electro-Mechanics</x:v>
      </x:c>
      <x:c r="C14" s="19" t="n">
        <x:v>4</x:v>
      </x:c>
      <x:c r="D14" s="20" t="str">
        <x:v>1uF50V10%X7R</x:v>
      </x:c>
      <x:c r="E14" s="20" t="str">
        <x:v>C203, C710, C713, C986</x:v>
      </x:c>
      <x:c r="F14" s="17" t="str">
        <x:v>F</x:v>
      </x:c>
      <x:c r="G14" s="17" t="str">
        <x:v>SMT</x:v>
      </x:c>
      <x:c r="H14" s="20" t="str">
        <x:v>Capacitor_SMD:C_0805_2012Metric</x:v>
      </x:c>
      <x:c r="I14" s="20" t="str">
        <x:v>C16195091</x:v>
      </x:c>
    </x:row>
    <x:row r="15" ht="36" customHeight="1">
      <x:c r="A15" s="17" t="str">
        <x:v>C0805C103K1RACTU</x:v>
      </x:c>
      <x:c r="B15" s="20" t="str">
        <x:v>KEMET</x:v>
      </x:c>
      <x:c r="C15" s="19" t="n">
        <x:v>2</x:v>
      </x:c>
      <x:c r="D15" s="20" t="str">
        <x:v>10nF 100V X7R 10%</x:v>
      </x:c>
      <x:c r="E15" s="20" t="str">
        <x:v>C202, C205</x:v>
      </x:c>
      <x:c r="F15" s="17" t="str">
        <x:v>B, F</x:v>
      </x:c>
      <x:c r="G15" s="17" t="str">
        <x:v>SMT</x:v>
      </x:c>
      <x:c r="H15" s="20" t="str">
        <x:v>Capacitor_SMD:C_0805_2012Metric; carrier:C_0805_2012Metric_DenseRevA_C205</x:v>
      </x:c>
      <x:c r="I15" s="20" t="str"/>
    </x:row>
    <x:row r="16" ht="30" customHeight="1">
      <x:c r="A16" s="17" t="str">
        <x:v>C0402C102K5RACTU</x:v>
      </x:c>
      <x:c r="B16" s="20" t="str">
        <x:v>KEMET</x:v>
      </x:c>
      <x:c r="C16" s="19" t="n">
        <x:v>2</x:v>
      </x:c>
      <x:c r="D16" s="20" t="str">
        <x:v>1nF 50V X7R 10%</x:v>
      </x:c>
      <x:c r="E16" s="20" t="str">
        <x:v>C206, C987</x:v>
      </x:c>
      <x:c r="F16" s="17" t="str">
        <x:v>B, F</x:v>
      </x:c>
      <x:c r="G16" s="17" t="str">
        <x:v>SMT</x:v>
      </x:c>
      <x:c r="H16" s="20" t="str">
        <x:v>Capacitor_SMD:C_0402_1005Metric</x:v>
      </x:c>
      <x:c r="I16" s="20" t="str"/>
    </x:row>
    <x:row r="17" ht="30" customHeight="1">
      <x:c r="A17" s="17" t="str">
        <x:v>C0402C332K5RACTU</x:v>
      </x:c>
      <x:c r="B17" s="20" t="str">
        <x:v>KEMET</x:v>
      </x:c>
      <x:c r="C17" s="19" t="n">
        <x:v>1</x:v>
      </x:c>
      <x:c r="D17" s="20" t="str">
        <x:v>3.3nF 50V X7R 10%</x:v>
      </x:c>
      <x:c r="E17" s="20" t="str">
        <x:v>C207</x:v>
      </x:c>
      <x:c r="F17" s="17" t="str">
        <x:v>F</x:v>
      </x:c>
      <x:c r="G17" s="17" t="str">
        <x:v>SMT</x:v>
      </x:c>
      <x:c r="H17" s="20" t="str">
        <x:v>Capacitor_SMD:C_0402_1005Metric</x:v>
      </x:c>
      <x:c r="I17" s="20" t="str"/>
    </x:row>
    <x:row r="18" ht="30" customHeight="1">
      <x:c r="A18" s="17" t="str">
        <x:v>C0402C222K5RACTU</x:v>
      </x:c>
      <x:c r="B18" s="20" t="str">
        <x:v>KEMET</x:v>
      </x:c>
      <x:c r="C18" s="19" t="n">
        <x:v>1</x:v>
      </x:c>
      <x:c r="D18" s="20" t="str">
        <x:v>2.2nF 50V X7R 10%</x:v>
      </x:c>
      <x:c r="E18" s="20" t="str">
        <x:v>C208</x:v>
      </x:c>
      <x:c r="F18" s="17" t="str">
        <x:v>F</x:v>
      </x:c>
      <x:c r="G18" s="17" t="str">
        <x:v>SMT</x:v>
      </x:c>
      <x:c r="H18" s="20" t="str">
        <x:v>Capacitor_SMD:C_0402_1005Metric</x:v>
      </x:c>
      <x:c r="I18" s="20" t="str"/>
    </x:row>
    <x:row r="19" ht="30" customHeight="1">
      <x:c r="A19" s="17" t="str">
        <x:v>CL32B106KBJZW6E</x:v>
      </x:c>
      <x:c r="B19" s="20" t="str">
        <x:v>Samsung Electro-Mechanics</x:v>
      </x:c>
      <x:c r="C19" s="19" t="n">
        <x:v>2</x:v>
      </x:c>
      <x:c r="D19" s="20" t="str">
        <x:v>10uF 50V</x:v>
      </x:c>
      <x:c r="E19" s="20" t="str">
        <x:v>C217, C218</x:v>
      </x:c>
      <x:c r="F19" s="17" t="str">
        <x:v>B</x:v>
      </x:c>
      <x:c r="G19" s="17" t="str">
        <x:v>SMT</x:v>
      </x:c>
      <x:c r="H19" s="20" t="str">
        <x:v>Capacitor_SMD:C_1210_3225Metric</x:v>
      </x:c>
      <x:c r="I19" s="20" t="str"/>
    </x:row>
    <x:row r="20" ht="30" customHeight="1">
      <x:c r="A20" s="17" t="str">
        <x:v>CL32B476KPJNNWE</x:v>
      </x:c>
      <x:c r="B20" s="20" t="str">
        <x:v>Samsung Electro-Mechanics</x:v>
      </x:c>
      <x:c r="C20" s="19" t="n">
        <x:v>2</x:v>
      </x:c>
      <x:c r="D20" s="20" t="str">
        <x:v>47uF10V X7R10%</x:v>
      </x:c>
      <x:c r="E20" s="20" t="str">
        <x:v>C219, C983</x:v>
      </x:c>
      <x:c r="F20" s="17" t="str">
        <x:v>B</x:v>
      </x:c>
      <x:c r="G20" s="17" t="str">
        <x:v>SMT</x:v>
      </x:c>
      <x:c r="H20" s="20" t="str">
        <x:v>Capacitor_SMD:C_1210_3225Metric; carrier:RevA_Dense100_50_C983</x:v>
      </x:c>
      <x:c r="I20" s="20" t="str"/>
    </x:row>
    <x:row r="21" ht="30" customHeight="1">
      <x:c r="A21" s="17" t="str">
        <x:v>C0603C224K4RACTU</x:v>
      </x:c>
      <x:c r="B21" s="20" t="str">
        <x:v>KEMET</x:v>
      </x:c>
      <x:c r="C21" s="19" t="n">
        <x:v>1</x:v>
      </x:c>
      <x:c r="D21" s="20" t="str">
        <x:v>220nF 16V X7R 10%</x:v>
      </x:c>
      <x:c r="E21" s="20" t="str">
        <x:v>C221</x:v>
      </x:c>
      <x:c r="F21" s="17" t="str">
        <x:v>B</x:v>
      </x:c>
      <x:c r="G21" s="17" t="str">
        <x:v>SMT</x:v>
      </x:c>
      <x:c r="H21" s="20" t="str">
        <x:v>Capacitor_SMD:C_0603_1608Metric</x:v>
      </x:c>
      <x:c r="I21" s="20" t="str"/>
    </x:row>
    <x:row r="22" ht="30" customHeight="1">
      <x:c r="A22" s="17" t="str">
        <x:v>C0402C330J5GACTU</x:v>
      </x:c>
      <x:c r="B22" s="20" t="str">
        <x:v>KEMET</x:v>
      </x:c>
      <x:c r="C22" s="19" t="n">
        <x:v>1</x:v>
      </x:c>
      <x:c r="D22" s="20" t="str">
        <x:v>33pF 50V C0G 5%</x:v>
      </x:c>
      <x:c r="E22" s="20" t="str">
        <x:v>C222</x:v>
      </x:c>
      <x:c r="F22" s="17" t="str">
        <x:v>F</x:v>
      </x:c>
      <x:c r="G22" s="17" t="str">
        <x:v>SMT</x:v>
      </x:c>
      <x:c r="H22" s="20" t="str">
        <x:v>Capacitor_SMD:C_0402_1005Metric</x:v>
      </x:c>
      <x:c r="I22" s="20" t="str"/>
    </x:row>
    <x:row r="23" ht="30" customHeight="1">
      <x:c r="A23" s="17" t="str">
        <x:v>C0805C223K1RACTU</x:v>
      </x:c>
      <x:c r="B23" s="20" t="str">
        <x:v>KEMET / YAGEO</x:v>
      </x:c>
      <x:c r="C23" s="19" t="n">
        <x:v>4</x:v>
      </x:c>
      <x:c r="D23" s="20" t="str">
        <x:v>22nF 100V X7R 10%</x:v>
      </x:c>
      <x:c r="E23" s="20" t="str">
        <x:v>C410, C411, C412, C413</x:v>
      </x:c>
      <x:c r="F23" s="17" t="str">
        <x:v>B</x:v>
      </x:c>
      <x:c r="G23" s="17" t="str">
        <x:v>SMT</x:v>
      </x:c>
      <x:c r="H23" s="20" t="str">
        <x:v>Capacitor_SMD:C_0805_2012Metric</x:v>
      </x:c>
      <x:c r="I23" s="20" t="str">
        <x:v>C2178056</x:v>
      </x:c>
    </x:row>
    <x:row r="24" ht="30" customHeight="1">
      <x:c r="A24" s="17" t="str">
        <x:v>GRM188R72A104KA35D</x:v>
      </x:c>
      <x:c r="B24" s="20" t="str">
        <x:v>Murata</x:v>
      </x:c>
      <x:c r="C24" s="19" t="n">
        <x:v>3</x:v>
      </x:c>
      <x:c r="D24" s="20" t="str">
        <x:v>100nF100V</x:v>
      </x:c>
      <x:c r="E24" s="20" t="str">
        <x:v>C541, C560, C720</x:v>
      </x:c>
      <x:c r="F24" s="17" t="str">
        <x:v>B, F</x:v>
      </x:c>
      <x:c r="G24" s="17" t="str">
        <x:v>SMT</x:v>
      </x:c>
      <x:c r="H24" s="20" t="str">
        <x:v>Capacitor_SMD:C_0603_1608Metric</x:v>
      </x:c>
      <x:c r="I24" s="20" t="str"/>
    </x:row>
    <x:row r="25" ht="30" customHeight="1">
      <x:c r="A25" s="17" t="str">
        <x:v>GRM155R71E222KA01D</x:v>
      </x:c>
      <x:c r="B25" s="20" t="str">
        <x:v>Murata</x:v>
      </x:c>
      <x:c r="C25" s="19" t="n">
        <x:v>3</x:v>
      </x:c>
      <x:c r="D25" s="20" t="str">
        <x:v>2.2nF 25V</x:v>
      </x:c>
      <x:c r="E25" s="20" t="str">
        <x:v>C19, C25, C563</x:v>
      </x:c>
      <x:c r="F25" s="17" t="str">
        <x:v>B, F</x:v>
      </x:c>
      <x:c r="G25" s="17" t="str">
        <x:v>SMT</x:v>
      </x:c>
      <x:c r="H25" s="20" t="str">
        <x:v>Capacitor_SMD:C_0402_1005Metric</x:v>
      </x:c>
      <x:c r="I25" s="20" t="str"/>
    </x:row>
    <x:row r="26" ht="30" customHeight="1">
      <x:c r="A26" s="17" t="str">
        <x:v>CGA6N3X7R2A225K230AB</x:v>
      </x:c>
      <x:c r="B26" s="20" t="str">
        <x:v>TDK</x:v>
      </x:c>
      <x:c r="C26" s="19" t="n">
        <x:v>6</x:v>
      </x:c>
      <x:c r="D26" s="20" t="str">
        <x:v>2.2uF100V X7R10%</x:v>
      </x:c>
      <x:c r="E26" s="20" t="str">
        <x:v>C700, C701, C702, C703, C704, C718</x:v>
      </x:c>
      <x:c r="F26" s="17" t="str">
        <x:v>B, F</x:v>
      </x:c>
      <x:c r="G26" s="17" t="str">
        <x:v>SMT</x:v>
      </x:c>
      <x:c r="H26" s="20" t="str">
        <x:v>Capacitor_SMD:C_1210_3225Metric</x:v>
      </x:c>
      <x:c r="I26" s="20" t="str"/>
    </x:row>
    <x:row r="27" ht="50" customHeight="1">
      <x:c r="A27" s="17" t="str">
        <x:v>CL32B226KAJNNNE</x:v>
      </x:c>
      <x:c r="B27" s="20" t="str">
        <x:v>Samsung Electro-Mechanics</x:v>
      </x:c>
      <x:c r="C27" s="19" t="n">
        <x:v>25</x:v>
      </x:c>
      <x:c r="D27" s="20" t="str">
        <x:v>22uF25V X7R10%</x:v>
      </x:c>
      <x:c r="E27" s="20" t="str">
        <x:v>C18, C22, C23, C24, C28, C29, C30, C31, C33, C43, C53, C57, C220, C223, C550, C551, C553, C554, C555, C561, C705, C706, C707, C708, C709</x:v>
      </x:c>
      <x:c r="F27" s="17" t="str">
        <x:v>B, F</x:v>
      </x:c>
      <x:c r="G27" s="17" t="str">
        <x:v>SMT</x:v>
      </x:c>
      <x:c r="H27" s="20" t="str">
        <x:v>Capacitor_SMD:C_1210_3225Metric</x:v>
      </x:c>
      <x:c r="I27" s="20" t="str">
        <x:v>C309062</x:v>
      </x:c>
    </x:row>
    <x:row r="28" ht="30" customHeight="1">
      <x:c r="A28" s="17" t="str">
        <x:v>C0805C475K4RACTU</x:v>
      </x:c>
      <x:c r="B28" s="20" t="str">
        <x:v>KEMET</x:v>
      </x:c>
      <x:c r="C28" s="19" t="n">
        <x:v>2</x:v>
      </x:c>
      <x:c r="D28" s="20" t="str">
        <x:v>4.7uF16V10%X7R</x:v>
      </x:c>
      <x:c r="E28" s="20" t="str">
        <x:v>C711, C982</x:v>
      </x:c>
      <x:c r="F28" s="17" t="str">
        <x:v>B, F</x:v>
      </x:c>
      <x:c r="G28" s="17" t="str">
        <x:v>SMT</x:v>
      </x:c>
      <x:c r="H28" s="20" t="str">
        <x:v>Capacitor_SMD:C_0805_2012Metric</x:v>
      </x:c>
      <x:c r="I28" s="20" t="str"/>
    </x:row>
    <x:row r="29" ht="30" customHeight="1">
      <x:c r="A29" s="17" t="str">
        <x:v>C0402C220J5GACTU</x:v>
      </x:c>
      <x:c r="B29" s="20" t="str">
        <x:v>KEMET</x:v>
      </x:c>
      <x:c r="C29" s="19" t="n">
        <x:v>1</x:v>
      </x:c>
      <x:c r="D29" s="20" t="str">
        <x:v>22pF50V5%C0G</x:v>
      </x:c>
      <x:c r="E29" s="20" t="str">
        <x:v>C716</x:v>
      </x:c>
      <x:c r="F29" s="17" t="str">
        <x:v>F</x:v>
      </x:c>
      <x:c r="G29" s="17" t="str">
        <x:v>SMT</x:v>
      </x:c>
      <x:c r="H29" s="20" t="str">
        <x:v>Capacitor_SMD:C_0402_1005Metric</x:v>
      </x:c>
      <x:c r="I29" s="20" t="str"/>
    </x:row>
    <x:row r="30" ht="30" customHeight="1">
      <x:c r="A30" s="17" t="str">
        <x:v>GRM31C5C1H224JE02L</x:v>
      </x:c>
      <x:c r="B30" s="20" t="str">
        <x:v>Murata</x:v>
      </x:c>
      <x:c r="C30" s="19" t="n">
        <x:v>1</x:v>
      </x:c>
      <x:c r="D30" s="20" t="str">
        <x:v>220nF50VC0G5%</x:v>
      </x:c>
      <x:c r="E30" s="20" t="str">
        <x:v>C721</x:v>
      </x:c>
      <x:c r="F30" s="17" t="str">
        <x:v>F</x:v>
      </x:c>
      <x:c r="G30" s="17" t="str">
        <x:v>SMT</x:v>
      </x:c>
      <x:c r="H30" s="20" t="str">
        <x:v>Input187:C1206</x:v>
      </x:c>
      <x:c r="I30" s="20" t="str"/>
    </x:row>
    <x:row r="31" ht="30" customHeight="1">
      <x:c r="A31" s="17" t="str">
        <x:v>UHW2A330MPD</x:v>
      </x:c>
      <x:c r="B31" s="20" t="str">
        <x:v>Nichicon</x:v>
      </x:c>
      <x:c r="C31" s="19" t="n">
        <x:v>1</x:v>
      </x:c>
      <x:c r="D31" s="20" t="str">
        <x:v>33uF100V20%950mArms</x:v>
      </x:c>
      <x:c r="E31" s="20" t="str">
        <x:v>C725</x:v>
      </x:c>
      <x:c r="F31" s="17" t="str">
        <x:v>F</x:v>
      </x:c>
      <x:c r="G31" s="17" t="str">
        <x:v>THT</x:v>
      </x:c>
      <x:c r="H31" s="20" t="str">
        <x:v>carrier:Nichicon_UHW2A330MPD_Radial_D8_P3.5</x:v>
      </x:c>
      <x:c r="I31" s="20" t="str"/>
    </x:row>
    <x:row r="32" ht="30" customHeight="1">
      <x:c r="A32" s="21" t="str">
        <x:v>885012206026</x:v>
      </x:c>
      <x:c r="B32" s="20" t="str">
        <x:v>Wurth Elektronik</x:v>
      </x:c>
      <x:c r="C32" s="19" t="n">
        <x:v>3</x:v>
      </x:c>
      <x:c r="D32" s="20" t="str">
        <x:v>1uF 10V X7R</x:v>
      </x:c>
      <x:c r="E32" s="20" t="str">
        <x:v>C800, C805, C808</x:v>
      </x:c>
      <x:c r="F32" s="17" t="str">
        <x:v>B</x:v>
      </x:c>
      <x:c r="G32" s="17" t="str">
        <x:v>SMT</x:v>
      </x:c>
      <x:c r="H32" s="20" t="str">
        <x:v>Capacitor_SMD:C_0603_1608Metric</x:v>
      </x:c>
      <x:c r="I32" s="20" t="str"/>
    </x:row>
    <x:row r="33" ht="30" customHeight="1">
      <x:c r="A33" s="21" t="str">
        <x:v>885012207026</x:v>
      </x:c>
      <x:c r="B33" s="20" t="str">
        <x:v>Wurth Elektronik</x:v>
      </x:c>
      <x:c r="C33" s="19" t="n">
        <x:v>3</x:v>
      </x:c>
      <x:c r="D33" s="20" t="str">
        <x:v>10uF 10V X7R</x:v>
      </x:c>
      <x:c r="E33" s="20" t="str">
        <x:v>C558, C806, C810</x:v>
      </x:c>
      <x:c r="F33" s="17" t="str">
        <x:v>B, F</x:v>
      </x:c>
      <x:c r="G33" s="17" t="str">
        <x:v>SMT</x:v>
      </x:c>
      <x:c r="H33" s="20" t="str">
        <x:v>Capacitor_SMD:C_0805_2012Metric</x:v>
      </x:c>
      <x:c r="I33" s="20" t="str"/>
    </x:row>
    <x:row r="34" ht="92" customHeight="1">
      <x:c r="A34" s="17" t="str">
        <x:v>CL05B104KB5NNNC</x:v>
      </x:c>
      <x:c r="B34" s="20" t="str">
        <x:v>Samsung Electro-Mechanics</x:v>
      </x:c>
      <x:c r="C34" s="19" t="n">
        <x:v>59</x:v>
      </x:c>
      <x:c r="D34" s="20" t="str">
        <x:v>100nF 50V X7R10%</x:v>
      </x:c>
      <x:c r="E34" s="20" t="str">
        <x:v>C20, C21, C26, C27, C34, C35, C110, C114, C115, C116, C117, C120, C121, C122, C123, C124, C125, C204, C209, C216, C225, C226, C552, C712, C741, C742, C745, C746, C747, C750, C751, C753, C760, C761, C762, C763, C764, C765, C766, C767, C801, C802, C803, C804, C807, C809, C811, C812, C813, C814, C817, C840, C902, C903, C906, C908, C984, C985, C989</x:v>
      </x:c>
      <x:c r="F34" s="17" t="str">
        <x:v>B, F</x:v>
      </x:c>
      <x:c r="G34" s="17" t="str">
        <x:v>SMT</x:v>
      </x:c>
      <x:c r="H34" s="20" t="str">
        <x:v>Capacitor_SMD:C_0402_1005Metric; carrier:C_0402_1005Metric_DenseRevA_C809; carrier:RevA_Dense100_50_C120</x:v>
      </x:c>
      <x:c r="I34" s="20" t="str">
        <x:v>C960916</x:v>
      </x:c>
    </x:row>
    <x:row r="35" ht="30" customHeight="1">
      <x:c r="A35" s="17" t="str">
        <x:v>KGM05ACG1H150FH</x:v>
      </x:c>
      <x:c r="B35" s="20" t="str">
        <x:v>KYOCERA AVX</x:v>
      </x:c>
      <x:c r="C35" s="19" t="n">
        <x:v>2</x:v>
      </x:c>
      <x:c r="D35" s="20" t="str">
        <x:v>15pF C0G 1%</x:v>
      </x:c>
      <x:c r="E35" s="20" t="str">
        <x:v>C815, C816</x:v>
      </x:c>
      <x:c r="F35" s="17" t="str">
        <x:v>B</x:v>
      </x:c>
      <x:c r="G35" s="17" t="str">
        <x:v>SMT</x:v>
      </x:c>
      <x:c r="H35" s="20" t="str">
        <x:v>Capacitor_SMD:C_0402_1005Metric</x:v>
      </x:c>
      <x:c r="I35" s="20" t="str"/>
    </x:row>
    <x:row r="36" ht="30" customHeight="1">
      <x:c r="A36" s="17" t="str">
        <x:v>GRM31C5C2A683JA01L</x:v>
      </x:c>
      <x:c r="B36" s="20" t="str">
        <x:v>Murata</x:v>
      </x:c>
      <x:c r="C36" s="19" t="n">
        <x:v>1</x:v>
      </x:c>
      <x:c r="D36" s="20" t="str">
        <x:v>68nF100VC0G5%</x:v>
      </x:c>
      <x:c r="E36" s="20" t="str">
        <x:v>C988</x:v>
      </x:c>
      <x:c r="F36" s="17" t="str">
        <x:v>B</x:v>
      </x:c>
      <x:c r="G36" s="17" t="str">
        <x:v>SMT</x:v>
      </x:c>
      <x:c r="H36" s="20" t="str">
        <x:v>Input187:C1206</x:v>
      </x:c>
      <x:c r="I36" s="20" t="str"/>
    </x:row>
    <x:row r="37" ht="36" customHeight="1">
      <x:c r="A37" s="17" t="str">
        <x:v>DABS2100-13</x:v>
      </x:c>
      <x:c r="B37" s="20" t="str">
        <x:v>Diodes Incorporated</x:v>
      </x:c>
      <x:c r="C37" s="19" t="n">
        <x:v>2</x:v>
      </x:c>
      <x:c r="D37" s="20" t="str">
        <x:v>DABS2100-13 100V2A Schottkybridge</x:v>
      </x:c>
      <x:c r="E37" s="20" t="str">
        <x:v>D1, D2</x:v>
      </x:c>
      <x:c r="F37" s="17" t="str">
        <x:v>B</x:v>
      </x:c>
      <x:c r="G37" s="17" t="str">
        <x:v>SMT</x:v>
      </x:c>
      <x:c r="H37" s="20" t="str">
        <x:v>carrier:Diodes_DABS2100_ABS_4_SMD</x:v>
      </x:c>
      <x:c r="I37" s="20" t="str"/>
    </x:row>
    <x:row r="38" ht="30" customHeight="1">
      <x:c r="A38" s="17" t="str">
        <x:v>SMBJ13A</x:v>
      </x:c>
      <x:c r="B38" s="20" t="str">
        <x:v>Littelfuse</x:v>
      </x:c>
      <x:c r="C38" s="19" t="n">
        <x:v>1</x:v>
      </x:c>
      <x:c r="D38" s="20" t="str">
        <x:v>SMBJ13A</x:v>
      </x:c>
      <x:c r="E38" s="20" t="str">
        <x:v>D6</x:v>
      </x:c>
      <x:c r="F38" s="17" t="str">
        <x:v>F</x:v>
      </x:c>
      <x:c r="G38" s="17" t="str">
        <x:v>SMT</x:v>
      </x:c>
      <x:c r="H38" s="20" t="str">
        <x:v>Diode_SMD:D_SMB</x:v>
      </x:c>
      <x:c r="I38" s="20" t="str"/>
    </x:row>
    <x:row r="39" ht="30" customHeight="1">
      <x:c r="A39" s="17" t="str">
        <x:v>LTST-C190KGKT</x:v>
      </x:c>
      <x:c r="B39" s="20" t="str">
        <x:v>Lite-On</x:v>
      </x:c>
      <x:c r="C39" s="19" t="n">
        <x:v>2</x:v>
      </x:c>
      <x:c r="D39" s="20" t="str">
        <x:v>LTST-C190KGKT green</x:v>
      </x:c>
      <x:c r="E39" s="20" t="str">
        <x:v>D7, D210</x:v>
      </x:c>
      <x:c r="F39" s="17" t="str">
        <x:v>B, F</x:v>
      </x:c>
      <x:c r="G39" s="17" t="str">
        <x:v>SMT</x:v>
      </x:c>
      <x:c r="H39" s="20" t="str">
        <x:v>LED_SMD:LED_0603_1608Metric</x:v>
      </x:c>
      <x:c r="I39" s="20" t="str"/>
    </x:row>
    <x:row r="40" ht="30" customHeight="1">
      <x:c r="A40" s="17" t="str">
        <x:v>MMSZ5240B-7-F</x:v>
      </x:c>
      <x:c r="B40" s="20" t="str">
        <x:v>Diodes Incorporated</x:v>
      </x:c>
      <x:c r="C40" s="19" t="n">
        <x:v>1</x:v>
      </x:c>
      <x:c r="D40" s="20" t="str">
        <x:v>10V gate clamp</x:v>
      </x:c>
      <x:c r="E40" s="20" t="str">
        <x:v>D80</x:v>
      </x:c>
      <x:c r="F40" s="17" t="str">
        <x:v>F</x:v>
      </x:c>
      <x:c r="G40" s="17" t="str">
        <x:v>SMT</x:v>
      </x:c>
      <x:c r="H40" s="20" t="str">
        <x:v>Diode_SMD:D_SOD-123</x:v>
      </x:c>
      <x:c r="I40" s="20" t="str"/>
    </x:row>
    <x:row r="41" ht="30" customHeight="1">
      <x:c r="A41" s="17" t="str">
        <x:v>LTST-C190KSKT</x:v>
      </x:c>
      <x:c r="B41" s="20" t="str">
        <x:v>Lite-On</x:v>
      </x:c>
      <x:c r="C41" s="19" t="n">
        <x:v>1</x:v>
      </x:c>
      <x:c r="D41" s="20" t="str">
        <x:v>LTST-C190KSKT yellow</x:v>
      </x:c>
      <x:c r="E41" s="20" t="str">
        <x:v>D211</x:v>
      </x:c>
      <x:c r="F41" s="17" t="str">
        <x:v>B</x:v>
      </x:c>
      <x:c r="G41" s="17" t="str">
        <x:v>SMT</x:v>
      </x:c>
      <x:c r="H41" s="20" t="str">
        <x:v>LED_SMD:LED_0603_1608Metric</x:v>
      </x:c>
      <x:c r="I41" s="20" t="str"/>
    </x:row>
    <x:row r="42" ht="30" customHeight="1">
      <x:c r="A42" s="17" t="str">
        <x:v>SMCJ51A-E3/57T</x:v>
      </x:c>
      <x:c r="B42" s="20" t="str">
        <x:v>Vishay</x:v>
      </x:c>
      <x:c r="C42" s="19" t="n">
        <x:v>2</x:v>
      </x:c>
      <x:c r="D42" s="20" t="str">
        <x:v>SMCJ51A51Vstandoff1500Wpulse</x:v>
      </x:c>
      <x:c r="E42" s="20" t="str">
        <x:v>D700, D706</x:v>
      </x:c>
      <x:c r="F42" s="17" t="str">
        <x:v>B</x:v>
      </x:c>
      <x:c r="G42" s="17" t="str">
        <x:v>SMT</x:v>
      </x:c>
      <x:c r="H42" s="20" t="str">
        <x:v>Diode_SMD:D_SMC</x:v>
      </x:c>
      <x:c r="I42" s="20" t="str"/>
    </x:row>
    <x:row r="43" ht="30" customHeight="1">
      <x:c r="A43" s="17" t="str">
        <x:v>BZT52C6V2-7-F</x:v>
      </x:c>
      <x:c r="B43" s="20" t="str">
        <x:v>Diodes Incorporated</x:v>
      </x:c>
      <x:c r="C43" s="19" t="n">
        <x:v>1</x:v>
      </x:c>
      <x:c r="D43" s="20" t="str">
        <x:v>6.2V Zener500mW</x:v>
      </x:c>
      <x:c r="E43" s="20" t="str">
        <x:v>D701</x:v>
      </x:c>
      <x:c r="F43" s="17" t="str">
        <x:v>F</x:v>
      </x:c>
      <x:c r="G43" s="17" t="str">
        <x:v>SMT</x:v>
      </x:c>
      <x:c r="H43" s="20" t="str">
        <x:v>Diode_SMD:D_SOD-123</x:v>
      </x:c>
      <x:c r="I43" s="20" t="str"/>
    </x:row>
    <x:row r="44" ht="30" customHeight="1">
      <x:c r="A44" s="17" t="str">
        <x:v>TVS0500DRVR</x:v>
      </x:c>
      <x:c r="B44" s="20" t="str">
        <x:v>Texas Instruments</x:v>
      </x:c>
      <x:c r="C44" s="19" t="n">
        <x:v>1</x:v>
      </x:c>
      <x:c r="D44" s="20" t="str">
        <x:v>5Vfloatinggate-sourceclamp</x:v>
      </x:c>
      <x:c r="E44" s="20" t="str">
        <x:v>D704</x:v>
      </x:c>
      <x:c r="F44" s="17" t="str">
        <x:v>F</x:v>
      </x:c>
      <x:c r="G44" s="17" t="str">
        <x:v>SMT</x:v>
      </x:c>
      <x:c r="H44" s="20" t="str">
        <x:v>Input187:TI_DRV0006A_TVS0500_PRIMARY</x:v>
      </x:c>
      <x:c r="I44" s="20" t="str"/>
    </x:row>
    <x:row r="45" ht="30" customHeight="1">
      <x:c r="A45" s="17" t="str">
        <x:v>S1B-13-F</x:v>
      </x:c>
      <x:c r="B45" s="20" t="str">
        <x:v>Diodes Incorporated</x:v>
      </x:c>
      <x:c r="C45" s="19" t="n">
        <x:v>1</x:v>
      </x:c>
      <x:c r="D45" s="20" t="str">
        <x:v>100V1AsiliconOUTnegativeclamp</x:v>
      </x:c>
      <x:c r="E45" s="20" t="str">
        <x:v>D705</x:v>
      </x:c>
      <x:c r="F45" s="17" t="str">
        <x:v>F</x:v>
      </x:c>
      <x:c r="G45" s="17" t="str">
        <x:v>SMT</x:v>
      </x:c>
      <x:c r="H45" s="20" t="str">
        <x:v>carrier:Diodes_S1B_SMA_PRIMARY</x:v>
      </x:c>
      <x:c r="I45" s="20" t="str"/>
    </x:row>
    <x:row r="46" ht="30" customHeight="1">
      <x:c r="A46" s="17" t="str">
        <x:v>F1206HI4000V032TM</x:v>
      </x:c>
      <x:c r="B46" s="20" t="str">
        <x:v>AEM</x:v>
      </x:c>
      <x:c r="C46" s="19" t="n">
        <x:v>1</x:v>
      </x:c>
      <x:c r="D46" s="20" t="str">
        <x:v>4A 32VDC high-inrush fuse</x:v>
      </x:c>
      <x:c r="E46" s="20" t="str">
        <x:v>F1</x:v>
      </x:c>
      <x:c r="F46" s="17" t="str">
        <x:v>F</x:v>
      </x:c>
      <x:c r="G46" s="17" t="str">
        <x:v>SMT</x:v>
      </x:c>
      <x:c r="H46" s="20" t="str">
        <x:v>carrier:AEM_F1206HI_1206</x:v>
      </x:c>
      <x:c r="I46" s="20" t="str">
        <x:v>C246771</x:v>
      </x:c>
    </x:row>
    <x:row r="47" ht="30" customHeight="1">
      <x:c r="A47" s="17" t="str">
        <x:v>0451002.MRL</x:v>
      </x:c>
      <x:c r="B47" s="20" t="str">
        <x:v>Littelfuse</x:v>
      </x:c>
      <x:c r="C47" s="19" t="n">
        <x:v>1</x:v>
      </x:c>
      <x:c r="D47" s="20" t="str">
        <x:v>2A125V fast fuse</x:v>
      </x:c>
      <x:c r="E47" s="20" t="str">
        <x:v>F700</x:v>
      </x:c>
      <x:c r="F47" s="17" t="str">
        <x:v>F</x:v>
      </x:c>
      <x:c r="G47" s="17" t="str">
        <x:v>SMT</x:v>
      </x:c>
      <x:c r="H47" s="20" t="str">
        <x:v>carrier:Littelfuse_451_6.1x2.69</x:v>
      </x:c>
      <x:c r="I47" s="20" t="str"/>
    </x:row>
    <x:row r="48" ht="30" customHeight="1">
      <x:c r="A48" s="17" t="str">
        <x:v>BLM18PG330SN1D</x:v>
      </x:c>
      <x:c r="B48" s="20" t="str">
        <x:v>Murata</x:v>
      </x:c>
      <x:c r="C48" s="19" t="n">
        <x:v>1</x:v>
      </x:c>
      <x:c r="D48" s="20" t="str">
        <x:v>33R@100MHz 3A</x:v>
      </x:c>
      <x:c r="E48" s="20" t="str">
        <x:v>FB1</x:v>
      </x:c>
      <x:c r="F48" s="17" t="str">
        <x:v>B</x:v>
      </x:c>
      <x:c r="G48" s="17" t="str">
        <x:v>SMT</x:v>
      </x:c>
      <x:c r="H48" s="20" t="str">
        <x:v>Inductor_SMD:L_0603_1608Metric</x:v>
      </x:c>
      <x:c r="I48" s="20" t="str"/>
    </x:row>
    <x:row r="49" ht="30" customHeight="1">
      <x:c r="A49" s="17" t="str">
        <x:v>9774025243R</x:v>
      </x:c>
      <x:c r="B49" s="20" t="str">
        <x:v>Würth Elektronik</x:v>
      </x:c>
      <x:c r="C49" s="19" t="n">
        <x:v>1</x:v>
      </x:c>
      <x:c r="D49" s="20" t="str">
        <x:v>M2 SMT support 2.5mm 9774025243R</x:v>
      </x:c>
      <x:c r="E49" s="20" t="str">
        <x:v>H1</x:v>
      </x:c>
      <x:c r="F49" s="17" t="str">
        <x:v>F</x:v>
      </x:c>
      <x:c r="G49" s="17" t="str">
        <x:v>SMT</x:v>
      </x:c>
      <x:c r="H49" s="20" t="str">
        <x:v>carrier:Wurth_9774025243R_M2_H2p5</x:v>
      </x:c>
      <x:c r="I49" s="20" t="str"/>
    </x:row>
    <x:row r="50" ht="36" customHeight="1">
      <x:c r="A50" s="17" t="str">
        <x:v>SS-7188S-A-NF</x:v>
      </x:c>
      <x:c r="B50" s="20" t="str">
        <x:v>Stewart Connector / Cinch Connectivity Solutions</x:v>
      </x:c>
      <x:c r="C50" s="19" t="n">
        <x:v>1</x:v>
      </x:c>
      <x:c r="D50" s="20" t="str">
        <x:v>SS-7188S-A-NF shielded8P8C Cat5e</x:v>
      </x:c>
      <x:c r="E50" s="20" t="str">
        <x:v>J1</x:v>
      </x:c>
      <x:c r="F50" s="17" t="str">
        <x:v>F</x:v>
      </x:c>
      <x:c r="G50" s="17" t="str">
        <x:v>THT</x:v>
      </x:c>
      <x:c r="H50" s="20" t="str">
        <x:v>carrier:Stewart_SS_7188S_A_NF_ComponentSideCorrected</x:v>
      </x:c>
      <x:c r="I50" s="20" t="str"/>
    </x:row>
    <x:row r="51" ht="30" customHeight="1">
      <x:c r="A51" s="17" t="str">
        <x:v>B2B-XH-A(LF)(SN)</x:v>
      </x:c>
      <x:c r="B51" s="20" t="str">
        <x:v>JST</x:v>
      </x:c>
      <x:c r="C51" s="19" t="n">
        <x:v>1</x:v>
      </x:c>
      <x:c r="D51" s="20" t="str">
        <x:v>DC 12V +/-5% 3A</x:v>
      </x:c>
      <x:c r="E51" s="20" t="str">
        <x:v>J2</x:v>
      </x:c>
      <x:c r="F51" s="17" t="str">
        <x:v>F</x:v>
      </x:c>
      <x:c r="G51" s="17" t="str">
        <x:v>THT</x:v>
      </x:c>
      <x:c r="H51" s="20" t="str">
        <x:v>Connector_JST:JST_XH_B2B-XH-A_1x02_P2.50mm_Vertical</x:v>
      </x:c>
      <x:c r="I51" s="20" t="str"/>
    </x:row>
    <x:row r="52" ht="30" customHeight="1">
      <x:c r="A52" s="17" t="str">
        <x:v>123A-42B02</x:v>
      </x:c>
      <x:c r="B52" s="20" t="str">
        <x:v>ATTEND Technology</x:v>
      </x:c>
      <x:c r="C52" s="19" t="n">
        <x:v>1</x:v>
      </x:c>
      <x:c r="D52" s="20" t="str">
        <x:v>123A-42B02 KeyB4.2mm1A</x:v>
      </x:c>
      <x:c r="E52" s="20" t="str">
        <x:v>J3</x:v>
      </x:c>
      <x:c r="F52" s="17" t="str">
        <x:v>F</x:v>
      </x:c>
      <x:c r="G52" s="17" t="str">
        <x:v>SMT</x:v>
      </x:c>
      <x:c r="H52" s="20" t="str">
        <x:v>carrier:M2_ATTEND_123A_42B02_CardMinusY</x:v>
      </x:c>
      <x:c r="I52" s="20" t="str"/>
    </x:row>
    <x:row r="53" ht="30" customHeight="1">
      <x:c r="A53" s="17" t="str">
        <x:v>SIM8066-6-1-14-01-A</x:v>
      </x:c>
      <x:c r="B53" s="20" t="str">
        <x:v>GCT</x:v>
      </x:c>
      <x:c r="C53" s="19" t="n">
        <x:v>1</x:v>
      </x:c>
      <x:c r="D53" s="20" t="str">
        <x:v>SIM8066-6-1-14-01-A</x:v>
      </x:c>
      <x:c r="E53" s="20" t="str">
        <x:v>J4</x:v>
      </x:c>
      <x:c r="F53" s="17" t="str">
        <x:v>B</x:v>
      </x:c>
      <x:c r="G53" s="17" t="str">
        <x:v>SMT</x:v>
      </x:c>
      <x:c r="H53" s="20" t="str">
        <x:v>carrier:nanoSIM_GCT_SIM8066-6-1-14-01-A_RevB</x:v>
      </x:c>
      <x:c r="I53" s="20" t="str"/>
    </x:row>
    <x:row r="54" ht="30" customHeight="1">
      <x:c r="A54" s="17" t="str">
        <x:v>TYPE-C-31-M-12</x:v>
      </x:c>
      <x:c r="B54" s="20" t="str">
        <x:v>HRO</x:v>
      </x:c>
      <x:c r="C54" s="19" t="n">
        <x:v>1</x:v>
      </x:c>
      <x:c r="D54" s="20" t="str">
        <x:v>TYPE-C-31-M-12</x:v>
      </x:c>
      <x:c r="E54" s="20" t="str">
        <x:v>J5</x:v>
      </x:c>
      <x:c r="F54" s="17" t="str">
        <x:v>F</x:v>
      </x:c>
      <x:c r="G54" s="17" t="str">
        <x:v>SMT</x:v>
      </x:c>
      <x:c r="H54" s="20" t="str">
        <x:v>carrier:USB_C_HRO_TYPE-C-31-M-12_20201208</x:v>
      </x:c>
      <x:c r="I54" s="20" t="str"/>
    </x:row>
    <x:row r="55" ht="30" customHeight="1">
      <x:c r="A55" s="17" t="str">
        <x:v>U.FL-R-SMT-1(80)</x:v>
      </x:c>
      <x:c r="B55" s="20" t="str">
        <x:v>Hirose</x:v>
      </x:c>
      <x:c r="C55" s="19" t="n">
        <x:v>1</x:v>
      </x:c>
      <x:c r="D55" s="20" t="str">
        <x:v>915MHz antenna</x:v>
      </x:c>
      <x:c r="E55" s="20" t="str">
        <x:v>J801</x:v>
      </x:c>
      <x:c r="F55" s="17" t="str">
        <x:v>F</x:v>
      </x:c>
      <x:c r="G55" s="17" t="str">
        <x:v>SMT</x:v>
      </x:c>
      <x:c r="H55" s="20" t="str">
        <x:v>carrier:UFL_HIROSE_DenseRevA_J801</x:v>
      </x:c>
      <x:c r="I55" s="20" t="str"/>
    </x:row>
    <x:row r="56" ht="30" customHeight="1">
      <x:c r="A56" s="17" t="str">
        <x:v>DLW5BTM102TQ2L</x:v>
      </x:c>
      <x:c r="B56" s="20" t="str">
        <x:v>Murata</x:v>
      </x:c>
      <x:c r="C56" s="19" t="n">
        <x:v>1</x:v>
      </x:c>
      <x:c r="D56" s="20" t="str">
        <x:v>DLW5BTM102TQ2L100V2Ahot</x:v>
      </x:c>
      <x:c r="E56" s="20" t="str">
        <x:v>L700</x:v>
      </x:c>
      <x:c r="F56" s="17" t="str">
        <x:v>F</x:v>
      </x:c>
      <x:c r="G56" s="17" t="str">
        <x:v>SMT</x:v>
      </x:c>
      <x:c r="H56" s="20" t="str">
        <x:v>carrier:Murata_DLW5BTM102TQ2L_4_SMD</x:v>
      </x:c>
      <x:c r="I56" s="20" t="str"/>
    </x:row>
    <x:row r="57" ht="30" customHeight="1">
      <x:c r="A57" s="17" t="str">
        <x:v>SRP1265A-220M</x:v>
      </x:c>
      <x:c r="B57" s="20" t="str">
        <x:v>Bourns</x:v>
      </x:c>
      <x:c r="C57" s="19" t="n">
        <x:v>1</x:v>
      </x:c>
      <x:c r="D57" s="20" t="str">
        <x:v>22uH20% shielded9Arms12AIsat</x:v>
      </x:c>
      <x:c r="E57" s="20" t="str">
        <x:v>L701</x:v>
      </x:c>
      <x:c r="F57" s="17" t="str">
        <x:v>F</x:v>
      </x:c>
      <x:c r="G57" s="17" t="str">
        <x:v>SMT</x:v>
      </x:c>
      <x:c r="H57" s="20" t="str">
        <x:v>carrier:BOURNS_SRP1265A_LEAD_FRAME</x:v>
      </x:c>
      <x:c r="I57" s="20" t="str"/>
    </x:row>
    <x:row r="58" ht="30" customHeight="1">
      <x:c r="A58" s="17" t="str">
        <x:v>SRP5030TA-2R2M</x:v>
      </x:c>
      <x:c r="B58" s="20" t="str">
        <x:v>Bourns</x:v>
      </x:c>
      <x:c r="C58" s="19" t="n">
        <x:v>4</x:v>
      </x:c>
      <x:c r="D58" s="20" t="str">
        <x:v>2.2uH 5.5A</x:v>
      </x:c>
      <x:c r="E58" s="20" t="str">
        <x:v>L3, L4, L520, L702</x:v>
      </x:c>
      <x:c r="F58" s="17" t="str">
        <x:v>F</x:v>
      </x:c>
      <x:c r="G58" s="17" t="str">
        <x:v>SMT</x:v>
      </x:c>
      <x:c r="H58" s="20" t="str">
        <x:v>Inductor_SMD:L_Bourns_SRP5030T</x:v>
      </x:c>
      <x:c r="I58" s="20" t="str"/>
    </x:row>
    <x:row r="59" ht="30" customHeight="1">
      <x:c r="A59" s="17" t="str">
        <x:v>LQW15AN24NH00D</x:v>
      </x:c>
      <x:c r="B59" s="20" t="str">
        <x:v>Murata</x:v>
      </x:c>
      <x:c r="C59" s="19" t="n">
        <x:v>1</x:v>
      </x:c>
      <x:c r="D59" s="20" t="str">
        <x:v>24nH ±3%</x:v>
      </x:c>
      <x:c r="E59" s="20" t="str">
        <x:v>L800</x:v>
      </x:c>
      <x:c r="F59" s="17" t="str">
        <x:v>B</x:v>
      </x:c>
      <x:c r="G59" s="17" t="str">
        <x:v>SMT</x:v>
      </x:c>
      <x:c r="H59" s="20" t="str">
        <x:v>carrier:Murata_LQW15AN_0402_Manufacturer_DenseRevA_L800</x:v>
      </x:c>
      <x:c r="I59" s="20" t="str"/>
    </x:row>
    <x:row r="60" ht="30" customHeight="1">
      <x:c r="A60" s="17" t="str">
        <x:v>SRP6030CA-2R2M</x:v>
      </x:c>
      <x:c r="B60" s="20" t="str">
        <x:v>Bourns</x:v>
      </x:c>
      <x:c r="C60" s="19" t="n">
        <x:v>1</x:v>
      </x:c>
      <x:c r="D60" s="20" t="str">
        <x:v>2.2uH 20%</x:v>
      </x:c>
      <x:c r="E60" s="20" t="str">
        <x:v>L981</x:v>
      </x:c>
      <x:c r="F60" s="17" t="str">
        <x:v>B</x:v>
      </x:c>
      <x:c r="G60" s="17" t="str">
        <x:v>SMT</x:v>
      </x:c>
      <x:c r="H60" s="20" t="str">
        <x:v>carrier:RevA_Dense100_50_L981</x:v>
      </x:c>
      <x:c r="I60" s="20" t="str"/>
    </x:row>
    <x:row r="61" ht="30" customHeight="1">
      <x:c r="A61" s="17" t="str">
        <x:v>DMPH3010LK3-13</x:v>
      </x:c>
      <x:c r="B61" s="20" t="str">
        <x:v>Diodes Incorporated</x:v>
      </x:c>
      <x:c r="C61" s="19" t="n">
        <x:v>1</x:v>
      </x:c>
      <x:c r="D61" s="20" t="str">
        <x:v>DMPH3010LK3-13</x:v>
      </x:c>
      <x:c r="E61" s="20" t="str">
        <x:v>Q1</x:v>
      </x:c>
      <x:c r="F61" s="17" t="str">
        <x:v>F</x:v>
      </x:c>
      <x:c r="G61" s="17" t="str">
        <x:v>SMT</x:v>
      </x:c>
      <x:c r="H61" s="20" t="str">
        <x:v>carrier:Diodes_TO252_DMPH3010LK3</x:v>
      </x:c>
      <x:c r="I61" s="20" t="str"/>
    </x:row>
    <x:row r="62" ht="30" customHeight="1">
      <x:c r="A62" s="17" t="str">
        <x:v>PSMN015-100YLX</x:v>
      </x:c>
      <x:c r="B62" s="20" t="str">
        <x:v>Nexperia</x:v>
      </x:c>
      <x:c r="C62" s="19" t="n">
        <x:v>1</x:v>
      </x:c>
      <x:c r="D62" s="20" t="str">
        <x:v>100V5VlogicSOA_LFPAK56</x:v>
      </x:c>
      <x:c r="E62" s="20" t="str">
        <x:v>Q702</x:v>
      </x:c>
      <x:c r="F62" s="17" t="str">
        <x:v>F</x:v>
      </x:c>
      <x:c r="G62" s="17" t="str">
        <x:v>SMT</x:v>
      </x:c>
      <x:c r="H62" s="20" t="str">
        <x:v>Input187:NEXPERIA_LFPAK56_PRIMARY_AUDITED</x:v>
      </x:c>
      <x:c r="I62" s="20" t="str"/>
    </x:row>
    <x:row r="63" ht="30" customHeight="1">
      <x:c r="A63" s="17" t="str">
        <x:v>NX3008NBK,215</x:v>
      </x:c>
      <x:c r="B63" s="20" t="str">
        <x:v>Nexperia</x:v>
      </x:c>
      <x:c r="C63" s="19" t="n">
        <x:v>3</x:v>
      </x:c>
      <x:c r="D63" s="20" t="str">
        <x:v>NX3008NBK,215</x:v>
      </x:c>
      <x:c r="E63" s="20" t="str">
        <x:v>Q740, Q742, Q746</x:v>
      </x:c>
      <x:c r="F63" s="17" t="str">
        <x:v>B</x:v>
      </x:c>
      <x:c r="G63" s="17" t="str">
        <x:v>SMT</x:v>
      </x:c>
      <x:c r="H63" s="20" t="str">
        <x:v>Package_TO_SOT_SMD:SOT-23; carrier:SOT-23_DenseRevA_Q746</x:v>
      </x:c>
      <x:c r="I63" s="20" t="str"/>
    </x:row>
    <x:row r="64" ht="30" customHeight="1">
      <x:c r="A64" s="17" t="str">
        <x:v>RG1608N-682-W-T1</x:v>
      </x:c>
      <x:c r="B64" s="20" t="str">
        <x:v>Susumu</x:v>
      </x:c>
      <x:c r="C64" s="19" t="n">
        <x:v>1</x:v>
      </x:c>
      <x:c r="D64" s="20" t="str">
        <x:v>6.8k 0.05% 10ppm</x:v>
      </x:c>
      <x:c r="E64" s="20" t="str">
        <x:v>R18</x:v>
      </x:c>
      <x:c r="F64" s="17" t="str">
        <x:v>B</x:v>
      </x:c>
      <x:c r="G64" s="17" t="str">
        <x:v>SMT</x:v>
      </x:c>
      <x:c r="H64" s="20" t="str">
        <x:v>Resistor_SMD:R_0603_1608Metric</x:v>
      </x:c>
      <x:c r="I64" s="20" t="str"/>
    </x:row>
    <x:row r="65" ht="30" customHeight="1">
      <x:c r="A65" s="17" t="str">
        <x:v>RN73R1ETTP9650B25</x:v>
      </x:c>
      <x:c r="B65" s="20" t="str">
        <x:v>KOA Speer Electronics</x:v>
      </x:c>
      <x:c r="C65" s="19" t="n">
        <x:v>1</x:v>
      </x:c>
      <x:c r="D65" s="20" t="str">
        <x:v>965R 0.1%</x:v>
      </x:c>
      <x:c r="E65" s="20" t="str">
        <x:v>R22</x:v>
      </x:c>
      <x:c r="F65" s="17" t="str">
        <x:v>B</x:v>
      </x:c>
      <x:c r="G65" s="17" t="str">
        <x:v>SMT</x:v>
      </x:c>
      <x:c r="H65" s="20" t="str">
        <x:v>Resistor_SMD:R_0402_1005Metric</x:v>
      </x:c>
      <x:c r="I65" s="20" t="str"/>
    </x:row>
    <x:row r="66" ht="30" customHeight="1">
      <x:c r="A66" s="17" t="str">
        <x:v>TNPW04024K87BEED</x:v>
      </x:c>
      <x:c r="B66" s="20" t="str">
        <x:v>Vishay</x:v>
      </x:c>
      <x:c r="C66" s="19" t="n">
        <x:v>1</x:v>
      </x:c>
      <x:c r="D66" s="20" t="str">
        <x:v>4.87k 0.1%</x:v>
      </x:c>
      <x:c r="E66" s="20" t="str">
        <x:v>R23</x:v>
      </x:c>
      <x:c r="F66" s="17" t="str">
        <x:v>B</x:v>
      </x:c>
      <x:c r="G66" s="17" t="str">
        <x:v>SMT</x:v>
      </x:c>
      <x:c r="H66" s="20" t="str">
        <x:v>Resistor_SMD:R_0402_1005Metric</x:v>
      </x:c>
      <x:c r="I66" s="20" t="str"/>
    </x:row>
    <x:row r="67" ht="36" customHeight="1">
      <x:c r="A67" s="17" t="str">
        <x:v>CRCW0402100KFKED</x:v>
      </x:c>
      <x:c r="B67" s="20" t="str">
        <x:v>Vishay</x:v>
      </x:c>
      <x:c r="C67" s="19" t="n">
        <x:v>17</x:v>
      </x:c>
      <x:c r="D67" s="20" t="str">
        <x:v>100k</x:v>
      </x:c>
      <x:c r="E67" s="20" t="str">
        <x:v>R24, R25, R39, R111, R118, R135, R231, R735, R736, R746, R750, R757, R777, R778, R808, R811, R812</x:v>
      </x:c>
      <x:c r="F67" s="17" t="str">
        <x:v>B, F</x:v>
      </x:c>
      <x:c r="G67" s="17" t="str">
        <x:v>SMT</x:v>
      </x:c>
      <x:c r="H67" s="20" t="str">
        <x:v>Resistor_SMD:R_0402_1005Metric</x:v>
      </x:c>
      <x:c r="I67" s="20" t="str"/>
    </x:row>
    <x:row r="68" ht="30" customHeight="1">
      <x:c r="A68" s="17" t="str">
        <x:v>CRCW04021K00FKED</x:v>
      </x:c>
      <x:c r="B68" s="20" t="str">
        <x:v>Vishay</x:v>
      </x:c>
      <x:c r="C68" s="19" t="n">
        <x:v>11</x:v>
      </x:c>
      <x:c r="D68" s="20" t="str">
        <x:v>1k</x:v>
      </x:c>
      <x:c r="E68" s="20" t="str">
        <x:v>R28, R40, R221, R740, R744, R766, R779, R780, R783, R840, R841</x:v>
      </x:c>
      <x:c r="F68" s="17" t="str">
        <x:v>B, F</x:v>
      </x:c>
      <x:c r="G68" s="17" t="str">
        <x:v>SMT</x:v>
      </x:c>
      <x:c r="H68" s="20" t="str">
        <x:v>Resistor_SMD:R_0402_1005Metric; carrier:RevA_Dense100_50_R779</x:v>
      </x:c>
      <x:c r="I68" s="20" t="str"/>
    </x:row>
    <x:row r="69" ht="30" customHeight="1">
      <x:c r="A69" s="17" t="str">
        <x:v>CRCW040220K0FKED</x:v>
      </x:c>
      <x:c r="B69" s="20" t="str">
        <x:v>Vishay</x:v>
      </x:c>
      <x:c r="C69" s="19" t="n">
        <x:v>3</x:v>
      </x:c>
      <x:c r="D69" s="20" t="str">
        <x:v>20k</x:v>
      </x:c>
      <x:c r="E69" s="20" t="str">
        <x:v>R32, R36, R800</x:v>
      </x:c>
      <x:c r="F69" s="17" t="str">
        <x:v>B, F</x:v>
      </x:c>
      <x:c r="G69" s="17" t="str">
        <x:v>SMT</x:v>
      </x:c>
      <x:c r="H69" s="20" t="str">
        <x:v>Resistor_SMD:R_0402_1005Metric</x:v>
      </x:c>
      <x:c r="I69" s="20" t="str"/>
    </x:row>
    <x:row r="70" ht="30" customHeight="1">
      <x:c r="A70" s="17" t="str">
        <x:v>CRCW04025K10FKED</x:v>
      </x:c>
      <x:c r="B70" s="20" t="str">
        <x:v>Vishay</x:v>
      </x:c>
      <x:c r="C70" s="19" t="n">
        <x:v>2</x:v>
      </x:c>
      <x:c r="D70" s="20" t="str">
        <x:v>5.1k</x:v>
      </x:c>
      <x:c r="E70" s="20" t="str">
        <x:v>R37, R38</x:v>
      </x:c>
      <x:c r="F70" s="17" t="str">
        <x:v>F</x:v>
      </x:c>
      <x:c r="G70" s="17" t="str">
        <x:v>SMT</x:v>
      </x:c>
      <x:c r="H70" s="20" t="str">
        <x:v>Resistor_SMD:R_0402_1005Metric</x:v>
      </x:c>
      <x:c r="I70" s="20" t="str"/>
    </x:row>
    <x:row r="71" ht="30" customHeight="1">
      <x:c r="A71" s="17" t="str">
        <x:v>CRCW040215K0FKED</x:v>
      </x:c>
      <x:c r="B71" s="20" t="str">
        <x:v>Vishay</x:v>
      </x:c>
      <x:c r="C71" s="19" t="n">
        <x:v>1</x:v>
      </x:c>
      <x:c r="D71" s="20" t="str">
        <x:v>15k</x:v>
      </x:c>
      <x:c r="E71" s="20" t="str">
        <x:v>R41</x:v>
      </x:c>
      <x:c r="F71" s="17" t="str">
        <x:v>B</x:v>
      </x:c>
      <x:c r="G71" s="17" t="str">
        <x:v>SMT</x:v>
      </x:c>
      <x:c r="H71" s="20" t="str">
        <x:v>Resistor_SMD:R_0402_1005Metric</x:v>
      </x:c>
      <x:c r="I71" s="20" t="str"/>
    </x:row>
    <x:row r="72" ht="30" customHeight="1">
      <x:c r="A72" s="17" t="str">
        <x:v>CRCW04024K70FKED</x:v>
      </x:c>
      <x:c r="B72" s="20" t="str">
        <x:v>Vishay</x:v>
      </x:c>
      <x:c r="C72" s="19" t="n">
        <x:v>4</x:v>
      </x:c>
      <x:c r="D72" s="20" t="str">
        <x:v>4.7k</x:v>
      </x:c>
      <x:c r="E72" s="20" t="str">
        <x:v>R42, R43, R44, R50</x:v>
      </x:c>
      <x:c r="F72" s="17" t="str">
        <x:v>F</x:v>
      </x:c>
      <x:c r="G72" s="17" t="str">
        <x:v>SMT</x:v>
      </x:c>
      <x:c r="H72" s="20" t="str">
        <x:v>Resistor_SMD:R_0402_1005Metric</x:v>
      </x:c>
      <x:c r="I72" s="20" t="str"/>
    </x:row>
    <x:row r="73" ht="30" customHeight="1">
      <x:c r="A73" s="17" t="str">
        <x:v>CRCW0402510RFKED</x:v>
      </x:c>
      <x:c r="B73" s="20" t="str">
        <x:v>Vishay</x:v>
      </x:c>
      <x:c r="C73" s="19" t="n">
        <x:v>2</x:v>
      </x:c>
      <x:c r="D73" s="20" t="str">
        <x:v>510R</x:v>
      </x:c>
      <x:c r="E73" s="20" t="str">
        <x:v>R47, R48</x:v>
      </x:c>
      <x:c r="F73" s="17" t="str">
        <x:v>B</x:v>
      </x:c>
      <x:c r="G73" s="17" t="str">
        <x:v>SMT</x:v>
      </x:c>
      <x:c r="H73" s="20" t="str">
        <x:v>Resistor_SMD:R_0402_1005Metric</x:v>
      </x:c>
      <x:c r="I73" s="20" t="str"/>
    </x:row>
    <x:row r="74" ht="30" customHeight="1">
      <x:c r="A74" s="17" t="str">
        <x:v>RC1206FR-071ML</x:v>
      </x:c>
      <x:c r="B74" s="20" t="str">
        <x:v>Yageo</x:v>
      </x:c>
      <x:c r="C74" s="19" t="n">
        <x:v>1</x:v>
      </x:c>
      <x:c r="D74" s="20" t="str">
        <x:v>1M</x:v>
      </x:c>
      <x:c r="E74" s="20" t="str">
        <x:v>R49</x:v>
      </x:c>
      <x:c r="F74" s="17" t="str">
        <x:v>F</x:v>
      </x:c>
      <x:c r="G74" s="17" t="str">
        <x:v>SMT</x:v>
      </x:c>
      <x:c r="H74" s="20" t="str">
        <x:v>Resistor_SMD:R_1206_3216Metric</x:v>
      </x:c>
      <x:c r="I74" s="20" t="str">
        <x:v>C108083</x:v>
      </x:c>
    </x:row>
    <x:row r="75" ht="30" customHeight="1">
      <x:c r="A75" s="17" t="str">
        <x:v>RT0402BRD0711K3L</x:v>
      </x:c>
      <x:c r="B75" s="20" t="str">
        <x:v>YAGEO</x:v>
      </x:c>
      <x:c r="C75" s="19" t="n">
        <x:v>1</x:v>
      </x:c>
      <x:c r="D75" s="20" t="str">
        <x:v>11.3k0.1%25ppm</x:v>
      </x:c>
      <x:c r="E75" s="20" t="str">
        <x:v>R112</x:v>
      </x:c>
      <x:c r="F75" s="17" t="str">
        <x:v>B</x:v>
      </x:c>
      <x:c r="G75" s="17" t="str">
        <x:v>SMT</x:v>
      </x:c>
      <x:c r="H75" s="20" t="str">
        <x:v>Resistor_SMD:R_0402_1005Metric</x:v>
      </x:c>
      <x:c r="I75" s="20" t="str"/>
    </x:row>
    <x:row r="76" ht="50" customHeight="1">
      <x:c r="A76" s="17" t="str">
        <x:v>CRCW040210K0FKED</x:v>
      </x:c>
      <x:c r="B76" s="20" t="str">
        <x:v>Vishay</x:v>
      </x:c>
      <x:c r="C76" s="19" t="n">
        <x:v>27</x:v>
      </x:c>
      <x:c r="D76" s="20" t="str">
        <x:v>10k 1%</x:v>
      </x:c>
      <x:c r="E76" s="20" t="str">
        <x:v>R26, R110, R116, R117, R126, R127, R128, R130, R131, R132, R136, R227, R228, R565, R566, R741, R745, R752, R755, R784, R801, R803, R804, R805, R806, R807, R809</x:v>
      </x:c>
      <x:c r="F76" s="17" t="str">
        <x:v>B, F</x:v>
      </x:c>
      <x:c r="G76" s="17" t="str">
        <x:v>SMT</x:v>
      </x:c>
      <x:c r="H76" s="20" t="str">
        <x:v>Resistor_SMD:R_0402_1005Metric; carrier:R_0402_1005Metric_DenseRevA_R784</x:v>
      </x:c>
      <x:c r="I76" s="20" t="str"/>
    </x:row>
    <x:row r="77" ht="30" customHeight="1">
      <x:c r="A77" s="17" t="str">
        <x:v>RT0402BRD0764K9L</x:v>
      </x:c>
      <x:c r="B77" s="20" t="str">
        <x:v>YAGEO</x:v>
      </x:c>
      <x:c r="C77" s="19" t="n">
        <x:v>1</x:v>
      </x:c>
      <x:c r="D77" s="20" t="str">
        <x:v>64.9k 0.1% 25ppm</x:v>
      </x:c>
      <x:c r="E77" s="20" t="str">
        <x:v>R119</x:v>
      </x:c>
      <x:c r="F77" s="17" t="str">
        <x:v>F</x:v>
      </x:c>
      <x:c r="G77" s="17" t="str">
        <x:v>SMT</x:v>
      </x:c>
      <x:c r="H77" s="20" t="str">
        <x:v>Resistor_SMD:R_0402_1005Metric</x:v>
      </x:c>
      <x:c r="I77" s="20" t="str">
        <x:v>C852880</x:v>
      </x:c>
    </x:row>
    <x:row r="78" ht="36" customHeight="1">
      <x:c r="A78" s="17" t="str">
        <x:v>TNPW040210K0BEED</x:v>
      </x:c>
      <x:c r="B78" s="20" t="str">
        <x:v>Vishay</x:v>
      </x:c>
      <x:c r="C78" s="19" t="n">
        <x:v>18</x:v>
      </x:c>
      <x:c r="D78" s="20" t="str">
        <x:v>10k 0.1%</x:v>
      </x:c>
      <x:c r="E78" s="20" t="str">
        <x:v>R21, R113, R120, R203, R205, R207, R210, R212, R214, R223, R552, R564, R761, R763, R765, R769, R781, R782</x:v>
      </x:c>
      <x:c r="F78" s="17" t="str">
        <x:v>B, F</x:v>
      </x:c>
      <x:c r="G78" s="17" t="str">
        <x:v>SMT</x:v>
      </x:c>
      <x:c r="H78" s="20" t="str">
        <x:v>Resistor_SMD:R_0402_1005Metric; carrier:RevA_Dense100_50_R769</x:v>
      </x:c>
      <x:c r="I78" s="20" t="str"/>
    </x:row>
    <x:row r="79" ht="30" customHeight="1">
      <x:c r="A79" s="17" t="str">
        <x:v>CRCW04020000Z0ED</x:v>
      </x:c>
      <x:c r="B79" s="20" t="str">
        <x:v>Vishay</x:v>
      </x:c>
      <x:c r="C79" s="19" t="n">
        <x:v>6</x:v>
      </x:c>
      <x:c r="D79" s="20" t="str">
        <x:v>0R</x:v>
      </x:c>
      <x:c r="E79" s="20" t="str">
        <x:v>R46, R121, R122, R123, R124, R125</x:v>
      </x:c>
      <x:c r="F79" s="17" t="str">
        <x:v>B, F</x:v>
      </x:c>
      <x:c r="G79" s="17" t="str">
        <x:v>SMT</x:v>
      </x:c>
      <x:c r="H79" s="20" t="str">
        <x:v>Resistor_SMD:R_0402_1005Metric</x:v>
      </x:c>
      <x:c r="I79" s="20" t="str"/>
    </x:row>
    <x:row r="80" ht="30" customHeight="1">
      <x:c r="A80" s="17" t="str">
        <x:v>RC0402FR-073K6L</x:v>
      </x:c>
      <x:c r="B80" s="20" t="str">
        <x:v>YAGEO</x:v>
      </x:c>
      <x:c r="C80" s="19" t="n">
        <x:v>1</x:v>
      </x:c>
      <x:c r="D80" s="20" t="str">
        <x:v>3.6k 1%</x:v>
      </x:c>
      <x:c r="E80" s="20" t="str">
        <x:v>R129</x:v>
      </x:c>
      <x:c r="F80" s="17" t="str">
        <x:v>B</x:v>
      </x:c>
      <x:c r="G80" s="17" t="str">
        <x:v>SMT</x:v>
      </x:c>
      <x:c r="H80" s="20" t="str">
        <x:v>Resistor_SMD:R_0402_1005Metric</x:v>
      </x:c>
      <x:c r="I80" s="20" t="str">
        <x:v>C137990</x:v>
      </x:c>
    </x:row>
    <x:row r="81" ht="30" customHeight="1">
      <x:c r="A81" s="17" t="str">
        <x:v>RC0402FR-07130KL</x:v>
      </x:c>
      <x:c r="B81" s="20" t="str">
        <x:v>YAGEO</x:v>
      </x:c>
      <x:c r="C81" s="19" t="n">
        <x:v>1</x:v>
      </x:c>
      <x:c r="D81" s="20" t="str">
        <x:v>130k 1%</x:v>
      </x:c>
      <x:c r="E81" s="20" t="str">
        <x:v>R134</x:v>
      </x:c>
      <x:c r="F81" s="17" t="str">
        <x:v>B</x:v>
      </x:c>
      <x:c r="G81" s="17" t="str">
        <x:v>SMT</x:v>
      </x:c>
      <x:c r="H81" s="20" t="str">
        <x:v>Resistor_SMD:R_0402_1005Metric</x:v>
      </x:c>
      <x:c r="I81" s="20" t="str">
        <x:v>C93946</x:v>
      </x:c>
    </x:row>
    <x:row r="82" ht="30" customHeight="1">
      <x:c r="A82" s="17" t="str">
        <x:v>RT0402BRD07107KL</x:v>
      </x:c>
      <x:c r="B82" s="20" t="str">
        <x:v>YAGEO</x:v>
      </x:c>
      <x:c r="C82" s="19" t="n">
        <x:v>2</x:v>
      </x:c>
      <x:c r="D82" s="20" t="str">
        <x:v>107k 0.1%</x:v>
      </x:c>
      <x:c r="E82" s="20" t="str">
        <x:v>R204, R211</x:v>
      </x:c>
      <x:c r="F82" s="17" t="str">
        <x:v>F</x:v>
      </x:c>
      <x:c r="G82" s="17" t="str">
        <x:v>SMT</x:v>
      </x:c>
      <x:c r="H82" s="20" t="str">
        <x:v>Resistor_SMD:R_0402_1005Metric</x:v>
      </x:c>
      <x:c r="I82" s="20" t="str"/>
    </x:row>
    <x:row r="83" ht="30" customHeight="1">
      <x:c r="A83" s="17" t="str">
        <x:v>RT0402BRD0780K6L</x:v>
      </x:c>
      <x:c r="B83" s="20" t="str">
        <x:v>YAGEO</x:v>
      </x:c>
      <x:c r="C83" s="19" t="n">
        <x:v>2</x:v>
      </x:c>
      <x:c r="D83" s="20" t="str">
        <x:v>80.6k0.1%25ppm</x:v>
      </x:c>
      <x:c r="E83" s="20" t="str">
        <x:v>R202, R206</x:v>
      </x:c>
      <x:c r="F83" s="17" t="str">
        <x:v>F</x:v>
      </x:c>
      <x:c r="G83" s="17" t="str">
        <x:v>SMT</x:v>
      </x:c>
      <x:c r="H83" s="20" t="str">
        <x:v>Resistor_SMD:R_0402_1005Metric; carrier:R_0402_1005Metric_DenseRevA_R206</x:v>
      </x:c>
      <x:c r="I83" s="20" t="str"/>
    </x:row>
    <x:row r="84" ht="30" customHeight="1">
      <x:c r="A84" s="17" t="str">
        <x:v>RT0603BRD07953RL</x:v>
      </x:c>
      <x:c r="B84" s="20" t="str">
        <x:v>YAGEO</x:v>
      </x:c>
      <x:c r="C84" s="19" t="n">
        <x:v>2</x:v>
      </x:c>
      <x:c r="D84" s="20" t="str">
        <x:v>953ohm0.1%25ppm</x:v>
      </x:c>
      <x:c r="E84" s="20" t="str">
        <x:v>R208, R747</x:v>
      </x:c>
      <x:c r="F84" s="17" t="str">
        <x:v>B, F</x:v>
      </x:c>
      <x:c r="G84" s="17" t="str">
        <x:v>SMT</x:v>
      </x:c>
      <x:c r="H84" s="20" t="str">
        <x:v>Resistor_SMD:R_0603_1608Metric; carrier:RevA_Dense100_50_R747</x:v>
      </x:c>
      <x:c r="I84" s="20" t="str"/>
    </x:row>
    <x:row r="85" ht="30" customHeight="1">
      <x:c r="A85" s="17" t="str">
        <x:v>RT0402BRD0776K8L</x:v>
      </x:c>
      <x:c r="B85" s="20" t="str">
        <x:v>YAGEO</x:v>
      </x:c>
      <x:c r="C85" s="19" t="n">
        <x:v>3</x:v>
      </x:c>
      <x:c r="D85" s="20" t="str">
        <x:v>76.8k0.1%25ppm</x:v>
      </x:c>
      <x:c r="E85" s="20" t="str">
        <x:v>R209, R213, R572</x:v>
      </x:c>
      <x:c r="F85" s="17" t="str">
        <x:v>B, F</x:v>
      </x:c>
      <x:c r="G85" s="17" t="str">
        <x:v>SMT</x:v>
      </x:c>
      <x:c r="H85" s="20" t="str">
        <x:v>Resistor_SMD:R_0402_1005Metric</x:v>
      </x:c>
      <x:c r="I85" s="20" t="str">
        <x:v>C852913</x:v>
      </x:c>
    </x:row>
    <x:row r="86" ht="30" customHeight="1">
      <x:c r="A86" s="17" t="str">
        <x:v>TNPW04021K24BEED</x:v>
      </x:c>
      <x:c r="B86" s="20" t="str">
        <x:v>Vishay</x:v>
      </x:c>
      <x:c r="C86" s="19" t="n">
        <x:v>1</x:v>
      </x:c>
      <x:c r="D86" s="20" t="str">
        <x:v>1.24k 0.1%</x:v>
      </x:c>
      <x:c r="E86" s="20" t="str">
        <x:v>R215</x:v>
      </x:c>
      <x:c r="F86" s="17" t="str">
        <x:v>F</x:v>
      </x:c>
      <x:c r="G86" s="17" t="str">
        <x:v>SMT</x:v>
      </x:c>
      <x:c r="H86" s="20" t="str">
        <x:v>Resistor_SMD:R_0402_1005Metric</x:v>
      </x:c>
      <x:c r="I86" s="20" t="str"/>
    </x:row>
    <x:row r="87" ht="30" customHeight="1">
      <x:c r="A87" s="17" t="str">
        <x:v>RG1608N-392-W-T1</x:v>
      </x:c>
      <x:c r="B87" s="20" t="str">
        <x:v>Susumu</x:v>
      </x:c>
      <x:c r="C87" s="19" t="n">
        <x:v>1</x:v>
      </x:c>
      <x:c r="D87" s="20" t="str">
        <x:v>3.9k 0.05% 10ppm</x:v>
      </x:c>
      <x:c r="E87" s="20" t="str">
        <x:v>R216</x:v>
      </x:c>
      <x:c r="F87" s="17" t="str">
        <x:v>F</x:v>
      </x:c>
      <x:c r="G87" s="17" t="str">
        <x:v>SMT</x:v>
      </x:c>
      <x:c r="H87" s="20" t="str">
        <x:v>Resistor_SMD:R_0603_1608Metric</x:v>
      </x:c>
      <x:c r="I87" s="20" t="str"/>
    </x:row>
    <x:row r="88" ht="30" customHeight="1">
      <x:c r="A88" s="17" t="str">
        <x:v>RG1608N-222-W-T1</x:v>
      </x:c>
      <x:c r="B88" s="20" t="str">
        <x:v>Susumu</x:v>
      </x:c>
      <x:c r="C88" s="19" t="n">
        <x:v>2</x:v>
      </x:c>
      <x:c r="D88" s="20" t="str">
        <x:v>2.2k 0.05% 10ppm</x:v>
      </x:c>
      <x:c r="E88" s="20" t="str">
        <x:v>R19, R217</x:v>
      </x:c>
      <x:c r="F88" s="17" t="str">
        <x:v>B, F</x:v>
      </x:c>
      <x:c r="G88" s="17" t="str">
        <x:v>SMT</x:v>
      </x:c>
      <x:c r="H88" s="20" t="str">
        <x:v>Resistor_SMD:R_0603_1608Metric</x:v>
      </x:c>
      <x:c r="I88" s="20" t="str"/>
    </x:row>
    <x:row r="89" ht="30" customHeight="1">
      <x:c r="A89" s="17" t="str">
        <x:v>RC0402FR-07240RL</x:v>
      </x:c>
      <x:c r="B89" s="20" t="str">
        <x:v>YAGEO</x:v>
      </x:c>
      <x:c r="C89" s="19" t="n">
        <x:v>1</x:v>
      </x:c>
      <x:c r="D89" s="20" t="str">
        <x:v>240ohm 1%</x:v>
      </x:c>
      <x:c r="E89" s="20" t="str">
        <x:v>R218</x:v>
      </x:c>
      <x:c r="F89" s="17" t="str">
        <x:v>B</x:v>
      </x:c>
      <x:c r="G89" s="17" t="str">
        <x:v>SMT</x:v>
      </x:c>
      <x:c r="H89" s="20" t="str">
        <x:v>Resistor_SMD:R_0402_1005Metric</x:v>
      </x:c>
      <x:c r="I89" s="20" t="str"/>
    </x:row>
    <x:row r="90" ht="30" customHeight="1">
      <x:c r="A90" s="17" t="str">
        <x:v>CRCW04021M00FKED</x:v>
      </x:c>
      <x:c r="B90" s="20" t="str">
        <x:v>Vishay</x:v>
      </x:c>
      <x:c r="C90" s="19" t="n">
        <x:v>2</x:v>
      </x:c>
      <x:c r="D90" s="20" t="str">
        <x:v>1M 1%</x:v>
      </x:c>
      <x:c r="E90" s="20" t="str">
        <x:v>R220, R756</x:v>
      </x:c>
      <x:c r="F90" s="17" t="str">
        <x:v>B, F</x:v>
      </x:c>
      <x:c r="G90" s="17" t="str">
        <x:v>SMT</x:v>
      </x:c>
      <x:c r="H90" s="20" t="str">
        <x:v>Resistor_SMD:R_0402_1005Metric</x:v>
      </x:c>
      <x:c r="I90" s="20" t="str"/>
    </x:row>
    <x:row r="91" ht="30" customHeight="1">
      <x:c r="A91" s="17" t="str">
        <x:v>RT0402BRD0757K6L</x:v>
      </x:c>
      <x:c r="B91" s="20" t="str">
        <x:v>YAGEO</x:v>
      </x:c>
      <x:c r="C91" s="19" t="n">
        <x:v>1</x:v>
      </x:c>
      <x:c r="D91" s="20" t="str">
        <x:v>57.6k 0.1% 25ppm</x:v>
      </x:c>
      <x:c r="E91" s="20" t="str">
        <x:v>R222</x:v>
      </x:c>
      <x:c r="F91" s="17" t="str">
        <x:v>F</x:v>
      </x:c>
      <x:c r="G91" s="17" t="str">
        <x:v>SMT</x:v>
      </x:c>
      <x:c r="H91" s="20" t="str">
        <x:v>Resistor_SMD:R_0402_1005Metric</x:v>
      </x:c>
      <x:c r="I91" s="20" t="str"/>
    </x:row>
    <x:row r="92" ht="30" customHeight="1">
      <x:c r="A92" s="17" t="str">
        <x:v>CRCW040218K2FKED</x:v>
      </x:c>
      <x:c r="B92" s="20" t="str">
        <x:v>Vishay</x:v>
      </x:c>
      <x:c r="C92" s="19" t="n">
        <x:v>2</x:v>
      </x:c>
      <x:c r="D92" s="20" t="str">
        <x:v>18.2k 1%</x:v>
      </x:c>
      <x:c r="E92" s="20" t="str">
        <x:v>R225, R226</x:v>
      </x:c>
      <x:c r="F92" s="17" t="str">
        <x:v>B, F</x:v>
      </x:c>
      <x:c r="G92" s="17" t="str">
        <x:v>SMT</x:v>
      </x:c>
      <x:c r="H92" s="20" t="str">
        <x:v>Resistor_SMD:R_0402_1005Metric</x:v>
      </x:c>
      <x:c r="I92" s="20" t="str"/>
    </x:row>
    <x:row r="93" ht="30" customHeight="1">
      <x:c r="A93" s="17" t="str">
        <x:v>CRCW0402150KFKED</x:v>
      </x:c>
      <x:c r="B93" s="20" t="str">
        <x:v>Vishay</x:v>
      </x:c>
      <x:c r="C93" s="19" t="n">
        <x:v>1</x:v>
      </x:c>
      <x:c r="D93" s="20" t="str">
        <x:v>150k 1%</x:v>
      </x:c>
      <x:c r="E93" s="20" t="str">
        <x:v>R229</x:v>
      </x:c>
      <x:c r="F93" s="17" t="str">
        <x:v>F</x:v>
      </x:c>
      <x:c r="G93" s="17" t="str">
        <x:v>SMT</x:v>
      </x:c>
      <x:c r="H93" s="20" t="str">
        <x:v>Resistor_SMD:R_0402_1005Metric</x:v>
      </x:c>
      <x:c r="I93" s="20" t="str"/>
    </x:row>
    <x:row r="94" ht="30" customHeight="1">
      <x:c r="A94" s="17" t="str">
        <x:v>CRCW080575R0FKEA</x:v>
      </x:c>
      <x:c r="B94" s="20" t="str">
        <x:v>Vishay</x:v>
      </x:c>
      <x:c r="C94" s="19" t="n">
        <x:v>4</x:v>
      </x:c>
      <x:c r="D94" s="20" t="str">
        <x:v>75R 1%</x:v>
      </x:c>
      <x:c r="E94" s="20" t="str">
        <x:v>R410, R411, R412, R413</x:v>
      </x:c>
      <x:c r="F94" s="17" t="str">
        <x:v>B</x:v>
      </x:c>
      <x:c r="G94" s="17" t="str">
        <x:v>SMT</x:v>
      </x:c>
      <x:c r="H94" s="20" t="str">
        <x:v>Resistor_SMD:R_0805_2012Metric</x:v>
      </x:c>
      <x:c r="I94" s="20" t="str"/>
    </x:row>
    <x:row r="95" ht="30" customHeight="1">
      <x:c r="A95" s="17" t="str">
        <x:v>RT0402BRD0717K4L</x:v>
      </x:c>
      <x:c r="B95" s="20" t="str">
        <x:v>YAGEO</x:v>
      </x:c>
      <x:c r="C95" s="19" t="n">
        <x:v>1</x:v>
      </x:c>
      <x:c r="D95" s="20" t="str">
        <x:v>17.4k 0.1% 25ppm</x:v>
      </x:c>
      <x:c r="E95" s="20" t="str">
        <x:v>R551</x:v>
      </x:c>
      <x:c r="F95" s="17" t="str">
        <x:v>B</x:v>
      </x:c>
      <x:c r="G95" s="17" t="str">
        <x:v>SMT</x:v>
      </x:c>
      <x:c r="H95" s="20" t="str">
        <x:v>Resistor_SMD:R_0402_1005Metric</x:v>
      </x:c>
      <x:c r="I95" s="20" t="str"/>
    </x:row>
    <x:row r="96" ht="30" customHeight="1">
      <x:c r="A96" s="17" t="str">
        <x:v>RT0603BRD072K26L</x:v>
      </x:c>
      <x:c r="B96" s="20" t="str">
        <x:v>YAGEO</x:v>
      </x:c>
      <x:c r="C96" s="19" t="n">
        <x:v>1</x:v>
      </x:c>
      <x:c r="D96" s="20" t="str">
        <x:v>2.26k0.1%25ppm</x:v>
      </x:c>
      <x:c r="E96" s="20" t="str">
        <x:v>R553</x:v>
      </x:c>
      <x:c r="F96" s="17" t="str">
        <x:v>B</x:v>
      </x:c>
      <x:c r="G96" s="17" t="str">
        <x:v>SMT</x:v>
      </x:c>
      <x:c r="H96" s="20" t="str">
        <x:v>Resistor_SMD:R_0603_1608Metric</x:v>
      </x:c>
      <x:c r="I96" s="20" t="str"/>
    </x:row>
    <x:row r="97" ht="30" customHeight="1">
      <x:c r="A97" s="17" t="str">
        <x:v>RC0603FR-0718K2L</x:v>
      </x:c>
      <x:c r="B97" s="20" t="str">
        <x:v>YAGEO</x:v>
      </x:c>
      <x:c r="C97" s="19" t="n">
        <x:v>1</x:v>
      </x:c>
      <x:c r="D97" s="20" t="str">
        <x:v>18.2k 1%</x:v>
      </x:c>
      <x:c r="E97" s="20" t="str">
        <x:v>R560</x:v>
      </x:c>
      <x:c r="F97" s="17" t="str">
        <x:v>B</x:v>
      </x:c>
      <x:c r="G97" s="17" t="str">
        <x:v>SMT</x:v>
      </x:c>
      <x:c r="H97" s="20" t="str">
        <x:v>Resistor_SMD:R_0603_1608Metric</x:v>
      </x:c>
      <x:c r="I97" s="20" t="str"/>
    </x:row>
    <x:row r="98" ht="30" customHeight="1">
      <x:c r="A98" s="17" t="str">
        <x:v>RC0603FR-071KL</x:v>
      </x:c>
      <x:c r="B98" s="20" t="str">
        <x:v>YAGEO</x:v>
      </x:c>
      <x:c r="C98" s="19" t="n">
        <x:v>1</x:v>
      </x:c>
      <x:c r="D98" s="20" t="str">
        <x:v>1k1%</x:v>
      </x:c>
      <x:c r="E98" s="20" t="str">
        <x:v>R700</x:v>
      </x:c>
      <x:c r="F98" s="17" t="str">
        <x:v>F</x:v>
      </x:c>
      <x:c r="G98" s="17" t="str">
        <x:v>SMT</x:v>
      </x:c>
      <x:c r="H98" s="20" t="str">
        <x:v>Resistor_SMD:R_0603_1608Metric</x:v>
      </x:c>
      <x:c r="I98" s="20" t="str"/>
    </x:row>
    <x:row r="99" ht="30" customHeight="1">
      <x:c r="A99" s="17" t="str">
        <x:v>RC0603FR-0716KL</x:v>
      </x:c>
      <x:c r="B99" s="20" t="str">
        <x:v>YAGEO</x:v>
      </x:c>
      <x:c r="C99" s="19" t="n">
        <x:v>1</x:v>
      </x:c>
      <x:c r="D99" s="20" t="str">
        <x:v>16k1%100ppm</x:v>
      </x:c>
      <x:c r="E99" s="20" t="str">
        <x:v>R702</x:v>
      </x:c>
      <x:c r="F99" s="17" t="str">
        <x:v>F</x:v>
      </x:c>
      <x:c r="G99" s="17" t="str">
        <x:v>SMT</x:v>
      </x:c>
      <x:c r="H99" s="20" t="str">
        <x:v>Resistor_SMD:R_0603_1608Metric</x:v>
      </x:c>
      <x:c r="I99" s="20" t="str"/>
    </x:row>
    <x:row r="100" ht="30" customHeight="1">
      <x:c r="A100" s="17" t="str">
        <x:v>RT0603BRD07140KL</x:v>
      </x:c>
      <x:c r="B100" s="20" t="str">
        <x:v>YAGEO</x:v>
      </x:c>
      <x:c r="C100" s="19" t="n">
        <x:v>1</x:v>
      </x:c>
      <x:c r="D100" s="20" t="str">
        <x:v>140k0.1%25ppm</x:v>
      </x:c>
      <x:c r="E100" s="20" t="str">
        <x:v>R703</x:v>
      </x:c>
      <x:c r="F100" s="17" t="str">
        <x:v>F</x:v>
      </x:c>
      <x:c r="G100" s="17" t="str">
        <x:v>SMT</x:v>
      </x:c>
      <x:c r="H100" s="20" t="str">
        <x:v>Resistor_SMD:R_0603_1608Metric</x:v>
      </x:c>
      <x:c r="I100" s="20" t="str"/>
    </x:row>
    <x:row r="101" ht="30" customHeight="1">
      <x:c r="A101" s="17" t="str">
        <x:v>RT0603BRD0793K1L</x:v>
      </x:c>
      <x:c r="B101" s="20" t="str">
        <x:v>YAGEO</x:v>
      </x:c>
      <x:c r="C101" s="19" t="n">
        <x:v>1</x:v>
      </x:c>
      <x:c r="D101" s="20" t="str">
        <x:v>93.1k0.1%25ppm</x:v>
      </x:c>
      <x:c r="E101" s="20" t="str">
        <x:v>R708</x:v>
      </x:c>
      <x:c r="F101" s="17" t="str">
        <x:v>F</x:v>
      </x:c>
      <x:c r="G101" s="17" t="str">
        <x:v>SMT</x:v>
      </x:c>
      <x:c r="H101" s="20" t="str">
        <x:v>Resistor_SMD:R_0603_1608Metric</x:v>
      </x:c>
      <x:c r="I101" s="20" t="str"/>
    </x:row>
    <x:row r="102" ht="30" customHeight="1">
      <x:c r="A102" s="17" t="str">
        <x:v>RT0603BRD074K99L</x:v>
      </x:c>
      <x:c r="B102" s="20" t="str">
        <x:v>YAGEO</x:v>
      </x:c>
      <x:c r="C102" s="19" t="n">
        <x:v>1</x:v>
      </x:c>
      <x:c r="D102" s="20" t="str">
        <x:v>4.99k0.1%25ppm</x:v>
      </x:c>
      <x:c r="E102" s="20" t="str">
        <x:v>R709</x:v>
      </x:c>
      <x:c r="F102" s="17" t="str">
        <x:v>F</x:v>
      </x:c>
      <x:c r="G102" s="17" t="str">
        <x:v>SMT</x:v>
      </x:c>
      <x:c r="H102" s="20" t="str">
        <x:v>Resistor_SMD:R_0603_1608Metric</x:v>
      </x:c>
      <x:c r="I102" s="20" t="str"/>
    </x:row>
    <x:row r="103" ht="30" customHeight="1">
      <x:c r="A103" s="17" t="str">
        <x:v>L4CL1206LR050DNR-A</x:v>
      </x:c>
      <x:c r="B103" s="20" t="str">
        <x:v>Littelfuse</x:v>
      </x:c>
      <x:c r="C103" s="19" t="n">
        <x:v>1</x:v>
      </x:c>
      <x:c r="D103" s="20" t="str">
        <x:v>50mOhm0.5%four-terminal1206</x:v>
      </x:c>
      <x:c r="E103" s="20" t="str">
        <x:v>R720</x:v>
      </x:c>
      <x:c r="F103" s="17" t="str">
        <x:v>B</x:v>
      </x:c>
      <x:c r="G103" s="17" t="str">
        <x:v>SMT</x:v>
      </x:c>
      <x:c r="H103" s="20" t="str">
        <x:v>carrier:Littelfuse_L4CL1206_A_PRIMARY</x:v>
      </x:c>
      <x:c r="I103" s="20" t="str"/>
    </x:row>
    <x:row r="104" ht="30" customHeight="1">
      <x:c r="A104" s="17" t="str">
        <x:v>RT0603BRD0768KL</x:v>
      </x:c>
      <x:c r="B104" s="20" t="str">
        <x:v>YAGEO</x:v>
      </x:c>
      <x:c r="C104" s="19" t="n">
        <x:v>1</x:v>
      </x:c>
      <x:c r="D104" s="20" t="str">
        <x:v>68k0.1%25ppm</x:v>
      </x:c>
      <x:c r="E104" s="20" t="str">
        <x:v>R721</x:v>
      </x:c>
      <x:c r="F104" s="17" t="str">
        <x:v>F</x:v>
      </x:c>
      <x:c r="G104" s="17" t="str">
        <x:v>SMT</x:v>
      </x:c>
      <x:c r="H104" s="20" t="str">
        <x:v>Resistor_SMD:R_0603_1608Metric</x:v>
      </x:c>
      <x:c r="I104" s="20" t="str"/>
    </x:row>
    <x:row r="105" ht="30" customHeight="1">
      <x:c r="A105" s="17" t="str">
        <x:v>RT0402BRD07301RL</x:v>
      </x:c>
      <x:c r="B105" s="20" t="str">
        <x:v>YAGEO</x:v>
      </x:c>
      <x:c r="C105" s="19" t="n">
        <x:v>1</x:v>
      </x:c>
      <x:c r="D105" s="20" t="str">
        <x:v>301ohm0.1%25ppm</x:v>
      </x:c>
      <x:c r="E105" s="20" t="str">
        <x:v>R722</x:v>
      </x:c>
      <x:c r="F105" s="17" t="str">
        <x:v>F</x:v>
      </x:c>
      <x:c r="G105" s="17" t="str">
        <x:v>SMT</x:v>
      </x:c>
      <x:c r="H105" s="20" t="str">
        <x:v>Resistor_SMD:R_0402_1005Metric</x:v>
      </x:c>
      <x:c r="I105" s="20" t="str"/>
    </x:row>
    <x:row r="106" ht="30" customHeight="1">
      <x:c r="A106" s="17" t="str">
        <x:v>TNPW0603100KBEEA</x:v>
      </x:c>
      <x:c r="B106" s="20" t="str">
        <x:v>Vishay</x:v>
      </x:c>
      <x:c r="C106" s="19" t="n">
        <x:v>1</x:v>
      </x:c>
      <x:c r="D106" s="20" t="str">
        <x:v>100k0.1%25ppm75V</x:v>
      </x:c>
      <x:c r="E106" s="20" t="str">
        <x:v>R723</x:v>
      </x:c>
      <x:c r="F106" s="17" t="str">
        <x:v>B</x:v>
      </x:c>
      <x:c r="G106" s="17" t="str">
        <x:v>SMT</x:v>
      </x:c>
      <x:c r="H106" s="20" t="str">
        <x:v>Resistor_SMD:R_0603_1608Metric</x:v>
      </x:c>
      <x:c r="I106" s="20" t="str"/>
    </x:row>
    <x:row r="107" ht="30" customHeight="1">
      <x:c r="A107" s="17" t="str">
        <x:v>RT0402BRD071KL</x:v>
      </x:c>
      <x:c r="B107" s="20" t="str">
        <x:v>YAGEO</x:v>
      </x:c>
      <x:c r="C107" s="19" t="n">
        <x:v>1</x:v>
      </x:c>
      <x:c r="D107" s="20" t="str">
        <x:v>1k0.1%25ppm</x:v>
      </x:c>
      <x:c r="E107" s="20" t="str">
        <x:v>R724</x:v>
      </x:c>
      <x:c r="F107" s="17" t="str">
        <x:v>F</x:v>
      </x:c>
      <x:c r="G107" s="17" t="str">
        <x:v>SMT</x:v>
      </x:c>
      <x:c r="H107" s="20" t="str">
        <x:v>Resistor_SMD:R_0402_1005Metric</x:v>
      </x:c>
      <x:c r="I107" s="20" t="str"/>
    </x:row>
    <x:row r="108" ht="30" customHeight="1">
      <x:c r="A108" s="17" t="str">
        <x:v>RT0603BRD0710KL</x:v>
      </x:c>
      <x:c r="B108" s="20" t="str">
        <x:v>YAGEO</x:v>
      </x:c>
      <x:c r="C108" s="19" t="n">
        <x:v>3</x:v>
      </x:c>
      <x:c r="D108" s="20" t="str">
        <x:v>10k0.1%25ppm</x:v>
      </x:c>
      <x:c r="E108" s="20" t="str">
        <x:v>R562, R704, R725</x:v>
      </x:c>
      <x:c r="F108" s="17" t="str">
        <x:v>B, F</x:v>
      </x:c>
      <x:c r="G108" s="17" t="str">
        <x:v>SMT</x:v>
      </x:c>
      <x:c r="H108" s="20" t="str">
        <x:v>Resistor_SMD:R_0603_1608Metric</x:v>
      </x:c>
      <x:c r="I108" s="20" t="str"/>
    </x:row>
    <x:row r="109" ht="30" customHeight="1">
      <x:c r="A109" s="17" t="str">
        <x:v>RC0603FR-0710RL</x:v>
      </x:c>
      <x:c r="B109" s="20" t="str">
        <x:v>YAGEO</x:v>
      </x:c>
      <x:c r="C109" s="19" t="n">
        <x:v>1</x:v>
      </x:c>
      <x:c r="D109" s="20" t="str">
        <x:v>10ohm1%</x:v>
      </x:c>
      <x:c r="E109" s="20" t="str">
        <x:v>R726</x:v>
      </x:c>
      <x:c r="F109" s="17" t="str">
        <x:v>F</x:v>
      </x:c>
      <x:c r="G109" s="17" t="str">
        <x:v>SMT</x:v>
      </x:c>
      <x:c r="H109" s="20" t="str">
        <x:v>Resistor_SMD:R_0603_1608Metric</x:v>
      </x:c>
      <x:c r="I109" s="20" t="str"/>
    </x:row>
    <x:row r="110" ht="30" customHeight="1">
      <x:c r="A110" s="17" t="str">
        <x:v>AC01000004708JA100</x:v>
      </x:c>
      <x:c r="B110" s="20" t="str">
        <x:v>Vishay</x:v>
      </x:c>
      <x:c r="C110" s="19" t="n">
        <x:v>1</x:v>
      </x:c>
      <x:c r="D110" s="20" t="str">
        <x:v>4.7ohm5%1Wpulsewirewound</x:v>
      </x:c>
      <x:c r="E110" s="20" t="str">
        <x:v>R727</x:v>
      </x:c>
      <x:c r="F110" s="17" t="str">
        <x:v>F</x:v>
      </x:c>
      <x:c r="G110" s="17" t="str">
        <x:v>THT</x:v>
      </x:c>
      <x:c r="H110" s="20" t="str">
        <x:v>carrier:Vishay_AC01_P17_8_PRIMARY</x:v>
      </x:c>
      <x:c r="I110" s="20" t="str"/>
    </x:row>
    <x:row r="111" ht="30" customHeight="1">
      <x:c r="A111" s="17" t="str">
        <x:v>RT0603BRD0732K4L</x:v>
      </x:c>
      <x:c r="B111" s="20" t="str">
        <x:v>YAGEO</x:v>
      </x:c>
      <x:c r="C111" s="19" t="n">
        <x:v>2</x:v>
      </x:c>
      <x:c r="D111" s="20" t="str">
        <x:v>32.4k0.1%25ppm</x:v>
      </x:c>
      <x:c r="E111" s="20" t="str">
        <x:v>R561, R730</x:v>
      </x:c>
      <x:c r="F111" s="17" t="str">
        <x:v>B, F</x:v>
      </x:c>
      <x:c r="G111" s="17" t="str">
        <x:v>SMT</x:v>
      </x:c>
      <x:c r="H111" s="20" t="str">
        <x:v>Resistor_SMD:R_0603_1608Metric</x:v>
      </x:c>
      <x:c r="I111" s="20" t="str">
        <x:v>C861323</x:v>
      </x:c>
    </x:row>
    <x:row r="112" ht="36" customHeight="1">
      <x:c r="A112" s="17" t="str">
        <x:v>CRCW0402100RFKED</x:v>
      </x:c>
      <x:c r="B112" s="20" t="str">
        <x:v>Vishay</x:v>
      </x:c>
      <x:c r="C112" s="19" t="n">
        <x:v>4</x:v>
      </x:c>
      <x:c r="D112" s="20" t="str">
        <x:v>100ohm1%</x:v>
      </x:c>
      <x:c r="E112" s="20" t="str">
        <x:v>R731, R767, R786, R987</x:v>
      </x:c>
      <x:c r="F112" s="17" t="str">
        <x:v>B, F</x:v>
      </x:c>
      <x:c r="G112" s="17" t="str">
        <x:v>SMT</x:v>
      </x:c>
      <x:c r="H112" s="20" t="str">
        <x:v>Resistor_SMD:R_0402_1005Metric; carrier:R_0402_1005Metric_DenseRevA_R731; carrier:RevA_Dense100_50_R786; carrier:RevA_Dense100_50_R987</x:v>
      </x:c>
      <x:c r="I112" s="20" t="str"/>
    </x:row>
    <x:row r="113" ht="30" customHeight="1">
      <x:c r="A113" s="17" t="str">
        <x:v>RC0603FR-0710KL</x:v>
      </x:c>
      <x:c r="B113" s="20" t="str">
        <x:v>YAGEO</x:v>
      </x:c>
      <x:c r="C113" s="19" t="n">
        <x:v>4</x:v>
      </x:c>
      <x:c r="D113" s="20" t="str">
        <x:v>10k 1%</x:v>
      </x:c>
      <x:c r="E113" s="20" t="str">
        <x:v>R554, R563, R573, R734</x:v>
      </x:c>
      <x:c r="F113" s="17" t="str">
        <x:v>B, F</x:v>
      </x:c>
      <x:c r="G113" s="17" t="str">
        <x:v>SMT</x:v>
      </x:c>
      <x:c r="H113" s="20" t="str">
        <x:v>Resistor_SMD:R_0603_1608Metric</x:v>
      </x:c>
      <x:c r="I113" s="20" t="str"/>
    </x:row>
    <x:row r="114" ht="30" customHeight="1">
      <x:c r="A114" s="17" t="str">
        <x:v>CRCW12063K30FKEAHP</x:v>
      </x:c>
      <x:c r="B114" s="20" t="str">
        <x:v>Vishay</x:v>
      </x:c>
      <x:c r="C114" s="19" t="n">
        <x:v>1</x:v>
      </x:c>
      <x:c r="D114" s="20" t="str">
        <x:v>3.3k1%HP1206</x:v>
      </x:c>
      <x:c r="E114" s="20" t="str">
        <x:v>R737</x:v>
      </x:c>
      <x:c r="F114" s="17" t="str">
        <x:v>B</x:v>
      </x:c>
      <x:c r="G114" s="17" t="str">
        <x:v>SMT</x:v>
      </x:c>
      <x:c r="H114" s="20" t="str">
        <x:v>Input187:R1206</x:v>
      </x:c>
      <x:c r="I114" s="20" t="str"/>
    </x:row>
    <x:row r="115" ht="30" customHeight="1">
      <x:c r="A115" s="17" t="str">
        <x:v>RT0402BRD0782K5L</x:v>
      </x:c>
      <x:c r="B115" s="20" t="str">
        <x:v>YAGEO</x:v>
      </x:c>
      <x:c r="C115" s="19" t="n">
        <x:v>2</x:v>
      </x:c>
      <x:c r="D115" s="20" t="str">
        <x:v>82.5k0.1%25ppm</x:v>
      </x:c>
      <x:c r="E115" s="20" t="str">
        <x:v>R20, R754</x:v>
      </x:c>
      <x:c r="F115" s="17" t="str">
        <x:v>B</x:v>
      </x:c>
      <x:c r="G115" s="17" t="str">
        <x:v>SMT</x:v>
      </x:c>
      <x:c r="H115" s="20" t="str">
        <x:v>Resistor_SMD:R_0402_1005Metric</x:v>
      </x:c>
      <x:c r="I115" s="20" t="str"/>
    </x:row>
    <x:row r="116" ht="30" customHeight="1">
      <x:c r="A116" s="17" t="str">
        <x:v>TNPW0402100KBEED</x:v>
      </x:c>
      <x:c r="B116" s="20" t="str">
        <x:v>Vishay</x:v>
      </x:c>
      <x:c r="C116" s="19" t="n">
        <x:v>3</x:v>
      </x:c>
      <x:c r="D116" s="20" t="str">
        <x:v>100k</x:v>
      </x:c>
      <x:c r="E116" s="20" t="str">
        <x:v>R760, R762, R764</x:v>
      </x:c>
      <x:c r="F116" s="17" t="str">
        <x:v>B, F</x:v>
      </x:c>
      <x:c r="G116" s="17" t="str">
        <x:v>SMT</x:v>
      </x:c>
      <x:c r="H116" s="20" t="str">
        <x:v>Resistor_SMD:R_0402_1005Metric</x:v>
      </x:c>
      <x:c r="I116" s="20" t="str"/>
    </x:row>
    <x:row r="117" ht="30" customHeight="1">
      <x:c r="A117" s="17" t="str">
        <x:v>RT0603BRD0727KL</x:v>
      </x:c>
      <x:c r="B117" s="20" t="str">
        <x:v>YAGEO</x:v>
      </x:c>
      <x:c r="C117" s="19" t="n">
        <x:v>1</x:v>
      </x:c>
      <x:c r="D117" s="20" t="str">
        <x:v>27k 0.1% 25ppm</x:v>
      </x:c>
      <x:c r="E117" s="20" t="str">
        <x:v>R768</x:v>
      </x:c>
      <x:c r="F117" s="17" t="str">
        <x:v>B</x:v>
      </x:c>
      <x:c r="G117" s="17" t="str">
        <x:v>SMT</x:v>
      </x:c>
      <x:c r="H117" s="20" t="str">
        <x:v>carrier:RevA_Dense100_50_R768</x:v>
      </x:c>
      <x:c r="I117" s="20" t="str"/>
    </x:row>
    <x:row r="118" ht="30" customHeight="1">
      <x:c r="A118" s="17" t="str">
        <x:v>CRCW04022K49FKED</x:v>
      </x:c>
      <x:c r="B118" s="20" t="str">
        <x:v>Vishay</x:v>
      </x:c>
      <x:c r="C118" s="19" t="n">
        <x:v>3</x:v>
      </x:c>
      <x:c r="D118" s="20" t="str">
        <x:v>2.49k 1% 0402</x:v>
      </x:c>
      <x:c r="E118" s="20" t="str">
        <x:v>R45, R775, R776</x:v>
      </x:c>
      <x:c r="F118" s="17" t="str">
        <x:v>B</x:v>
      </x:c>
      <x:c r="G118" s="17" t="str">
        <x:v>SMT</x:v>
      </x:c>
      <x:c r="H118" s="20" t="str">
        <x:v>Resistor_SMD:R_0402_1005Metric</x:v>
      </x:c>
      <x:c r="I118" s="20" t="str"/>
    </x:row>
    <x:row r="119" ht="30" customHeight="1">
      <x:c r="A119" s="17" t="str">
        <x:v>CRCW0402499RFKED</x:v>
      </x:c>
      <x:c r="B119" s="20" t="str">
        <x:v>Vishay</x:v>
      </x:c>
      <x:c r="C119" s="19" t="n">
        <x:v>1</x:v>
      </x:c>
      <x:c r="D119" s="20" t="str">
        <x:v>499</x:v>
      </x:c>
      <x:c r="E119" s="20" t="str">
        <x:v>R802</x:v>
      </x:c>
      <x:c r="F119" s="17" t="str">
        <x:v>B</x:v>
      </x:c>
      <x:c r="G119" s="17" t="str">
        <x:v>SMT</x:v>
      </x:c>
      <x:c r="H119" s="20" t="str">
        <x:v>Resistor_SMD:R_0402_1005Metric</x:v>
      </x:c>
      <x:c r="I119" s="20" t="str"/>
    </x:row>
    <x:row r="120" ht="30" customHeight="1">
      <x:c r="A120" s="17" t="str">
        <x:v>RC0402FR-071K8L</x:v>
      </x:c>
      <x:c r="B120" s="20" t="str">
        <x:v>Yageo</x:v>
      </x:c>
      <x:c r="C120" s="19" t="n">
        <x:v>1</x:v>
      </x:c>
      <x:c r="D120" s="20" t="str">
        <x:v>1.8k 1%</x:v>
      </x:c>
      <x:c r="E120" s="20" t="str">
        <x:v>R814</x:v>
      </x:c>
      <x:c r="F120" s="17" t="str">
        <x:v>B</x:v>
      </x:c>
      <x:c r="G120" s="17" t="str">
        <x:v>SMT</x:v>
      </x:c>
      <x:c r="H120" s="20" t="str">
        <x:v>Resistor_SMD:R_0402_1005Metric</x:v>
      </x:c>
      <x:c r="I120" s="20" t="str">
        <x:v>C163481</x:v>
      </x:c>
    </x:row>
    <x:row r="121" ht="36" customHeight="1">
      <x:c r="A121" s="17" t="str">
        <x:v>CRCW0402150RFKED</x:v>
      </x:c>
      <x:c r="B121" s="20" t="str">
        <x:v>Vishay Dale</x:v>
      </x:c>
      <x:c r="C121" s="19" t="n">
        <x:v>1</x:v>
      </x:c>
      <x:c r="D121" s="20" t="str">
        <x:v>150ohm 1% 100ppm MISO source damping</x:v>
      </x:c>
      <x:c r="E121" s="20" t="str">
        <x:v>R825</x:v>
      </x:c>
      <x:c r="F121" s="17" t="str">
        <x:v>B</x:v>
      </x:c>
      <x:c r="G121" s="17" t="str">
        <x:v>SMT</x:v>
      </x:c>
      <x:c r="H121" s="20" t="str">
        <x:v>Resistor_SMD:R_0402_1005Metric</x:v>
      </x:c>
      <x:c r="I121" s="20" t="str"/>
    </x:row>
    <x:row r="122" ht="36" customHeight="1">
      <x:c r="A122" s="17" t="str">
        <x:v>CRCW040222R0FKED</x:v>
      </x:c>
      <x:c r="B122" s="20" t="str">
        <x:v>Vishay</x:v>
      </x:c>
      <x:c r="C122" s="19" t="n">
        <x:v>9</x:v>
      </x:c>
      <x:c r="D122" s="20" t="str">
        <x:v>22R</x:v>
      </x:c>
      <x:c r="E122" s="20" t="str">
        <x:v>R29, R30, R31, R33, R34, R35, R826, R827, R828</x:v>
      </x:c>
      <x:c r="F122" s="17" t="str">
        <x:v>B, F</x:v>
      </x:c>
      <x:c r="G122" s="17" t="str">
        <x:v>SMT</x:v>
      </x:c>
      <x:c r="H122" s="20" t="str">
        <x:v>Resistor_SMD:R_0402_1005Metric; carrier:R_0402_1005Metric_DenseRevA_R34; carrier:RevA_DensePrimary100_PIN50_R826</x:v>
      </x:c>
      <x:c r="I122" s="20" t="str"/>
    </x:row>
    <x:row r="123" ht="30" customHeight="1">
      <x:c r="A123" s="17" t="str">
        <x:v>B3U-1000P</x:v>
      </x:c>
      <x:c r="B123" s="20" t="str">
        <x:v>Omron</x:v>
      </x:c>
      <x:c r="C123" s="19" t="n">
        <x:v>2</x:v>
      </x:c>
      <x:c r="D123" s="20" t="str">
        <x:v>RESET 400ms</x:v>
      </x:c>
      <x:c r="E123" s="20" t="str">
        <x:v>SW1, SW2</x:v>
      </x:c>
      <x:c r="F123" s="17" t="str">
        <x:v>F</x:v>
      </x:c>
      <x:c r="G123" s="17" t="str">
        <x:v>SMT</x:v>
      </x:c>
      <x:c r="H123" s="20" t="str">
        <x:v>Button_Switch_SMD:SW_SPST_B3U-1000P</x:v>
      </x:c>
      <x:c r="I123" s="20" t="str"/>
    </x:row>
    <x:row r="124" ht="36" customHeight="1">
      <x:c r="A124" s="17" t="str">
        <x:v>MP4583GQVE-Z</x:v>
      </x:c>
      <x:c r="B124" s="20" t="str">
        <x:v>Monolithic Power Systems</x:v>
      </x:c>
      <x:c r="C124" s="19" t="n">
        <x:v>1</x:v>
      </x:c>
      <x:c r="D124" s="20" t="str">
        <x:v>MP4583GQVE-Z 100V 3A synchronous 12V buck</x:v>
      </x:c>
      <x:c r="E124" s="20" t="str">
        <x:v>U1</x:v>
      </x:c>
      <x:c r="F124" s="17" t="str">
        <x:v>F</x:v>
      </x:c>
      <x:c r="G124" s="17" t="str">
        <x:v>SMT</x:v>
      </x:c>
      <x:c r="H124" s="20" t="str">
        <x:v>carrier:MPS_MP4583_QFN19_3x5_PRIMARY</x:v>
      </x:c>
      <x:c r="I124" s="20" t="str"/>
    </x:row>
    <x:row r="125" ht="36" customHeight="1">
      <x:c r="A125" s="17" t="str">
        <x:v>MP2329GG-P</x:v>
      </x:c>
      <x:c r="B125" s="20" t="str">
        <x:v>Monolithic Power Systems</x:v>
      </x:c>
      <x:c r="C125" s="19" t="n">
        <x:v>1</x:v>
      </x:c>
      <x:c r="D125" s="20" t="str">
        <x:v>MP2329GG-P 24V 6.5A buck, 4.056V REG</x:v>
      </x:c>
      <x:c r="E125" s="20" t="str">
        <x:v>U3</x:v>
      </x:c>
      <x:c r="F125" s="17" t="str">
        <x:v>B</x:v>
      </x:c>
      <x:c r="G125" s="17" t="str">
        <x:v>SMT</x:v>
      </x:c>
      <x:c r="H125" s="20" t="str">
        <x:v>carrier:MPS_MP2386_QFN11_2x2</x:v>
      </x:c>
      <x:c r="I125" s="20" t="str"/>
    </x:row>
    <x:row r="126" ht="30" customHeight="1">
      <x:c r="A126" s="17" t="str">
        <x:v>TPS62912RPUR</x:v>
      </x:c>
      <x:c r="B126" s="20" t="str">
        <x:v>Texas Instruments</x:v>
      </x:c>
      <x:c r="C126" s="19" t="n">
        <x:v>3</x:v>
      </x:c>
      <x:c r="D126" s="20" t="str">
        <x:v>TPS62912RPUR</x:v>
      </x:c>
      <x:c r="E126" s="20" t="str">
        <x:v>U4, U5, U520</x:v>
      </x:c>
      <x:c r="F126" s="17" t="str">
        <x:v>F</x:v>
      </x:c>
      <x:c r="G126" s="17" t="str">
        <x:v>SMT</x:v>
      </x:c>
      <x:c r="H126" s="20" t="str">
        <x:v>carrier:TI_RPU0010A_TPS62912</x:v>
      </x:c>
      <x:c r="I126" s="20" t="str"/>
    </x:row>
    <x:row r="127" ht="30" customHeight="1">
      <x:c r="A127" s="17" t="str">
        <x:v>TPD4E1U06DBVR</x:v>
      </x:c>
      <x:c r="B127" s="20" t="str">
        <x:v>Texas Instruments</x:v>
      </x:c>
      <x:c r="C127" s="19" t="n">
        <x:v>1</x:v>
      </x:c>
      <x:c r="D127" s="20" t="str">
        <x:v>TPD4E1U06DBVR</x:v>
      </x:c>
      <x:c r="E127" s="20" t="str">
        <x:v>U7</x:v>
      </x:c>
      <x:c r="F127" s="17" t="str">
        <x:v>B</x:v>
      </x:c>
      <x:c r="G127" s="17" t="str">
        <x:v>SMT</x:v>
      </x:c>
      <x:c r="H127" s="20" t="str">
        <x:v>Package_TO_SOT_SMD:SOT-23-6</x:v>
      </x:c>
      <x:c r="I127" s="20" t="str"/>
    </x:row>
    <x:row r="128" ht="36" customHeight="1">
      <x:c r="A128" s="17" t="str">
        <x:v>ST4SI3M004600HFW</x:v>
      </x:c>
      <x:c r="B128" s="20" t="str">
        <x:v>STMicroelectronics</x:v>
      </x:c>
      <x:c r="C128" s="19" t="n">
        <x:v>1</x:v>
      </x:c>
      <x:c r="D128" s="20" t="str">
        <x:v>ST4SIM-300M SGP.32 experimental population</x:v>
      </x:c>
      <x:c r="E128" s="20" t="str">
        <x:v>U8</x:v>
      </x:c>
      <x:c r="F128" s="17" t="str">
        <x:v>F</x:v>
      </x:c>
      <x:c r="G128" s="17" t="str">
        <x:v>SMT</x:v>
      </x:c>
      <x:c r="H128" s="20" t="str">
        <x:v>carrier:ST_ST4SI3M004600HFW_MFF2_ETSI</x:v>
      </x:c>
      <x:c r="I128" s="20" t="str"/>
    </x:row>
    <x:row r="129" ht="30" customHeight="1">
      <x:c r="A129" s="17" t="str">
        <x:v>USBLC6-2P6</x:v>
      </x:c>
      <x:c r="B129" s="20" t="str">
        <x:v>STMicroelectronics</x:v>
      </x:c>
      <x:c r="C129" s="19" t="n">
        <x:v>1</x:v>
      </x:c>
      <x:c r="D129" s="20" t="str">
        <x:v>USBLC6-2P6</x:v>
      </x:c>
      <x:c r="E129" s="20" t="str">
        <x:v>U9</x:v>
      </x:c>
      <x:c r="F129" s="17" t="str">
        <x:v>F</x:v>
      </x:c>
      <x:c r="G129" s="17" t="str">
        <x:v>SMT</x:v>
      </x:c>
      <x:c r="H129" s="20" t="str">
        <x:v>carrier:USBLC6-2P6_ST_SOT666</x:v>
      </x:c>
      <x:c r="I129" s="20" t="str">
        <x:v>C15999</x:v>
      </x:c>
    </x:row>
    <x:row r="130" ht="30" customHeight="1">
      <x:c r="A130" s="17" t="str">
        <x:v>RTL8125BG-CG</x:v>
      </x:c>
      <x:c r="B130" s="20" t="str">
        <x:v>Realtek</x:v>
      </x:c>
      <x:c r="C130" s="19" t="n">
        <x:v>1</x:v>
      </x:c>
      <x:c r="D130" s="20" t="str">
        <x:v>RTL8125BG-CG</x:v>
      </x:c>
      <x:c r="E130" s="20" t="str">
        <x:v>U10</x:v>
      </x:c>
      <x:c r="F130" s="17" t="str">
        <x:v>F</x:v>
      </x:c>
      <x:c r="G130" s="17" t="str">
        <x:v>SMT</x:v>
      </x:c>
      <x:c r="H130" s="20" t="str">
        <x:v>carrier:TQFN-48_L6.0-W6.0-P0.40-BL-EP4.5_RevA_EP625_890_Heatsink1090</x:v>
      </x:c>
      <x:c r="I130" s="20" t="str">
        <x:v>C3013605</x:v>
      </x:c>
    </x:row>
    <x:row r="131" ht="30" customHeight="1">
      <x:c r="A131" s="17" t="str">
        <x:v>TPS3808G01DBVR</x:v>
      </x:c>
      <x:c r="B131" s="20" t="str">
        <x:v>Texas Instruments</x:v>
      </x:c>
      <x:c r="C131" s="19" t="n">
        <x:v>2</x:v>
      </x:c>
      <x:c r="D131" s="20" t="str">
        <x:v>TPS3808G01DBVR</x:v>
      </x:c>
      <x:c r="E131" s="20" t="str">
        <x:v>U12, U16</x:v>
      </x:c>
      <x:c r="F131" s="17" t="str">
        <x:v>B</x:v>
      </x:c>
      <x:c r="G131" s="17" t="str">
        <x:v>SMT</x:v>
      </x:c>
      <x:c r="H131" s="20" t="str">
        <x:v>Package_TO_SOT_SMD:SOT-23-6</x:v>
      </x:c>
      <x:c r="I131" s="20" t="str"/>
    </x:row>
    <x:row r="132" ht="30" customHeight="1">
      <x:c r="A132" s="17" t="str">
        <x:v>AT93C46DN-SH-T</x:v>
      </x:c>
      <x:c r="B132" s="20" t="str">
        <x:v>Microchip</x:v>
      </x:c>
      <x:c r="C132" s="19" t="n">
        <x:v>1</x:v>
      </x:c>
      <x:c r="D132" s="20" t="str">
        <x:v>AT93C46DN-SH-T</x:v>
      </x:c>
      <x:c r="E132" s="20" t="str">
        <x:v>U13</x:v>
      </x:c>
      <x:c r="F132" s="17" t="str">
        <x:v>F</x:v>
      </x:c>
      <x:c r="G132" s="17" t="str">
        <x:v>SMT</x:v>
      </x:c>
      <x:c r="H132" s="20" t="str">
        <x:v>Package_SO:SOIC-8_3.9x4.9mm_P1.27mm</x:v>
      </x:c>
      <x:c r="I132" s="20" t="str"/>
    </x:row>
    <x:row r="133" ht="30" customHeight="1">
      <x:c r="A133" s="17" t="str">
        <x:v>SN74LVC1G97DBVR</x:v>
      </x:c>
      <x:c r="B133" s="20" t="str">
        <x:v>Texas Instruments</x:v>
      </x:c>
      <x:c r="C133" s="19" t="n">
        <x:v>3</x:v>
      </x:c>
      <x:c r="D133" s="20" t="str">
        <x:v>SN74LVC1G97DBVR</x:v>
      </x:c>
      <x:c r="E133" s="20" t="str">
        <x:v>U15, U26, U33</x:v>
      </x:c>
      <x:c r="F133" s="17" t="str">
        <x:v>B, F</x:v>
      </x:c>
      <x:c r="G133" s="17" t="str">
        <x:v>SMT</x:v>
      </x:c>
      <x:c r="H133" s="20" t="str">
        <x:v>Package_TO_SOT_SMD:SOT-23-6</x:v>
      </x:c>
      <x:c r="I133" s="20" t="str"/>
    </x:row>
    <x:row r="134" ht="30" customHeight="1">
      <x:c r="A134" s="17" t="str">
        <x:v>SN74LVC1G08DBVR</x:v>
      </x:c>
      <x:c r="B134" s="20" t="str">
        <x:v>Texas Instruments</x:v>
      </x:c>
      <x:c r="C134" s="19" t="n">
        <x:v>2</x:v>
      </x:c>
      <x:c r="D134" s="20" t="str">
        <x:v>SN74LVC1G08DBVR</x:v>
      </x:c>
      <x:c r="E134" s="20" t="str">
        <x:v>U17, U36</x:v>
      </x:c>
      <x:c r="F134" s="17" t="str">
        <x:v>B, F</x:v>
      </x:c>
      <x:c r="G134" s="17" t="str">
        <x:v>SMT</x:v>
      </x:c>
      <x:c r="H134" s="20" t="str">
        <x:v>Package_TO_SOT_SMD:SOT-23-5</x:v>
      </x:c>
      <x:c r="I134" s="20" t="str"/>
    </x:row>
    <x:row r="135" ht="30" customHeight="1">
      <x:c r="A135" s="17" t="str">
        <x:v>TPD1E05U06DPYR</x:v>
      </x:c>
      <x:c r="B135" s="20" t="str">
        <x:v>Texas Instruments</x:v>
      </x:c>
      <x:c r="C135" s="19" t="n">
        <x:v>3</x:v>
      </x:c>
      <x:c r="D135" s="20" t="str">
        <x:v>TPD1E05U06DPYR</x:v>
      </x:c>
      <x:c r="E135" s="20" t="str">
        <x:v>U14, U19, U20</x:v>
      </x:c>
      <x:c r="F135" s="17" t="str">
        <x:v>B, F</x:v>
      </x:c>
      <x:c r="G135" s="17" t="str">
        <x:v>SMT</x:v>
      </x:c>
      <x:c r="H135" s="20" t="str">
        <x:v>Package_SON:Texas_DPY0002A_0.6x1mm_P0.65mm</x:v>
      </x:c>
      <x:c r="I135" s="20" t="str"/>
    </x:row>
    <x:row r="136" ht="30" customHeight="1">
      <x:c r="A136" s="17" t="str">
        <x:v>TPS259474LRPWR</x:v>
      </x:c>
      <x:c r="B136" s="20" t="str">
        <x:v>Texas Instruments</x:v>
      </x:c>
      <x:c r="C136" s="19" t="n">
        <x:v>2</x:v>
      </x:c>
      <x:c r="D136" s="20" t="str">
        <x:v>TPS259474LRPWR</x:v>
      </x:c>
      <x:c r="E136" s="20" t="str">
        <x:v>U21, U986</x:v>
      </x:c>
      <x:c r="F136" s="17" t="str">
        <x:v>B, F</x:v>
      </x:c>
      <x:c r="G136" s="17" t="str">
        <x:v>SMT</x:v>
      </x:c>
      <x:c r="H136" s="20" t="str">
        <x:v>carrier:TI_RPW0010A_TPS25947</x:v>
      </x:c>
      <x:c r="I136" s="20" t="str"/>
    </x:row>
    <x:row r="137" ht="30" customHeight="1">
      <x:c r="A137" s="17" t="str">
        <x:v>TPS259474ARPWR</x:v>
      </x:c>
      <x:c r="B137" s="20" t="str">
        <x:v>Texas Instruments</x:v>
      </x:c>
      <x:c r="C137" s="19" t="n">
        <x:v>1</x:v>
      </x:c>
      <x:c r="D137" s="20" t="str">
        <x:v>TPS259474ARPWR</x:v>
      </x:c>
      <x:c r="E137" s="20" t="str">
        <x:v>U22</x:v>
      </x:c>
      <x:c r="F137" s="17" t="str">
        <x:v>F</x:v>
      </x:c>
      <x:c r="G137" s="17" t="str">
        <x:v>SMT</x:v>
      </x:c>
      <x:c r="H137" s="20" t="str">
        <x:v>carrier:TI_RPW0010A_TPS25947</x:v>
      </x:c>
      <x:c r="I137" s="20" t="str"/>
    </x:row>
    <x:row r="138" ht="30" customHeight="1">
      <x:c r="A138" s="17" t="str">
        <x:v>TPS389001DSER</x:v>
      </x:c>
      <x:c r="B138" s="20" t="str">
        <x:v>Texas Instruments</x:v>
      </x:c>
      <x:c r="C138" s="19" t="n">
        <x:v>1</x:v>
      </x:c>
      <x:c r="D138" s="20" t="str">
        <x:v>TPS389001DSER</x:v>
      </x:c>
      <x:c r="E138" s="20" t="str">
        <x:v>U29</x:v>
      </x:c>
      <x:c r="F138" s="17" t="str">
        <x:v>F</x:v>
      </x:c>
      <x:c r="G138" s="17" t="str">
        <x:v>SMT</x:v>
      </x:c>
      <x:c r="H138" s="20" t="str">
        <x:v>carrier:TI_DSE6_TPS3890_1p5x1p5_Manufacturer</x:v>
      </x:c>
      <x:c r="I138" s="20" t="str"/>
    </x:row>
    <x:row r="139" ht="30" customHeight="1">
      <x:c r="A139" s="17" t="str">
        <x:v>SN74AUP1G17DBVR</x:v>
      </x:c>
      <x:c r="B139" s="20" t="str">
        <x:v>Texas Instruments</x:v>
      </x:c>
      <x:c r="C139" s="19" t="n">
        <x:v>1</x:v>
      </x:c>
      <x:c r="D139" s="20" t="str">
        <x:v>SN74AUP1G17DBVR</x:v>
      </x:c>
      <x:c r="E139" s="20" t="str">
        <x:v>U30</x:v>
      </x:c>
      <x:c r="F139" s="17" t="str">
        <x:v>F</x:v>
      </x:c>
      <x:c r="G139" s="17" t="str">
        <x:v>SMT</x:v>
      </x:c>
      <x:c r="H139" s="20" t="str">
        <x:v>Package_TO_SOT_SMD:SOT-23-5</x:v>
      </x:c>
      <x:c r="I139" s="20" t="str"/>
    </x:row>
    <x:row r="140" ht="30" customHeight="1">
      <x:c r="A140" s="17" t="str">
        <x:v>TPS7A2033PDBVR</x:v>
      </x:c>
      <x:c r="B140" s="20" t="str">
        <x:v>Texas Instruments</x:v>
      </x:c>
      <x:c r="C140" s="19" t="n">
        <x:v>1</x:v>
      </x:c>
      <x:c r="D140" s="20" t="str">
        <x:v>TPS7A2033PDBVR</x:v>
      </x:c>
      <x:c r="E140" s="20" t="str">
        <x:v>U31</x:v>
      </x:c>
      <x:c r="F140" s="17" t="str">
        <x:v>B</x:v>
      </x:c>
      <x:c r="G140" s="17" t="str">
        <x:v>SMT</x:v>
      </x:c>
      <x:c r="H140" s="20" t="str">
        <x:v>Package_TO_SOT_SMD:SOT-23-5</x:v>
      </x:c>
      <x:c r="I140" s="20" t="str"/>
    </x:row>
    <x:row r="141" ht="30" customHeight="1">
      <x:c r="A141" s="17" t="str">
        <x:v>TMUX1511PWR</x:v>
      </x:c>
      <x:c r="B141" s="20" t="str">
        <x:v>Texas Instruments</x:v>
      </x:c>
      <x:c r="C141" s="19" t="n">
        <x:v>3</x:v>
      </x:c>
      <x:c r="D141" s="20" t="str">
        <x:v>TMUX1511PWR</x:v>
      </x:c>
      <x:c r="E141" s="20" t="str">
        <x:v>U32, U34, U748</x:v>
      </x:c>
      <x:c r="F141" s="17" t="str">
        <x:v>B, F</x:v>
      </x:c>
      <x:c r="G141" s="17" t="str">
        <x:v>SMT</x:v>
      </x:c>
      <x:c r="H141" s="20" t="str">
        <x:v>Package_SO:TSSOP-14_4.4x5mm_P0.65mm</x:v>
      </x:c>
      <x:c r="I141" s="20" t="str"/>
    </x:row>
    <x:row r="142" ht="30" customHeight="1">
      <x:c r="A142" s="17" t="str">
        <x:v>TLV7011DBVR</x:v>
      </x:c>
      <x:c r="B142" s="20" t="str">
        <x:v>Texas Instruments</x:v>
      </x:c>
      <x:c r="C142" s="19" t="n">
        <x:v>1</x:v>
      </x:c>
      <x:c r="D142" s="20" t="str">
        <x:v>TLV7011DBVR</x:v>
      </x:c>
      <x:c r="E142" s="20" t="str">
        <x:v>U35</x:v>
      </x:c>
      <x:c r="F142" s="17" t="str">
        <x:v>B</x:v>
      </x:c>
      <x:c r="G142" s="17" t="str">
        <x:v>SMT</x:v>
      </x:c>
      <x:c r="H142" s="20" t="str">
        <x:v>Package_TO_SOT_SMD:SOT-23-5</x:v>
      </x:c>
      <x:c r="I142" s="20" t="str"/>
    </x:row>
    <x:row r="143" ht="36" customHeight="1">
      <x:c r="A143" s="17" t="str">
        <x:v>H2414QR</x:v>
      </x:c>
      <x:c r="B143" s="20" t="str">
        <x:v>E-NETTR (Dongguan Xiangxing Electronics)</x:v>
      </x:c>
      <x:c r="C143" s="19" t="n">
        <x:v>1</x:v>
      </x:c>
      <x:c r="D143" s="20" t="str">
        <x:v>H2414QR 2.5/5G 1A PoE capability, engineering prototype</x:v>
      </x:c>
      <x:c r="E143" s="20" t="str">
        <x:v>U40</x:v>
      </x:c>
      <x:c r="F143" s="17" t="str">
        <x:v>F</x:v>
      </x:c>
      <x:c r="G143" s="17" t="str">
        <x:v>SMT</x:v>
      </x:c>
      <x:c r="H143" s="20" t="str">
        <x:v>carrier:ENETTR_H2414QR_24_SMD_Manufacturer</x:v>
      </x:c>
      <x:c r="I143" s="20" t="str">
        <x:v>C4155001</x:v>
      </x:c>
    </x:row>
    <x:row r="144" ht="36" customHeight="1">
      <x:c r="A144" s="17" t="str">
        <x:v>TPS2553DBVR-1</x:v>
      </x:c>
      <x:c r="B144" s="20" t="str">
        <x:v>Texas Instruments</x:v>
      </x:c>
      <x:c r="C144" s="19" t="n">
        <x:v>1</x:v>
      </x:c>
      <x:c r="D144" s="20" t="str">
        <x:v>TPS2553DBVR-1 latched radio power</x:v>
      </x:c>
      <x:c r="E144" s="20" t="str">
        <x:v>U523</x:v>
      </x:c>
      <x:c r="F144" s="17" t="str">
        <x:v>B</x:v>
      </x:c>
      <x:c r="G144" s="17" t="str">
        <x:v>SMT</x:v>
      </x:c>
      <x:c r="H144" s="20" t="str">
        <x:v>Package_TO_SOT_SMD:SOT-23-6</x:v>
      </x:c>
      <x:c r="I144" s="20" t="str">
        <x:v>C111738</x:v>
      </x:c>
    </x:row>
    <x:row r="145" ht="36" customHeight="1">
      <x:c r="A145" s="17" t="str">
        <x:v>TPS2490DGSR</x:v>
      </x:c>
      <x:c r="B145" s="20" t="str">
        <x:v>Texas Instruments</x:v>
      </x:c>
      <x:c r="C145" s="19" t="n">
        <x:v>1</x:v>
      </x:c>
      <x:c r="D145" s="20" t="str">
        <x:v>TPS2490 latched high-voltage hot-swap</x:v>
      </x:c>
      <x:c r="E145" s="20" t="str">
        <x:v>U700</x:v>
      </x:c>
      <x:c r="F145" s="17" t="str">
        <x:v>F</x:v>
      </x:c>
      <x:c r="G145" s="17" t="str">
        <x:v>SMT</x:v>
      </x:c>
      <x:c r="H145" s="20" t="str">
        <x:v>carrier:TI_DGS0010A_TPS2490_PRIMARY</x:v>
      </x:c>
      <x:c r="I145" s="20" t="str"/>
    </x:row>
    <x:row r="146" ht="30" customHeight="1">
      <x:c r="A146" s="17" t="str">
        <x:v>SN74LVC1G00DBVR</x:v>
      </x:c>
      <x:c r="B146" s="20" t="str">
        <x:v>Texas Instruments</x:v>
      </x:c>
      <x:c r="C146" s="19" t="n">
        <x:v>2</x:v>
      </x:c>
      <x:c r="D146" s="20" t="str">
        <x:v>SN74LVC1G00DBVR radio OE guard</x:v>
      </x:c>
      <x:c r="E146" s="20" t="str">
        <x:v>U742, U774</x:v>
      </x:c>
      <x:c r="F146" s="17" t="str">
        <x:v>B</x:v>
      </x:c>
      <x:c r="G146" s="17" t="str">
        <x:v>SMT</x:v>
      </x:c>
      <x:c r="H146" s="20" t="str">
        <x:v>Package_TO_SOT_SMD:SOT-23-5</x:v>
      </x:c>
      <x:c r="I146" s="20" t="str">
        <x:v>C7826</x:v>
      </x:c>
    </x:row>
    <x:row r="147" ht="30" customHeight="1">
      <x:c r="A147" s="17" t="str">
        <x:v>SN74LVC3G17DCUR</x:v>
      </x:c>
      <x:c r="B147" s="20" t="str">
        <x:v>Texas Instruments</x:v>
      </x:c>
      <x:c r="C147" s="19" t="n">
        <x:v>1</x:v>
      </x:c>
      <x:c r="D147" s="20" t="str">
        <x:v>SN74LVC3G17DCUR</x:v>
      </x:c>
      <x:c r="E147" s="20" t="str">
        <x:v>U749</x:v>
      </x:c>
      <x:c r="F147" s="17" t="str">
        <x:v>B</x:v>
      </x:c>
      <x:c r="G147" s="17" t="str">
        <x:v>SMT</x:v>
      </x:c>
      <x:c r="H147" s="20" t="str">
        <x:v>carrier:TI_DCU8_LVC3G17</x:v>
      </x:c>
      <x:c r="I147" s="20" t="str"/>
    </x:row>
    <x:row r="148" ht="30" customHeight="1">
      <x:c r="A148" s="17" t="str">
        <x:v>TMP102AIDRLR</x:v>
      </x:c>
      <x:c r="B148" s="20" t="str">
        <x:v>Texas Instruments</x:v>
      </x:c>
      <x:c r="C148" s="19" t="n">
        <x:v>1</x:v>
      </x:c>
      <x:c r="D148" s="20" t="str">
        <x:v>TMP102AIDRLR</x:v>
      </x:c>
      <x:c r="E148" s="20" t="str">
        <x:v>U752</x:v>
      </x:c>
      <x:c r="F148" s="17" t="str">
        <x:v>B</x:v>
      </x:c>
      <x:c r="G148" s="17" t="str">
        <x:v>SMT</x:v>
      </x:c>
      <x:c r="H148" s="20" t="str">
        <x:v>carrier:SOT563_TMP102</x:v>
      </x:c>
      <x:c r="I148" s="20" t="str"/>
    </x:row>
    <x:row r="149" ht="30" customHeight="1">
      <x:c r="A149" s="17" t="str">
        <x:v>TPS3808G33DBVR</x:v>
      </x:c>
      <x:c r="B149" s="20" t="str">
        <x:v>Texas Instruments</x:v>
      </x:c>
      <x:c r="C149" s="19" t="n">
        <x:v>1</x:v>
      </x:c>
      <x:c r="D149" s="20" t="str">
        <x:v>TPS3808G33DBVR radio PG</x:v>
      </x:c>
      <x:c r="E149" s="20" t="str">
        <x:v>U756</x:v>
      </x:c>
      <x:c r="F149" s="17" t="str">
        <x:v>B</x:v>
      </x:c>
      <x:c r="G149" s="17" t="str">
        <x:v>SMT</x:v>
      </x:c>
      <x:c r="H149" s="20" t="str">
        <x:v>Package_TO_SOT_SMD:SOT-23-6</x:v>
      </x:c>
      <x:c r="I149" s="20" t="str">
        <x:v>C43698</x:v>
      </x:c>
    </x:row>
    <x:row r="150" ht="30" customHeight="1">
      <x:c r="A150" s="17" t="str">
        <x:v>SN74LVC1G04DBVR</x:v>
      </x:c>
      <x:c r="B150" s="20" t="str">
        <x:v>Texas Instruments</x:v>
      </x:c>
      <x:c r="C150" s="19" t="n">
        <x:v>1</x:v>
      </x:c>
      <x:c r="D150" s="20" t="str">
        <x:v>SN74LVC1G04DBVR</x:v>
      </x:c>
      <x:c r="E150" s="20" t="str">
        <x:v>U770</x:v>
      </x:c>
      <x:c r="F150" s="17" t="str">
        <x:v>B</x:v>
      </x:c>
      <x:c r="G150" s="17" t="str">
        <x:v>SMT</x:v>
      </x:c>
      <x:c r="H150" s="20" t="str">
        <x:v>Package_TO_SOT_SMD:SOT-23-5</x:v>
      </x:c>
      <x:c r="I150" s="20" t="str"/>
    </x:row>
    <x:row r="151" ht="30" customHeight="1">
      <x:c r="A151" s="17" t="str">
        <x:v>SN74LVC1G11DBVR</x:v>
      </x:c>
      <x:c r="B151" s="20" t="str">
        <x:v>Texas Instruments</x:v>
      </x:c>
      <x:c r="C151" s="19" t="n">
        <x:v>3</x:v>
      </x:c>
      <x:c r="D151" s="20" t="str">
        <x:v>SN74LVC1G11DBVR</x:v>
      </x:c>
      <x:c r="E151" s="20" t="str">
        <x:v>U522, U531, U771</x:v>
      </x:c>
      <x:c r="F151" s="17" t="str">
        <x:v>B</x:v>
      </x:c>
      <x:c r="G151" s="17" t="str">
        <x:v>SMT</x:v>
      </x:c>
      <x:c r="H151" s="20" t="str">
        <x:v>Package_TO_SOT_SMD:SOT-23-6</x:v>
      </x:c>
      <x:c r="I151" s="20" t="str"/>
    </x:row>
    <x:row r="152" ht="30" customHeight="1">
      <x:c r="A152" s="17" t="str">
        <x:v>SN74LVC1G32DBVR</x:v>
      </x:c>
      <x:c r="B152" s="20" t="str">
        <x:v>Texas Instruments</x:v>
      </x:c>
      <x:c r="C152" s="19" t="n">
        <x:v>1</x:v>
      </x:c>
      <x:c r="D152" s="20" t="str">
        <x:v>SN74LVC1G32DBVR</x:v>
      </x:c>
      <x:c r="E152" s="20" t="str">
        <x:v>U776</x:v>
      </x:c>
      <x:c r="F152" s="17" t="str">
        <x:v>B</x:v>
      </x:c>
      <x:c r="G152" s="17" t="str">
        <x:v>SMT</x:v>
      </x:c>
      <x:c r="H152" s="20" t="str">
        <x:v>Package_TO_SOT_SMD:SOT-23-5</x:v>
      </x:c>
      <x:c r="I152" s="20" t="str"/>
    </x:row>
    <x:row r="153" ht="30" customHeight="1">
      <x:c r="A153" s="17" t="str">
        <x:v>ESP32-S3FN8</x:v>
      </x:c>
      <x:c r="B153" s="20" t="str">
        <x:v>Espressif</x:v>
      </x:c>
      <x:c r="C153" s="19" t="n">
        <x:v>1</x:v>
      </x:c>
      <x:c r="D153" s="20" t="str">
        <x:v>ESP32-S3FN8 USB FS host</x:v>
      </x:c>
      <x:c r="E153" s="20" t="str">
        <x:v>U800</x:v>
      </x:c>
      <x:c r="F153" s="17" t="str">
        <x:v>B</x:v>
      </x:c>
      <x:c r="G153" s="17" t="str">
        <x:v>SMT</x:v>
      </x:c>
      <x:c r="H153" s="20" t="str">
        <x:v>carrier:ESP32_S3FN8_QFN56</x:v>
      </x:c>
      <x:c r="I153" s="20" t="str"/>
    </x:row>
    <x:row r="154" ht="36" customHeight="1">
      <x:c r="A154" s="17" t="str">
        <x:v>E22-900MM22S</x:v>
      </x:c>
      <x:c r="B154" s="20" t="str">
        <x:v>Chengdu Ebyte Electronic Technology</x:v>
      </x:c>
      <x:c r="C154" s="19" t="n">
        <x:v>1</x:v>
      </x:c>
      <x:c r="D154" s="20" t="str">
        <x:v>E22-900MM22S SPI 850-930MHz crystal</x:v>
      </x:c>
      <x:c r="E154" s="20" t="str">
        <x:v>U801</x:v>
      </x:c>
      <x:c r="F154" s="17" t="str">
        <x:v>F</x:v>
      </x:c>
      <x:c r="G154" s="17" t="str">
        <x:v>SMT</x:v>
      </x:c>
      <x:c r="H154" s="20" t="str">
        <x:v>carrier:Ebyte_E22_900MM22S_10x10_20Pad_DenseRevA_U801</x:v>
      </x:c>
      <x:c r="I154" s="20" t="str">
        <x:v>C5333985</x:v>
      </x:c>
    </x:row>
    <x:row r="155" ht="36" customHeight="1">
      <x:c r="A155" s="17" t="str">
        <x:v>SN74AXC8T245PWR</x:v>
      </x:c>
      <x:c r="B155" s="20" t="str">
        <x:v>Texas Instruments</x:v>
      </x:c>
      <x:c r="C155" s="19" t="n">
        <x:v>1</x:v>
      </x:c>
      <x:c r="D155" s="20" t="str">
        <x:v>SN74AXC8T245PWR dual-rail radio isolation</x:v>
      </x:c>
      <x:c r="E155" s="20" t="str">
        <x:v>U802</x:v>
      </x:c>
      <x:c r="F155" s="17" t="str">
        <x:v>F</x:v>
      </x:c>
      <x:c r="G155" s="17" t="str">
        <x:v>SMT</x:v>
      </x:c>
      <x:c r="H155" s="20" t="str">
        <x:v>carrier:RevA_DensePrimary100_PIN50_Flash_U802</x:v>
      </x:c>
      <x:c r="I155" s="20" t="str">
        <x:v>C882718</x:v>
      </x:c>
    </x:row>
    <x:row r="156" ht="36" customHeight="1">
      <x:c r="A156" s="17" t="str">
        <x:v>FSUSB42UMX</x:v>
      </x:c>
      <x:c r="B156" s="20" t="str">
        <x:v>onsemi</x:v>
      </x:c>
      <x:c r="C156" s="19" t="n">
        <x:v>1</x:v>
      </x:c>
      <x:c r="D156" s="20" t="str">
        <x:v>FSUSB42UMX USB2 service/OOB ownership mux</x:v>
      </x:c>
      <x:c r="E156" s="20" t="str">
        <x:v>U803</x:v>
      </x:c>
      <x:c r="F156" s="17" t="str">
        <x:v>B</x:v>
      </x:c>
      <x:c r="G156" s="17" t="str">
        <x:v>SMT</x:v>
      </x:c>
      <x:c r="H156" s="20" t="str">
        <x:v>carrier:FSUSB42_UQFN10_1p4x1p8</x:v>
      </x:c>
      <x:c r="I156" s="20" t="str">
        <x:v>C11145</x:v>
      </x:c>
    </x:row>
    <x:row r="157" ht="36" customHeight="1">
      <x:c r="A157" s="17" t="str">
        <x:v>TPS3435CAKAGDDFR</x:v>
      </x:c>
      <x:c r="B157" s="20" t="str">
        <x:v>Texas Instruments</x:v>
      </x:c>
      <x:c r="C157" s="19" t="n">
        <x:v>1</x:v>
      </x:c>
      <x:c r="D157" s="20" t="str">
        <x:v>Independent1.6s watchdog200msreset</x:v>
      </x:c>
      <x:c r="E157" s="20" t="str">
        <x:v>U804</x:v>
      </x:c>
      <x:c r="F157" s="17" t="str">
        <x:v>B</x:v>
      </x:c>
      <x:c r="G157" s="17" t="str">
        <x:v>SMT</x:v>
      </x:c>
      <x:c r="H157" s="20" t="str">
        <x:v>carrier:TI_DDF8_TPS3435</x:v>
      </x:c>
      <x:c r="I157" s="20" t="str">
        <x:v>C6339182</x:v>
      </x:c>
    </x:row>
    <x:row r="158" ht="36" customHeight="1">
      <x:c r="A158" s="17" t="str">
        <x:v>SN74LVC2G125DCUR</x:v>
      </x:c>
      <x:c r="B158" s="20" t="str">
        <x:v>Texas Instruments</x:v>
      </x:c>
      <x:c r="C158" s="19" t="n">
        <x:v>1</x:v>
      </x:c>
      <x:c r="D158" s="20" t="str">
        <x:v>OOB UART powered-off-safe dual buffer</x:v>
      </x:c>
      <x:c r="E158" s="20" t="str">
        <x:v>U805</x:v>
      </x:c>
      <x:c r="F158" s="17" t="str">
        <x:v>B</x:v>
      </x:c>
      <x:c r="G158" s="17" t="str">
        <x:v>SMT</x:v>
      </x:c>
      <x:c r="H158" s="20" t="str">
        <x:v>carrier:TI_DCU8_LVC2G125</x:v>
      </x:c>
      <x:c r="I158" s="20" t="str"/>
    </x:row>
    <x:row r="159" ht="30" customHeight="1">
      <x:c r="A159" s="17" t="str">
        <x:v>NCA9536DQJ</x:v>
      </x:c>
      <x:c r="B159" s="20" t="str">
        <x:v>Nexperia</x:v>
      </x:c>
      <x:c r="C159" s="19" t="n">
        <x:v>1</x:v>
      </x:c>
      <x:c r="D159" s="20" t="str">
        <x:v>NCA9536DQJ I2C status</x:v>
      </x:c>
      <x:c r="E159" s="20" t="str">
        <x:v>U840</x:v>
      </x:c>
      <x:c r="F159" s="17" t="str">
        <x:v>B</x:v>
      </x:c>
      <x:c r="G159" s="17" t="str">
        <x:v>SMT</x:v>
      </x:c>
      <x:c r="H159" s="20" t="str">
        <x:v>carrier:Nexperia_SOT505_3_Primary</x:v>
      </x:c>
      <x:c r="I159" s="20" t="str"/>
    </x:row>
    <x:row r="160" ht="30" customHeight="1">
      <x:c r="A160" s="17" t="str">
        <x:v>TPS3700DDCR</x:v>
      </x:c>
      <x:c r="B160" s="20" t="str">
        <x:v>Texas Instruments</x:v>
      </x:c>
      <x:c r="C160" s="19" t="n">
        <x:v>1</x:v>
      </x:c>
      <x:c r="D160" s="20" t="str">
        <x:v>Precise UV/OV window detector</x:v>
      </x:c>
      <x:c r="E160" s="20" t="str">
        <x:v>U987</x:v>
      </x:c>
      <x:c r="F160" s="17" t="str">
        <x:v>F</x:v>
      </x:c>
      <x:c r="G160" s="17" t="str">
        <x:v>SMT</x:v>
      </x:c>
      <x:c r="H160" s="20" t="str">
        <x:v>carrier:TI_DDC0006A_PRIMARY</x:v>
      </x:c>
      <x:c r="I160" s="20" t="str">
        <x:v>C33002</x:v>
      </x:c>
    </x:row>
    <x:row r="161" ht="30" customHeight="1">
      <x:c r="A161" s="17" t="str">
        <x:v>ABM8-25.000MHZ-D1X-T</x:v>
      </x:c>
      <x:c r="B161" s="20" t="str">
        <x:v>Abracon</x:v>
      </x:c>
      <x:c r="C161" s="19" t="n">
        <x:v>1</x:v>
      </x:c>
      <x:c r="D161" s="20" t="str">
        <x:v>25MHz CL18pF 10/20ppm</x:v>
      </x:c>
      <x:c r="E161" s="20" t="str">
        <x:v>Y1</x:v>
      </x:c>
      <x:c r="F161" s="17" t="str">
        <x:v>F</x:v>
      </x:c>
      <x:c r="G161" s="17" t="str">
        <x:v>SMT</x:v>
      </x:c>
      <x:c r="H161" s="20" t="str">
        <x:v>carrier:Crystal_ABM8_Abracon_3.2x2.5</x:v>
      </x:c>
      <x:c r="I161" s="20" t="str"/>
    </x:row>
    <x:row r="162" ht="30" customHeight="1">
      <x:c r="A162" s="17" t="str">
        <x:v>ABM8-40.000MHZ-10-D1G-T</x:v>
      </x:c>
      <x:c r="B162" s="20" t="str">
        <x:v>Abracon</x:v>
      </x:c>
      <x:c r="C162" s="19" t="n">
        <x:v>1</x:v>
      </x:c>
      <x:c r="D162" s="20" t="str">
        <x:v>40MHz CL10pF35ohm</x:v>
      </x:c>
      <x:c r="E162" s="20" t="str">
        <x:v>Y800</x:v>
      </x:c>
      <x:c r="F162" s="17" t="str">
        <x:v>B</x:v>
      </x:c>
      <x:c r="G162" s="17" t="str">
        <x:v>SMT</x:v>
      </x:c>
      <x:c r="H162" s="20" t="str">
        <x:v>carrier:Abracon_ABM8_3225_DenseRevA_Y800</x:v>
      </x:c>
      <x:c r="I162" s="20" t="str">
        <x:v>C1986736</x:v>
      </x:c>
    </x:row>
    <x:row r="163" ht="24" customHeight="1">
      <x:c r="A163" s="2"/>
      <x:c r="B163" s="2"/>
      <x:c r="C163" s="2"/>
      <x:c r="D163" s="2"/>
      <x:c r="E163" s="2"/>
      <x:c r="F163" s="2"/>
      <x:c r="G163" s="2"/>
      <x:c r="H163" s="2"/>
      <x:c r="I163" s="2"/>
    </x:row>
    <x:row r="164" ht="24" customHeight="1">
      <x:c r="A164" s="2"/>
      <x:c r="B164" s="22" t="str">
        <x:v>Total fitted per board</x:v>
      </x:c>
      <x:c r="C164" s="22" t="n">
        <x:f>SUM(C7:C162)</x:f>
        <x:v>423</x:v>
      </x:c>
      <x:c r="D164" s="2"/>
      <x:c r="E164" s="2"/>
      <x:c r="F164" s="2"/>
      <x:c r="G164" s="2"/>
      <x:c r="H164" s="2"/>
      <x:c r="I164" s="2"/>
    </x:row>
    <x:row r="165" ht="24" customHeight="1">
      <x:c r="A165" s="2"/>
      <x:c r="B165" s="2"/>
      <x:c r="C165" s="2"/>
      <x:c r="D165" s="2"/>
      <x:c r="E165" s="2"/>
      <x:c r="F165" s="2"/>
      <x:c r="G165" s="2"/>
      <x:c r="H165" s="2"/>
      <x:c r="I165" s="2"/>
    </x:row>
  </x:sheetData>
  <x:pageMargins left="0.7" right="0.7" top="0.75" bottom="0.75" header="0.3" footer="0.3"/>
  <x:tableParts count="1">
    <x:tablePart xmlns:r="http://schemas.openxmlformats.org/officeDocument/2006/relationships" r:id="Rb56742b5b229493b"/>
  </x:tableParts>
</x:worksheet>
</file>

<file path=xl/worksheets/sheet2.xml><?xml version="1.0" encoding="utf-8"?>
<x:worksheet xmlns:x="http://schemas.openxmlformats.org/spreadsheetml/2006/main">
  <x:sheetPr>
    <x:tabColor rgb="FF476778"/>
  </x:sheetPr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1" hidden="0" customWidth="1"/>
    <x:col min="4" max="4" width="24" hidden="0" customWidth="1"/>
    <x:col min="5" max="5" width="21" hidden="0" customWidth="1"/>
    <x:col min="6" max="6" width="21" hidden="0" customWidth="1"/>
    <x:col min="7" max="7" width="3" hidden="0" customWidth="1"/>
    <x:col min="8" max="8" width="4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Dated component cost estimate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USD for components only. Fabrication and assembly require a separate factory quote.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14" t="str">
        <x:v>Boards</x:v>
      </x:c>
      <x:c r="B6" s="15" t="str">
        <x:v>Planning extra</x:v>
      </x:c>
      <x:c r="C6" s="15" t="str">
        <x:v>Consumed / board</x:v>
      </x:c>
      <x:c r="D6" s="15" t="str">
        <x:v>Required parts / board</x:v>
      </x:c>
      <x:c r="E6" s="15" t="str">
        <x:v>Ordered / board</x:v>
      </x:c>
      <x:c r="F6" s="15" t="str">
        <x:v>Ordered lot</x:v>
      </x:c>
      <x:c r="G6" s="28" t="str"/>
      <x:c r="H6" s="16" t="str">
        <x:v>Quantity hold</x:v>
      </x:c>
    </x:row>
    <x:row r="7" ht="24" customHeight="1">
      <x:c r="A7" s="2" t="n">
        <x:v>25</x:v>
      </x:c>
      <x:c r="B7" s="27" t="n">
        <x:v>0</x:v>
      </x:c>
      <x:c r="C7" s="31" t="n">
        <x:f>SUMIFS('Order plan'!$O$7:$O$630,'Order plan'!$C$7:$C$630,A7,'Order plan'!$D$7:$D$630,B7)/A7</x:f>
        <x:v>101.0414</x:v>
      </x:c>
      <x:c r="D7" s="31" t="n">
        <x:f>SUMIFS('Order plan'!$P$7:$P$630,'Order plan'!$C$7:$C$630,A7,'Order plan'!$D$7:$D$630,B7)/A7</x:f>
        <x:v>101.0414</x:v>
      </x:c>
      <x:c r="E7" s="31" t="n">
        <x:f>SUMIFS('Order plan'!$Q$7:$Q$630,'Order plan'!$C$7:$C$630,A7,'Order plan'!$D$7:$D$630,B7)/A7</x:f>
        <x:v>101.59703999999999</x:v>
      </x:c>
      <x:c r="F7" s="31" t="n">
        <x:f>SUMIFS('Order plan'!$Q$7:$Q$630,'Order plan'!$C$7:$C$630,A7,'Order plan'!$D$7:$D$630,B7)</x:f>
        <x:v>2539.926</x:v>
      </x:c>
      <x:c r="G7" s="29"/>
      <x:c r="H7" s="2" t="str">
        <x:v>No snapshot quantity shortage</x:v>
      </x:c>
    </x:row>
    <x:row r="8" ht="24" customHeight="1">
      <x:c r="A8" s="2" t="n">
        <x:v>25</x:v>
      </x:c>
      <x:c r="B8" s="27" t="n">
        <x:v>0.02</x:v>
      </x:c>
      <x:c r="C8" s="31" t="n">
        <x:f>SUMIFS('Order plan'!$O$7:$O$630,'Order plan'!$C$7:$C$630,A8,'Order plan'!$D$7:$D$630,B8)/A8</x:f>
        <x:v>100.18379999999999</x:v>
      </x:c>
      <x:c r="D8" s="31" t="n">
        <x:f>SUMIFS('Order plan'!$P$7:$P$630,'Order plan'!$C$7:$C$630,A8,'Order plan'!$D$7:$D$630,B8)/A8</x:f>
        <x:v>103.50543119999999</x:v>
      </x:c>
      <x:c r="E8" s="31" t="n">
        <x:f>SUMIFS('Order plan'!$Q$7:$Q$630,'Order plan'!$C$7:$C$630,A8,'Order plan'!$D$7:$D$630,B8)/A8</x:f>
        <x:v>105.39299520000003</x:v>
      </x:c>
      <x:c r="F8" s="31" t="n">
        <x:f>SUMIFS('Order plan'!$Q$7:$Q$630,'Order plan'!$C$7:$C$630,A8,'Order plan'!$D$7:$D$630,B8)</x:f>
        <x:v>2634.8248800000006</x:v>
      </x:c>
      <x:c r="G8" s="29"/>
      <x:c r="H8" s="2" t="str">
        <x:v>No snapshot quantity shortage</x:v>
      </x:c>
    </x:row>
    <x:row r="9" ht="24" customHeight="1">
      <x:c r="A9" s="2" t="n">
        <x:v>100</x:v>
      </x:c>
      <x:c r="B9" s="27" t="n">
        <x:v>0</x:v>
      </x:c>
      <x:c r="C9" s="31" t="n">
        <x:f>SUMIFS('Order plan'!$O$7:$O$630,'Order plan'!$C$7:$C$630,A9,'Order plan'!$D$7:$D$630,B9)/A9</x:f>
        <x:v>85.20157</x:v>
      </x:c>
      <x:c r="D9" s="31" t="n">
        <x:f>SUMIFS('Order plan'!$P$7:$P$630,'Order plan'!$C$7:$C$630,A9,'Order plan'!$D$7:$D$630,B9)/A9</x:f>
        <x:v>85.20157</x:v>
      </x:c>
      <x:c r="E9" s="31" t="n">
        <x:f>SUMIFS('Order plan'!$Q$7:$Q$630,'Order plan'!$C$7:$C$630,A9,'Order plan'!$D$7:$D$630,B9)/A9</x:f>
        <x:v>85.30531</x:v>
      </x:c>
      <x:c r="F9" s="31" t="n">
        <x:f>SUMIFS('Order plan'!$Q$7:$Q$630,'Order plan'!$C$7:$C$630,A9,'Order plan'!$D$7:$D$630,B9)</x:f>
        <x:v>8530.531</x:v>
      </x:c>
      <x:c r="G9" s="29"/>
      <x:c r="H9" s="2" t="str">
        <x:v>No snapshot quantity shortage</x:v>
      </x:c>
    </x:row>
    <x:row r="10" ht="24" customHeight="1">
      <x:c r="A10" s="2" t="n">
        <x:v>100</x:v>
      </x:c>
      <x:c r="B10" s="27" t="n">
        <x:v>0.02</x:v>
      </x:c>
      <x:c r="C10" s="31" t="n">
        <x:f>SUMIFS('Order plan'!$O$7:$O$630,'Order plan'!$C$7:$C$630,A10,'Order plan'!$D$7:$D$630,B10)/A10</x:f>
        <x:v>85.20157</x:v>
      </x:c>
      <x:c r="D10" s="31" t="n">
        <x:f>SUMIFS('Order plan'!$P$7:$P$630,'Order plan'!$C$7:$C$630,A10,'Order plan'!$D$7:$D$630,B10)/A10</x:f>
        <x:v>86.9056014</x:v>
      </x:c>
      <x:c r="E10" s="31" t="n">
        <x:f>SUMIFS('Order plan'!$Q$7:$Q$630,'Order plan'!$C$7:$C$630,A10,'Order plan'!$D$7:$D$630,B10)/A10</x:f>
        <x:v>87.16424119999998</x:v>
      </x:c>
      <x:c r="F10" s="31" t="n">
        <x:f>SUMIFS('Order plan'!$Q$7:$Q$630,'Order plan'!$C$7:$C$630,A10,'Order plan'!$D$7:$D$630,B10)</x:f>
        <x:v>8716.424119999998</x:v>
      </x:c>
      <x:c r="G10" s="29"/>
      <x:c r="H10" s="2" t="str">
        <x:v>MP4583: 102 required versus 100 company stock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2" t="str">
        <x:v>Procurement conditions</x:v>
      </x:c>
      <x:c r="B13" s="2"/>
      <x:c r="C13" s="2"/>
      <x:c r="D13" s="2"/>
      <x:c r="E13" s="2"/>
      <x:c r="F13" s="2"/>
      <x:c r="G13" s="2"/>
      <x:c r="H13" s="2"/>
    </x:row>
    <x:row r="14" ht="24" customHeight="1">
      <x:c r="A14" s="2" t="str">
        <x:v>MP2329: scheduled MPS inventory and handling acceptance remain conditional.</x:v>
      </x:c>
      <x:c r="B14" s="2"/>
      <x:c r="C14" s="2"/>
      <x:c r="D14" s="2"/>
      <x:c r="E14" s="2"/>
      <x:c r="F14" s="2"/>
      <x:c r="G14" s="2"/>
      <x:c r="H14" s="2"/>
    </x:row>
    <x:row r="15" ht="24" customHeight="1">
      <x:c r="A15" s="2" t="str">
        <x:v>E22-900MM22S: exact 3.3 V module stock is JLC standard PCBA allocation.</x:v>
      </x:c>
      <x:c r="B15" s="2"/>
      <x:c r="C15" s="2"/>
      <x:c r="D15" s="2"/>
      <x:c r="E15" s="2"/>
      <x:c r="F15" s="2"/>
      <x:c r="G15" s="2"/>
      <x:c r="H15" s="2"/>
    </x:row>
    <x:row r="16" ht="24" customHeight="1">
      <x:c r="A16" s="2" t="str">
        <x:v>Stock and prices were captured 11–12 October 2026 and are unreserved.</x:v>
      </x:c>
      <x:c r="B16" s="2"/>
      <x:c r="C16" s="2"/>
      <x:c r="D16" s="2"/>
      <x:c r="E16" s="2"/>
      <x:c r="F16" s="2"/>
      <x:c r="G16" s="2"/>
      <x:c r="H16" s="2"/>
    </x:row>
    <x:row r="17" ht="24" customHeight="1">
      <x:c r="A17" s="2" t="str">
        <x:v>PCB, assembly, feeder/setup NRE, stencil, THT, shipping, duties and taxes are excluded.</x:v>
      </x:c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2" t="str">
        <x:v>Quantity planning</x:v>
      </x:c>
      <x:c r="B19" s="2"/>
      <x:c r="C19" s="2"/>
      <x:c r="D19" s="2"/>
      <x:c r="E19" s="2"/>
      <x:c r="F19" s="2"/>
      <x:c r="G19" s="2"/>
      <x:c r="H19" s="2"/>
    </x:row>
    <x:row r="20" ht="24" customHeight="1">
      <x:c r="A20" s="2" t="str">
        <x:v>The 2% allowance is planning only; final assembler attrition has not been quoted.</x:v>
      </x:c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 t="str">
        <x:v>Source revision 156; exact part quantities and values remain unchanged.</x:v>
      </x:c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" hidden="0" customWidth="1"/>
    <x:col min="2" max="2" width="33" hidden="0" customWidth="1"/>
    <x:col min="3" max="3" width="9" hidden="0" customWidth="1"/>
    <x:col min="4" max="4" width="13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17" hidden="0" customWidth="1"/>
    <x:col min="12" max="12" width="14" hidden="0" customWidth="1"/>
    <x:col min="13" max="13" width="13" hidden="0" customWidth="1"/>
    <x:col min="14" max="14" width="12" hidden="0" customWidth="1"/>
    <x:col min="15" max="15" width="16" hidden="0" customWidth="1"/>
    <x:col min="16" max="16" width="17" hidden="0" customWidth="1"/>
    <x:col min="17" max="17" width="16" hidden="0" customWidth="1"/>
    <x:col min="18" max="18" width="12" hidden="0" customWidth="1"/>
    <x:col min="19" max="19" width="18" hidden="0" customWidth="1"/>
    <x:col min="20" max="20" width="35" hidden="0" customWidth="1"/>
    <x:col min="21" max="21" width="22" hidden="0" customWidth="1"/>
    <x:col min="22" max="22" width="35" hidden="0" customWidth="1"/>
    <x:col min="23" max="23" width="24" hidden="0" customWidth="1"/>
    <x:col min="24" max="24" width="12" hidden="0" customWidth="1"/>
    <x:col min="25" max="25" width="68" hidden="0" customWidth="1"/>
    <x:col min="26" max="26" width="11" hidden="0" customWidth="1"/>
    <x:col min="27" max="27" width="3" hidden="0" customWidth="1"/>
    <x:col min="28" max="28" width="10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8" customHeight="1">
      <x:c r="A2" s="3" t="str">
        <x:v>Component order plan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4" customHeight="1">
      <x:c r="A3" s="4" t="str">
        <x:v>Four dated models. Selected order quantities retain the recorded pack and price-tier choices.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40" customHeight="1">
      <x:c r="A6" s="14" t="str">
        <x:v>Case</x:v>
      </x:c>
      <x:c r="B6" s="15" t="str">
        <x:v>MPN</x:v>
      </x:c>
      <x:c r="C6" s="15" t="str">
        <x:v>Boards</x:v>
      </x:c>
      <x:c r="D6" s="15" t="str">
        <x:v>Planning extra</x:v>
      </x:c>
      <x:c r="E6" s="15" t="str">
        <x:v>Qty per board</x:v>
      </x:c>
      <x:c r="F6" s="15" t="str">
        <x:v>Fitted qty</x:v>
      </x:c>
      <x:c r="G6" s="15" t="str">
        <x:v>Required qty</x:v>
      </x:c>
      <x:c r="H6" s="15" t="str">
        <x:v>Minimum qty</x:v>
      </x:c>
      <x:c r="I6" s="15" t="str">
        <x:v>Pack multiple</x:v>
      </x:c>
      <x:c r="J6" s="15" t="str">
        <x:v>Pack-rounded qty</x:v>
      </x:c>
      <x:c r="K6" s="15" t="str">
        <x:v>Selected ordered qty</x:v>
      </x:c>
      <x:c r="L6" s="15" t="str">
        <x:v>Price tier qty</x:v>
      </x:c>
      <x:c r="M6" s="15" t="str">
        <x:v>Unit USD</x:v>
      </x:c>
      <x:c r="N6" s="15" t="str">
        <x:v>Reel USD</x:v>
      </x:c>
      <x:c r="O6" s="15" t="str">
        <x:v>Consumed USD</x:v>
      </x:c>
      <x:c r="P6" s="15" t="str">
        <x:v>Required parts USD</x:v>
      </x:c>
      <x:c r="Q6" s="15" t="str">
        <x:v>Ordered USD</x:v>
      </x:c>
      <x:c r="R6" s="15" t="str">
        <x:v>Extra units</x:v>
      </x:c>
      <x:c r="S6" s="15" t="str">
        <x:v>Stock / allocation</x:v>
      </x:c>
      <x:c r="T6" s="15" t="str">
        <x:v>Quantity status</x:v>
      </x:c>
      <x:c r="U6" s="15" t="str">
        <x:v>Supplier</x:v>
      </x:c>
      <x:c r="V6" s="15" t="str">
        <x:v>Supplier SKU</x:v>
      </x:c>
      <x:c r="W6" s="15" t="str">
        <x:v>Observed UTC</x:v>
      </x:c>
      <x:c r="X6" s="15" t="str">
        <x:v>PCBA only</x:v>
      </x:c>
      <x:c r="Y6" s="15" t="str">
        <x:v>Supply conditions</x:v>
      </x:c>
      <x:c r="Z6" s="15" t="str">
        <x:v>Offer ID</x:v>
      </x:c>
      <x:c r="AA6" s="15" t="str"/>
      <x:c r="AB6" s="16" t="str">
        <x:v>Offer URL</x:v>
      </x:c>
    </x:row>
    <x:row r="7" ht="24" customHeight="1">
      <x:c r="A7" s="2" t="str">
        <x:v>25 boards / nominal</x:v>
      </x:c>
      <x:c r="B7" s="17" t="str">
        <x:v>0451002.MRL</x:v>
      </x:c>
      <x:c r="C7" s="18" t="n">
        <x:v>25</x:v>
      </x:c>
      <x:c r="D7" s="27" t="n">
        <x:v>0</x:v>
      </x:c>
      <x:c r="E7" s="18" t="n">
        <x:f>INDEX('Assembly BOM'!$C$7:$C$162,MATCH($B7,'Assembly BOM'!$A$7:$A$162,0))</x:f>
        <x:v>1</x:v>
      </x:c>
      <x:c r="F7" s="18" t="n">
        <x:f>C7*E7</x:f>
        <x:v>25</x:v>
      </x:c>
      <x:c r="G7" s="18" t="n">
        <x:f>ROUNDUP(F7*(1+D7),0)</x:f>
        <x:v>25</x:v>
      </x:c>
      <x:c r="H7" s="18" t="n">
        <x:f>INDEX('Dated offers'!$F$7:$F$305,MATCH($Z7,'Dated offers'!$A$7:$A$305,0))</x:f>
        <x:v>5</x:v>
      </x:c>
      <x:c r="I7" s="18" t="n">
        <x:f>INDEX('Dated offers'!$G$7:$G$305,MATCH($Z7,'Dated offers'!$A$7:$A$305,0))</x:f>
        <x:v>5</x:v>
      </x:c>
      <x:c r="J7" s="18" t="n">
        <x:f>CEILING(MAX(G7,H7),I7)</x:f>
        <x:v>25</x:v>
      </x:c>
      <x:c r="K7" s="18" t="n">
        <x:v>25</x:v>
      </x:c>
      <x:c r="L7" s="18" t="n">
        <x:f>INDEX('Dated offers'!$I$7:$I$305,MATCH($Z7,'Dated offers'!$A$7:$A$305,0))</x:f>
        <x:v>5</x:v>
      </x:c>
      <x:c r="M7" s="25" t="n">
        <x:f>INDEX('Dated offers'!$J$7:$J$305,MATCH($Z7,'Dated offers'!$A$7:$A$305,0))</x:f>
        <x:v>0.3431</x:v>
      </x:c>
      <x:c r="N7" s="25" t="n">
        <x:f>INDEX('Dated offers'!$K$7:$K$305,MATCH($Z7,'Dated offers'!$A$7:$A$305,0))</x:f>
        <x:v>0</x:v>
      </x:c>
      <x:c r="O7" s="25" t="n">
        <x:f>F7*M7</x:f>
        <x:v>8.5775</x:v>
      </x:c>
      <x:c r="P7" s="25" t="n">
        <x:f>G7*M7</x:f>
        <x:v>8.5775</x:v>
      </x:c>
      <x:c r="Q7" s="25" t="n">
        <x:f>K7*M7+N7</x:f>
        <x:v>8.5775</x:v>
      </x:c>
      <x:c r="R7" s="18" t="n">
        <x:f>K7-G7</x:f>
        <x:v>0</x:v>
      </x:c>
      <x:c r="S7" s="18" t="n">
        <x:f>INDEX('Dated offers'!$H$7:$H$305,MATCH($Z7,'Dated offers'!$A$7:$A$305,0))</x:f>
        <x:v>24355</x:v>
      </x:c>
      <x:c r="T7" s="2" t="str">
        <x:f>IF(K7&lt;G7,"Order below requirement",IF(K7&lt;L7,"Below price tier",IF(ISNUMBER(S7),IF(K7&gt;S7,"Quantity exceeds snapshot","Within quantity snapshot"),"Stock not stated")))</x:f>
        <x:v>Within quantity snapshot</x:v>
      </x:c>
      <x:c r="U7" s="2" t="str">
        <x:f>INDEX('Dated offers'!$C$7:$C$305,MATCH($Z7,'Dated offers'!$A$7:$A$305,0))</x:f>
        <x:v>LCSC</x:v>
      </x:c>
      <x:c r="V7" s="2" t="str">
        <x:f>INDEX('Dated offers'!$D$7:$D$305,MATCH($Z7,'Dated offers'!$A$7:$A$305,0))</x:f>
        <x:v>C99547</x:v>
      </x:c>
      <x:c r="W7" s="24" t="n">
        <x:f>INDEX('Dated offers'!$E$7:$E$305,MATCH($Z7,'Dated offers'!$A$7:$A$305,0))</x:f>
        <x:v>46307.44739201389</x:v>
      </x:c>
      <x:c r="X7" s="2" t="b">
        <x:f>INDEX('Dated offers'!$N$7:$N$305,MATCH($Z7,'Dated offers'!$A$7:$A$305,0))</x:f>
        <x:v>0</x:v>
      </x:c>
      <x:c r="Y7" s="2" t="str">
        <x:f>INDEX('Dated offers'!$O$7:$O$305,MATCH($Z7,'Dated offers'!$A$7:$A$305,0))</x:f>
        <x:v>Unreserved inventory snapshot</x:v>
      </x:c>
      <x:c r="Z7" s="17" t="str">
        <x:v>OF0001</x:v>
      </x:c>
      <x:c r="AA7" s="2"/>
      <x:c r="AB7" s="2" t="str">
        <x:f>INDEX('Dated offers'!$Q$7:$Q$305,MATCH($Z7,'Dated offers'!$A$7:$A$305,0))</x:f>
        <x:v>https://www.lcsc.com/product-detail/C99547.html</x:v>
      </x:c>
    </x:row>
    <x:row r="8" ht="24" customHeight="1">
      <x:c r="A8" s="2" t="str">
        <x:v>25 boards / nominal</x:v>
      </x:c>
      <x:c r="B8" s="17" t="str">
        <x:v>123A-42B02</x:v>
      </x:c>
      <x:c r="C8" s="18" t="n">
        <x:v>25</x:v>
      </x:c>
      <x:c r="D8" s="27" t="n">
        <x:v>0</x:v>
      </x:c>
      <x:c r="E8" s="18" t="n">
        <x:f>INDEX('Assembly BOM'!$C$7:$C$162,MATCH($B8,'Assembly BOM'!$A$7:$A$162,0))</x:f>
        <x:v>1</x:v>
      </x:c>
      <x:c r="F8" s="18" t="n">
        <x:f>C8*E8</x:f>
        <x:v>25</x:v>
      </x:c>
      <x:c r="G8" s="18" t="n">
        <x:f>ROUNDUP(F8*(1+D8),0)</x:f>
        <x:v>25</x:v>
      </x:c>
      <x:c r="H8" s="18" t="n">
        <x:f>INDEX('Dated offers'!$F$7:$F$305,MATCH($Z8,'Dated offers'!$A$7:$A$305,0))</x:f>
        <x:v>1</x:v>
      </x:c>
      <x:c r="I8" s="18" t="n">
        <x:f>INDEX('Dated offers'!$G$7:$G$305,MATCH($Z8,'Dated offers'!$A$7:$A$305,0))</x:f>
        <x:v>1</x:v>
      </x:c>
      <x:c r="J8" s="18" t="n">
        <x:f>CEILING(MAX(G8,H8),I8)</x:f>
        <x:v>25</x:v>
      </x:c>
      <x:c r="K8" s="18" t="n">
        <x:v>25</x:v>
      </x:c>
      <x:c r="L8" s="18" t="n">
        <x:f>INDEX('Dated offers'!$I$7:$I$305,MATCH($Z8,'Dated offers'!$A$7:$A$305,0))</x:f>
        <x:v>25</x:v>
      </x:c>
      <x:c r="M8" s="25" t="n">
        <x:f>INDEX('Dated offers'!$J$7:$J$305,MATCH($Z8,'Dated offers'!$A$7:$A$305,0))</x:f>
        <x:v>4.0992</x:v>
      </x:c>
      <x:c r="N8" s="25" t="n">
        <x:f>INDEX('Dated offers'!$K$7:$K$305,MATCH($Z8,'Dated offers'!$A$7:$A$305,0))</x:f>
        <x:v>0</x:v>
      </x:c>
      <x:c r="O8" s="25" t="n">
        <x:f>F8*M8</x:f>
        <x:v>102.47999999999999</x:v>
      </x:c>
      <x:c r="P8" s="25" t="n">
        <x:f>G8*M8</x:f>
        <x:v>102.47999999999999</x:v>
      </x:c>
      <x:c r="Q8" s="25" t="n">
        <x:f>K8*M8+N8</x:f>
        <x:v>102.47999999999999</x:v>
      </x:c>
      <x:c r="R8" s="18" t="n">
        <x:f>K8-G8</x:f>
        <x:v>0</x:v>
      </x:c>
      <x:c r="S8" s="18" t="n">
        <x:f>INDEX('Dated offers'!$H$7:$H$305,MATCH($Z8,'Dated offers'!$A$7:$A$305,0))</x:f>
        <x:v>244</x:v>
      </x:c>
      <x:c r="T8" s="2" t="str">
        <x:f>IF(K8&lt;G8,"Order below requirement",IF(K8&lt;L8,"Below price tier",IF(ISNUMBER(S8),IF(K8&gt;S8,"Quantity exceeds snapshot","Within quantity snapshot"),"Stock not stated")))</x:f>
        <x:v>Within quantity snapshot</x:v>
      </x:c>
      <x:c r="U8" s="2" t="str">
        <x:f>INDEX('Dated offers'!$C$7:$C$305,MATCH($Z8,'Dated offers'!$A$7:$A$305,0))</x:f>
        <x:v>DigiKey</x:v>
      </x:c>
      <x:c r="V8" s="2" t="str">
        <x:f>INDEX('Dated offers'!$D$7:$D$305,MATCH($Z8,'Dated offers'!$A$7:$A$305,0))</x:f>
        <x:v>Not stated</x:v>
      </x:c>
      <x:c r="W8" s="24" t="n">
        <x:f>INDEX('Dated offers'!$E$7:$E$305,MATCH($Z8,'Dated offers'!$A$7:$A$305,0))</x:f>
        <x:v>46307.4780725</x:v>
      </x:c>
      <x:c r="X8" s="2" t="b">
        <x:f>INDEX('Dated offers'!$N$7:$N$305,MATCH($Z8,'Dated offers'!$A$7:$A$305,0))</x:f>
        <x:v>0</x:v>
      </x:c>
      <x:c r="Y8" s="2" t="str">
        <x:f>INDEX('Dated offers'!$O$7:$O$305,MATCH($Z8,'Dated offers'!$A$7:$A$305,0))</x:f>
        <x:v>Unreserved inventory snapshot</x:v>
      </x:c>
      <x:c r="Z8" s="17" t="str">
        <x:v>OF0002</x:v>
      </x:c>
      <x:c r="AA8" s="2"/>
      <x:c r="AB8" s="2" t="str">
        <x:f>INDEX('Dated offers'!$Q$7:$Q$305,MATCH($Z8,'Dated offers'!$A$7:$A$305,0))</x:f>
        <x:v>https://www.digikey.com/en/products/detail/attend-technology/123A-42B02/26236331</x:v>
      </x:c>
    </x:row>
    <x:row r="9" ht="24" customHeight="1">
      <x:c r="A9" s="2" t="str">
        <x:v>25 boards / nominal</x:v>
      </x:c>
      <x:c r="B9" s="17" t="str">
        <x:v>25SVPK82M</x:v>
      </x:c>
      <x:c r="C9" s="18" t="n">
        <x:v>25</x:v>
      </x:c>
      <x:c r="D9" s="27" t="n">
        <x:v>0</x:v>
      </x:c>
      <x:c r="E9" s="18" t="n">
        <x:f>INDEX('Assembly BOM'!$C$7:$C$162,MATCH($B9,'Assembly BOM'!$A$7:$A$162,0))</x:f>
        <x:v>1</x:v>
      </x:c>
      <x:c r="F9" s="18" t="n">
        <x:f>C9*E9</x:f>
        <x:v>25</x:v>
      </x:c>
      <x:c r="G9" s="18" t="n">
        <x:f>ROUNDUP(F9*(1+D9),0)</x:f>
        <x:v>25</x:v>
      </x:c>
      <x:c r="H9" s="18" t="n">
        <x:f>INDEX('Dated offers'!$F$7:$F$305,MATCH($Z9,'Dated offers'!$A$7:$A$305,0))</x:f>
        <x:v>1</x:v>
      </x:c>
      <x:c r="I9" s="18" t="n">
        <x:f>INDEX('Dated offers'!$G$7:$G$305,MATCH($Z9,'Dated offers'!$A$7:$A$305,0))</x:f>
        <x:v>1</x:v>
      </x:c>
      <x:c r="J9" s="18" t="n">
        <x:f>CEILING(MAX(G9,H9),I9)</x:f>
        <x:v>25</x:v>
      </x:c>
      <x:c r="K9" s="18" t="n">
        <x:v>25</x:v>
      </x:c>
      <x:c r="L9" s="18" t="n">
        <x:f>INDEX('Dated offers'!$I$7:$I$305,MATCH($Z9,'Dated offers'!$A$7:$A$305,0))</x:f>
        <x:v>10</x:v>
      </x:c>
      <x:c r="M9" s="25" t="n">
        <x:f>INDEX('Dated offers'!$J$7:$J$305,MATCH($Z9,'Dated offers'!$A$7:$A$305,0))</x:f>
        <x:v>1.259</x:v>
      </x:c>
      <x:c r="N9" s="25" t="n">
        <x:f>INDEX('Dated offers'!$K$7:$K$305,MATCH($Z9,'Dated offers'!$A$7:$A$305,0))</x:f>
        <x:v>0</x:v>
      </x:c>
      <x:c r="O9" s="25" t="n">
        <x:f>F9*M9</x:f>
        <x:v>31.474999999999998</x:v>
      </x:c>
      <x:c r="P9" s="25" t="n">
        <x:f>G9*M9</x:f>
        <x:v>31.474999999999998</x:v>
      </x:c>
      <x:c r="Q9" s="25" t="n">
        <x:f>K9*M9+N9</x:f>
        <x:v>31.474999999999998</x:v>
      </x:c>
      <x:c r="R9" s="18" t="n">
        <x:f>K9-G9</x:f>
        <x:v>0</x:v>
      </x:c>
      <x:c r="S9" s="18" t="n">
        <x:f>INDEX('Dated offers'!$H$7:$H$305,MATCH($Z9,'Dated offers'!$A$7:$A$305,0))</x:f>
        <x:v>581</x:v>
      </x:c>
      <x:c r="T9" s="2" t="str">
        <x:f>IF(K9&lt;G9,"Order below requirement",IF(K9&lt;L9,"Below price tier",IF(ISNUMBER(S9),IF(K9&gt;S9,"Quantity exceeds snapshot","Within quantity snapshot"),"Stock not stated")))</x:f>
        <x:v>Within quantity snapshot</x:v>
      </x:c>
      <x:c r="U9" s="2" t="str">
        <x:f>INDEX('Dated offers'!$C$7:$C$305,MATCH($Z9,'Dated offers'!$A$7:$A$305,0))</x:f>
        <x:v>DigiKey</x:v>
      </x:c>
      <x:c r="V9" s="2" t="str">
        <x:f>INDEX('Dated offers'!$D$7:$D$305,MATCH($Z9,'Dated offers'!$A$7:$A$305,0))</x:f>
        <x:v>Not stated</x:v>
      </x:c>
      <x:c r="W9" s="24" t="n">
        <x:f>INDEX('Dated offers'!$E$7:$E$305,MATCH($Z9,'Dated offers'!$A$7:$A$305,0))</x:f>
        <x:v>46307.47807271991</x:v>
      </x:c>
      <x:c r="X9" s="2" t="b">
        <x:f>INDEX('Dated offers'!$N$7:$N$305,MATCH($Z9,'Dated offers'!$A$7:$A$305,0))</x:f>
        <x:v>0</x:v>
      </x:c>
      <x:c r="Y9" s="2" t="str">
        <x:f>INDEX('Dated offers'!$O$7:$O$305,MATCH($Z9,'Dated offers'!$A$7:$A$305,0))</x:f>
        <x:v>Unreserved inventory snapshot</x:v>
      </x:c>
      <x:c r="Z9" s="17" t="str">
        <x:v>OF0003</x:v>
      </x:c>
      <x:c r="AA9" s="2"/>
      <x:c r="AB9" s="2" t="str">
        <x:f>INDEX('Dated offers'!$Q$7:$Q$305,MATCH($Z9,'Dated offers'!$A$7:$A$305,0))</x:f>
        <x:v>https://www.digikey.com/en/products/detail/panasonic-industry/25SVPK82M/7564851</x:v>
      </x:c>
    </x:row>
    <x:row r="10" ht="24" customHeight="1">
      <x:c r="A10" s="2" t="str">
        <x:v>25 boards / nominal</x:v>
      </x:c>
      <x:c r="B10" s="21" t="str">
        <x:v>885012206026</x:v>
      </x:c>
      <x:c r="C10" s="18" t="n">
        <x:v>25</x:v>
      </x:c>
      <x:c r="D10" s="27" t="n">
        <x:v>0</x:v>
      </x:c>
      <x:c r="E10" s="18" t="n">
        <x:f>INDEX('Assembly BOM'!$C$7:$C$162,MATCH($B10,'Assembly BOM'!$A$7:$A$162,0))</x:f>
        <x:v>3</x:v>
      </x:c>
      <x:c r="F10" s="18" t="n">
        <x:f>C10*E10</x:f>
        <x:v>75</x:v>
      </x:c>
      <x:c r="G10" s="18" t="n">
        <x:f>ROUNDUP(F10*(1+D10),0)</x:f>
        <x:v>75</x:v>
      </x:c>
      <x:c r="H10" s="18" t="n">
        <x:f>INDEX('Dated offers'!$F$7:$F$305,MATCH($Z10,'Dated offers'!$A$7:$A$305,0))</x:f>
        <x:v>1</x:v>
      </x:c>
      <x:c r="I10" s="18" t="n">
        <x:f>INDEX('Dated offers'!$G$7:$G$305,MATCH($Z10,'Dated offers'!$A$7:$A$305,0))</x:f>
        <x:v>1</x:v>
      </x:c>
      <x:c r="J10" s="18" t="n">
        <x:f>CEILING(MAX(G10,H10),I10)</x:f>
        <x:v>75</x:v>
      </x:c>
      <x:c r="K10" s="18" t="n">
        <x:v>75</x:v>
      </x:c>
      <x:c r="L10" s="18" t="n">
        <x:f>INDEX('Dated offers'!$I$7:$I$305,MATCH($Z10,'Dated offers'!$A$7:$A$305,0))</x:f>
        <x:v>50</x:v>
      </x:c>
      <x:c r="M10" s="25" t="n">
        <x:f>INDEX('Dated offers'!$J$7:$J$305,MATCH($Z10,'Dated offers'!$A$7:$A$305,0))</x:f>
        <x:v>0.0578</x:v>
      </x:c>
      <x:c r="N10" s="25" t="n">
        <x:f>INDEX('Dated offers'!$K$7:$K$305,MATCH($Z10,'Dated offers'!$A$7:$A$305,0))</x:f>
        <x:v>0</x:v>
      </x:c>
      <x:c r="O10" s="25" t="n">
        <x:f>F10*M10</x:f>
        <x:v>4.335</x:v>
      </x:c>
      <x:c r="P10" s="25" t="n">
        <x:f>G10*M10</x:f>
        <x:v>4.335</x:v>
      </x:c>
      <x:c r="Q10" s="25" t="n">
        <x:f>K10*M10+N10</x:f>
        <x:v>4.335</x:v>
      </x:c>
      <x:c r="R10" s="18" t="n">
        <x:f>K10-G10</x:f>
        <x:v>0</x:v>
      </x:c>
      <x:c r="S10" s="18" t="n">
        <x:f>INDEX('Dated offers'!$H$7:$H$305,MATCH($Z10,'Dated offers'!$A$7:$A$305,0))</x:f>
        <x:v>34767</x:v>
      </x:c>
      <x:c r="T10" s="2" t="str">
        <x:f>IF(K10&lt;G10,"Order below requirement",IF(K10&lt;L10,"Below price tier",IF(ISNUMBER(S10),IF(K10&gt;S10,"Quantity exceeds snapshot","Within quantity snapshot"),"Stock not stated")))</x:f>
        <x:v>Within quantity snapshot</x:v>
      </x:c>
      <x:c r="U10" s="2" t="str">
        <x:f>INDEX('Dated offers'!$C$7:$C$305,MATCH($Z10,'Dated offers'!$A$7:$A$305,0))</x:f>
        <x:v>DigiKey</x:v>
      </x:c>
      <x:c r="V10" s="2" t="str">
        <x:f>INDEX('Dated offers'!$D$7:$D$305,MATCH($Z10,'Dated offers'!$A$7:$A$305,0))</x:f>
        <x:v>Not stated</x:v>
      </x:c>
      <x:c r="W10" s="24" t="n">
        <x:f>INDEX('Dated offers'!$E$7:$E$305,MATCH($Z10,'Dated offers'!$A$7:$A$305,0))</x:f>
        <x:v>46307.47807252315</x:v>
      </x:c>
      <x:c r="X10" s="2" t="b">
        <x:f>INDEX('Dated offers'!$N$7:$N$305,MATCH($Z10,'Dated offers'!$A$7:$A$305,0))</x:f>
        <x:v>0</x:v>
      </x:c>
      <x:c r="Y10" s="2" t="str">
        <x:f>INDEX('Dated offers'!$O$7:$O$305,MATCH($Z10,'Dated offers'!$A$7:$A$305,0))</x:f>
        <x:v>Unreserved inventory snapshot</x:v>
      </x:c>
      <x:c r="Z10" s="17" t="str">
        <x:v>OF0004</x:v>
      </x:c>
      <x:c r="AA10" s="2"/>
      <x:c r="AB10" s="2" t="str">
        <x:f>INDEX('Dated offers'!$Q$7:$Q$305,MATCH($Z10,'Dated offers'!$A$7:$A$305,0))</x:f>
        <x:v>https://www.digikey.com/en/products/detail/w%C3%BCrth-elektronik/885012206026/5453800</x:v>
      </x:c>
    </x:row>
    <x:row r="11" ht="24" customHeight="1">
      <x:c r="A11" s="2" t="str">
        <x:v>25 boards / nominal</x:v>
      </x:c>
      <x:c r="B11" s="21" t="str">
        <x:v>885012207026</x:v>
      </x:c>
      <x:c r="C11" s="18" t="n">
        <x:v>25</x:v>
      </x:c>
      <x:c r="D11" s="27" t="n">
        <x:v>0</x:v>
      </x:c>
      <x:c r="E11" s="18" t="n">
        <x:f>INDEX('Assembly BOM'!$C$7:$C$162,MATCH($B11,'Assembly BOM'!$A$7:$A$162,0))</x:f>
        <x:v>3</x:v>
      </x:c>
      <x:c r="F11" s="18" t="n">
        <x:f>C11*E11</x:f>
        <x:v>75</x:v>
      </x:c>
      <x:c r="G11" s="18" t="n">
        <x:f>ROUNDUP(F11*(1+D11),0)</x:f>
        <x:v>75</x:v>
      </x:c>
      <x:c r="H11" s="18" t="n">
        <x:f>INDEX('Dated offers'!$F$7:$F$305,MATCH($Z11,'Dated offers'!$A$7:$A$305,0))</x:f>
        <x:v>1</x:v>
      </x:c>
      <x:c r="I11" s="18" t="n">
        <x:f>INDEX('Dated offers'!$G$7:$G$305,MATCH($Z11,'Dated offers'!$A$7:$A$305,0))</x:f>
        <x:v>1</x:v>
      </x:c>
      <x:c r="J11" s="18" t="n">
        <x:f>CEILING(MAX(G11,H11),I11)</x:f>
        <x:v>75</x:v>
      </x:c>
      <x:c r="K11" s="18" t="n">
        <x:v>75</x:v>
      </x:c>
      <x:c r="L11" s="18" t="n">
        <x:f>INDEX('Dated offers'!$I$7:$I$305,MATCH($Z11,'Dated offers'!$A$7:$A$305,0))</x:f>
        <x:v>50</x:v>
      </x:c>
      <x:c r="M11" s="25" t="n">
        <x:f>INDEX('Dated offers'!$J$7:$J$305,MATCH($Z11,'Dated offers'!$A$7:$A$305,0))</x:f>
        <x:v>0.1668</x:v>
      </x:c>
      <x:c r="N11" s="25" t="n">
        <x:f>INDEX('Dated offers'!$K$7:$K$305,MATCH($Z11,'Dated offers'!$A$7:$A$305,0))</x:f>
        <x:v>0</x:v>
      </x:c>
      <x:c r="O11" s="25" t="n">
        <x:f>F11*M11</x:f>
        <x:v>12.51</x:v>
      </x:c>
      <x:c r="P11" s="25" t="n">
        <x:f>G11*M11</x:f>
        <x:v>12.51</x:v>
      </x:c>
      <x:c r="Q11" s="25" t="n">
        <x:f>K11*M11+N11</x:f>
        <x:v>12.51</x:v>
      </x:c>
      <x:c r="R11" s="18" t="n">
        <x:f>K11-G11</x:f>
        <x:v>0</x:v>
      </x:c>
      <x:c r="S11" s="18" t="n">
        <x:f>INDEX('Dated offers'!$H$7:$H$305,MATCH($Z11,'Dated offers'!$A$7:$A$305,0))</x:f>
        <x:v>3676</x:v>
      </x:c>
      <x:c r="T11" s="2" t="str">
        <x:f>IF(K11&lt;G11,"Order below requirement",IF(K11&lt;L11,"Below price tier",IF(ISNUMBER(S11),IF(K11&gt;S11,"Quantity exceeds snapshot","Within quantity snapshot"),"Stock not stated")))</x:f>
        <x:v>Within quantity snapshot</x:v>
      </x:c>
      <x:c r="U11" s="2" t="str">
        <x:f>INDEX('Dated offers'!$C$7:$C$305,MATCH($Z11,'Dated offers'!$A$7:$A$305,0))</x:f>
        <x:v>DigiKey</x:v>
      </x:c>
      <x:c r="V11" s="2" t="str">
        <x:f>INDEX('Dated offers'!$D$7:$D$305,MATCH($Z11,'Dated offers'!$A$7:$A$305,0))</x:f>
        <x:v>Exact 885012207026 Cut Tape</x:v>
      </x:c>
      <x:c r="W11" s="24" t="n">
        <x:f>INDEX('Dated offers'!$E$7:$E$305,MATCH($Z11,'Dated offers'!$A$7:$A$305,0))</x:f>
        <x:v>46307.7145725</x:v>
      </x:c>
      <x:c r="X11" s="2" t="b">
        <x:f>INDEX('Dated offers'!$N$7:$N$305,MATCH($Z11,'Dated offers'!$A$7:$A$305,0))</x:f>
        <x:v>0</x:v>
      </x:c>
      <x:c r="Y11" s="2" t="str">
        <x:f>INDEX('Dated offers'!$O$7:$O$305,MATCH($Z11,'Dated offers'!$A$7:$A$305,0))</x:f>
        <x:v>Unreserved inventory snapshot</x:v>
      </x:c>
      <x:c r="Z11" s="17" t="str">
        <x:v>OF0005</x:v>
      </x:c>
      <x:c r="AA11" s="2"/>
      <x:c r="AB11" s="2" t="str">
        <x:f>INDEX('Dated offers'!$Q$7:$Q$305,MATCH($Z11,'Dated offers'!$A$7:$A$305,0))</x:f>
        <x:v>https://www.digikey.com/en/products/detail/w%C3%BCrth-elektronik/885012207026/5454285</x:v>
      </x:c>
    </x:row>
    <x:row r="12" ht="24" customHeight="1">
      <x:c r="A12" s="2" t="str">
        <x:v>25 boards / nominal</x:v>
      </x:c>
      <x:c r="B12" s="17" t="str">
        <x:v>9774025243R</x:v>
      </x:c>
      <x:c r="C12" s="18" t="n">
        <x:v>25</x:v>
      </x:c>
      <x:c r="D12" s="27" t="n">
        <x:v>0</x:v>
      </x:c>
      <x:c r="E12" s="18" t="n">
        <x:f>INDEX('Assembly BOM'!$C$7:$C$162,MATCH($B12,'Assembly BOM'!$A$7:$A$162,0))</x:f>
        <x:v>1</x:v>
      </x:c>
      <x:c r="F12" s="18" t="n">
        <x:f>C12*E12</x:f>
        <x:v>25</x:v>
      </x:c>
      <x:c r="G12" s="18" t="n">
        <x:f>ROUNDUP(F12*(1+D12),0)</x:f>
        <x:v>25</x:v>
      </x:c>
      <x:c r="H12" s="18" t="n">
        <x:f>INDEX('Dated offers'!$F$7:$F$305,MATCH($Z12,'Dated offers'!$A$7:$A$305,0))</x:f>
        <x:v>1</x:v>
      </x:c>
      <x:c r="I12" s="18" t="n">
        <x:f>INDEX('Dated offers'!$G$7:$G$305,MATCH($Z12,'Dated offers'!$A$7:$A$305,0))</x:f>
        <x:v>1</x:v>
      </x:c>
      <x:c r="J12" s="18" t="n">
        <x:f>CEILING(MAX(G12,H12),I12)</x:f>
        <x:v>25</x:v>
      </x:c>
      <x:c r="K12" s="18" t="n">
        <x:v>25</x:v>
      </x:c>
      <x:c r="L12" s="18" t="n">
        <x:f>INDEX('Dated offers'!$I$7:$I$305,MATCH($Z12,'Dated offers'!$A$7:$A$305,0))</x:f>
        <x:v>10</x:v>
      </x:c>
      <x:c r="M12" s="25" t="n">
        <x:f>INDEX('Dated offers'!$J$7:$J$305,MATCH($Z12,'Dated offers'!$A$7:$A$305,0))</x:f>
        <x:v>1.098</x:v>
      </x:c>
      <x:c r="N12" s="25" t="n">
        <x:f>INDEX('Dated offers'!$K$7:$K$305,MATCH($Z12,'Dated offers'!$A$7:$A$305,0))</x:f>
        <x:v>0</x:v>
      </x:c>
      <x:c r="O12" s="25" t="n">
        <x:f>F12*M12</x:f>
        <x:v>27.450000000000003</x:v>
      </x:c>
      <x:c r="P12" s="25" t="n">
        <x:f>G12*M12</x:f>
        <x:v>27.450000000000003</x:v>
      </x:c>
      <x:c r="Q12" s="25" t="n">
        <x:f>K12*M12+N12</x:f>
        <x:v>27.450000000000003</x:v>
      </x:c>
      <x:c r="R12" s="18" t="n">
        <x:f>K12-G12</x:f>
        <x:v>0</x:v>
      </x:c>
      <x:c r="S12" s="18" t="n">
        <x:f>INDEX('Dated offers'!$H$7:$H$305,MATCH($Z12,'Dated offers'!$A$7:$A$305,0))</x:f>
        <x:v>106480</x:v>
      </x:c>
      <x:c r="T12" s="2" t="str">
        <x:f>IF(K12&lt;G12,"Order below requirement",IF(K12&lt;L12,"Below price tier",IF(ISNUMBER(S12),IF(K12&gt;S12,"Quantity exceeds snapshot","Within quantity snapshot"),"Stock not stated")))</x:f>
        <x:v>Within quantity snapshot</x:v>
      </x:c>
      <x:c r="U12" s="2" t="str">
        <x:f>INDEX('Dated offers'!$C$7:$C$305,MATCH($Z12,'Dated offers'!$A$7:$A$305,0))</x:f>
        <x:v>DigiKey</x:v>
      </x:c>
      <x:c r="V12" s="2" t="str">
        <x:f>INDEX('Dated offers'!$D$7:$D$305,MATCH($Z12,'Dated offers'!$A$7:$A$305,0))</x:f>
        <x:v>Not stated</x:v>
      </x:c>
      <x:c r="W12" s="24" t="n">
        <x:f>INDEX('Dated offers'!$E$7:$E$305,MATCH($Z12,'Dated offers'!$A$7:$A$305,0))</x:f>
        <x:v>46307.47807258102</x:v>
      </x:c>
      <x:c r="X12" s="2" t="b">
        <x:f>INDEX('Dated offers'!$N$7:$N$305,MATCH($Z12,'Dated offers'!$A$7:$A$305,0))</x:f>
        <x:v>0</x:v>
      </x:c>
      <x:c r="Y12" s="2" t="str">
        <x:f>INDEX('Dated offers'!$O$7:$O$305,MATCH($Z12,'Dated offers'!$A$7:$A$305,0))</x:f>
        <x:v>Unreserved inventory snapshot</x:v>
      </x:c>
      <x:c r="Z12" s="17" t="str">
        <x:v>OF0006</x:v>
      </x:c>
      <x:c r="AA12" s="2"/>
      <x:c r="AB12" s="2" t="str">
        <x:f>INDEX('Dated offers'!$Q$7:$Q$305,MATCH($Z12,'Dated offers'!$A$7:$A$305,0))</x:f>
        <x:v>https://www.digikey.com/en/products/detail/w%C3%BCrth-elektronik/9774025243R/5320622</x:v>
      </x:c>
    </x:row>
    <x:row r="13" ht="24" customHeight="1">
      <x:c r="A13" s="2" t="str">
        <x:v>25 boards / nominal</x:v>
      </x:c>
      <x:c r="B13" s="17" t="str">
        <x:v>ABM8-25.000MHZ-D1X-T</x:v>
      </x:c>
      <x:c r="C13" s="18" t="n">
        <x:v>25</x:v>
      </x:c>
      <x:c r="D13" s="27" t="n">
        <x:v>0</x:v>
      </x:c>
      <x:c r="E13" s="18" t="n">
        <x:f>INDEX('Assembly BOM'!$C$7:$C$162,MATCH($B13,'Assembly BOM'!$A$7:$A$162,0))</x:f>
        <x:v>1</x:v>
      </x:c>
      <x:c r="F13" s="18" t="n">
        <x:f>C13*E13</x:f>
        <x:v>25</x:v>
      </x:c>
      <x:c r="G13" s="18" t="n">
        <x:f>ROUNDUP(F13*(1+D13),0)</x:f>
        <x:v>25</x:v>
      </x:c>
      <x:c r="H13" s="18" t="n">
        <x:f>INDEX('Dated offers'!$F$7:$F$305,MATCH($Z13,'Dated offers'!$A$7:$A$305,0))</x:f>
        <x:v>1</x:v>
      </x:c>
      <x:c r="I13" s="18" t="n">
        <x:f>INDEX('Dated offers'!$G$7:$G$305,MATCH($Z13,'Dated offers'!$A$7:$A$305,0))</x:f>
        <x:v>1</x:v>
      </x:c>
      <x:c r="J13" s="18" t="n">
        <x:f>CEILING(MAX(G13,H13),I13)</x:f>
        <x:v>25</x:v>
      </x:c>
      <x:c r="K13" s="18" t="n">
        <x:v>25</x:v>
      </x:c>
      <x:c r="L13" s="18" t="n">
        <x:f>INDEX('Dated offers'!$I$7:$I$305,MATCH($Z13,'Dated offers'!$A$7:$A$305,0))</x:f>
        <x:v>25</x:v>
      </x:c>
      <x:c r="M13" s="25" t="n">
        <x:f>INDEX('Dated offers'!$J$7:$J$305,MATCH($Z13,'Dated offers'!$A$7:$A$305,0))</x:f>
        <x:v>0.3788</x:v>
      </x:c>
      <x:c r="N13" s="25" t="n">
        <x:f>INDEX('Dated offers'!$K$7:$K$305,MATCH($Z13,'Dated offers'!$A$7:$A$305,0))</x:f>
        <x:v>0</x:v>
      </x:c>
      <x:c r="O13" s="25" t="n">
        <x:f>F13*M13</x:f>
        <x:v>9.47</x:v>
      </x:c>
      <x:c r="P13" s="25" t="n">
        <x:f>G13*M13</x:f>
        <x:v>9.47</x:v>
      </x:c>
      <x:c r="Q13" s="25" t="n">
        <x:f>K13*M13+N13</x:f>
        <x:v>9.47</x:v>
      </x:c>
      <x:c r="R13" s="18" t="n">
        <x:f>K13-G13</x:f>
        <x:v>0</x:v>
      </x:c>
      <x:c r="S13" s="18" t="n">
        <x:f>INDEX('Dated offers'!$H$7:$H$305,MATCH($Z13,'Dated offers'!$A$7:$A$305,0))</x:f>
        <x:v>338</x:v>
      </x:c>
      <x:c r="T13" s="2" t="str">
        <x:f>IF(K13&lt;G13,"Order below requirement",IF(K13&lt;L13,"Below price tier",IF(ISNUMBER(S13),IF(K13&gt;S13,"Quantity exceeds snapshot","Within quantity snapshot"),"Stock not stated")))</x:f>
        <x:v>Within quantity snapshot</x:v>
      </x:c>
      <x:c r="U13" s="2" t="str">
        <x:f>INDEX('Dated offers'!$C$7:$C$305,MATCH($Z13,'Dated offers'!$A$7:$A$305,0))</x:f>
        <x:v>DigiKey</x:v>
      </x:c>
      <x:c r="V13" s="2" t="str">
        <x:f>INDEX('Dated offers'!$D$7:$D$305,MATCH($Z13,'Dated offers'!$A$7:$A$305,0))</x:f>
        <x:v>Not stated</x:v>
      </x:c>
      <x:c r="W13" s="24" t="n">
        <x:f>INDEX('Dated offers'!$E$7:$E$305,MATCH($Z13,'Dated offers'!$A$7:$A$305,0))</x:f>
        <x:v>46307.478072592596</x:v>
      </x:c>
      <x:c r="X13" s="2" t="b">
        <x:f>INDEX('Dated offers'!$N$7:$N$305,MATCH($Z13,'Dated offers'!$A$7:$A$305,0))</x:f>
        <x:v>0</x:v>
      </x:c>
      <x:c r="Y13" s="2" t="str">
        <x:f>INDEX('Dated offers'!$O$7:$O$305,MATCH($Z13,'Dated offers'!$A$7:$A$305,0))</x:f>
        <x:v>Unreserved inventory snapshot</x:v>
      </x:c>
      <x:c r="Z13" s="17" t="str">
        <x:v>OF0007</x:v>
      </x:c>
      <x:c r="AA13" s="2"/>
      <x:c r="AB13" s="2" t="str">
        <x:f>INDEX('Dated offers'!$Q$7:$Q$305,MATCH($Z13,'Dated offers'!$A$7:$A$305,0))</x:f>
        <x:v>https://www.digikey.com/en/products/detail/abracon-llc/ABM8-25-000MHZ-D1X-T/9997887</x:v>
      </x:c>
    </x:row>
    <x:row r="14" ht="24" customHeight="1">
      <x:c r="A14" s="2" t="str">
        <x:v>25 boards / nominal</x:v>
      </x:c>
      <x:c r="B14" s="17" t="str">
        <x:v>ABM8-40.000MHZ-10-D1G-T</x:v>
      </x:c>
      <x:c r="C14" s="18" t="n">
        <x:v>25</x:v>
      </x:c>
      <x:c r="D14" s="27" t="n">
        <x:v>0</x:v>
      </x:c>
      <x:c r="E14" s="18" t="n">
        <x:f>INDEX('Assembly BOM'!$C$7:$C$162,MATCH($B14,'Assembly BOM'!$A$7:$A$162,0))</x:f>
        <x:v>1</x:v>
      </x:c>
      <x:c r="F14" s="18" t="n">
        <x:f>C14*E14</x:f>
        <x:v>25</x:v>
      </x:c>
      <x:c r="G14" s="18" t="n">
        <x:f>ROUNDUP(F14*(1+D14),0)</x:f>
        <x:v>25</x:v>
      </x:c>
      <x:c r="H14" s="18" t="n">
        <x:f>INDEX('Dated offers'!$F$7:$F$305,MATCH($Z14,'Dated offers'!$A$7:$A$305,0))</x:f>
        <x:v>1</x:v>
      </x:c>
      <x:c r="I14" s="18" t="n">
        <x:f>INDEX('Dated offers'!$G$7:$G$305,MATCH($Z14,'Dated offers'!$A$7:$A$305,0))</x:f>
        <x:v>1</x:v>
      </x:c>
      <x:c r="J14" s="18" t="n">
        <x:f>CEILING(MAX(G14,H14),I14)</x:f>
        <x:v>25</x:v>
      </x:c>
      <x:c r="K14" s="18" t="n">
        <x:v>25</x:v>
      </x:c>
      <x:c r="L14" s="18" t="n">
        <x:f>INDEX('Dated offers'!$I$7:$I$305,MATCH($Z14,'Dated offers'!$A$7:$A$305,0))</x:f>
        <x:v>25</x:v>
      </x:c>
      <x:c r="M14" s="25" t="n">
        <x:f>INDEX('Dated offers'!$J$7:$J$305,MATCH($Z14,'Dated offers'!$A$7:$A$305,0))</x:f>
        <x:v>0.4048</x:v>
      </x:c>
      <x:c r="N14" s="25" t="n">
        <x:f>INDEX('Dated offers'!$K$7:$K$305,MATCH($Z14,'Dated offers'!$A$7:$A$305,0))</x:f>
        <x:v>0</x:v>
      </x:c>
      <x:c r="O14" s="25" t="n">
        <x:f>F14*M14</x:f>
        <x:v>10.12</x:v>
      </x:c>
      <x:c r="P14" s="25" t="n">
        <x:f>G14*M14</x:f>
        <x:v>10.12</x:v>
      </x:c>
      <x:c r="Q14" s="25" t="n">
        <x:f>K14*M14+N14</x:f>
        <x:v>10.12</x:v>
      </x:c>
      <x:c r="R14" s="18" t="n">
        <x:f>K14-G14</x:f>
        <x:v>0</x:v>
      </x:c>
      <x:c r="S14" s="18" t="n">
        <x:f>INDEX('Dated offers'!$H$7:$H$305,MATCH($Z14,'Dated offers'!$A$7:$A$305,0))</x:f>
        <x:v>1001</x:v>
      </x:c>
      <x:c r="T14" s="2" t="str">
        <x:f>IF(K14&lt;G14,"Order below requirement",IF(K14&lt;L14,"Below price tier",IF(ISNUMBER(S14),IF(K14&gt;S14,"Quantity exceeds snapshot","Within quantity snapshot"),"Stock not stated")))</x:f>
        <x:v>Within quantity snapshot</x:v>
      </x:c>
      <x:c r="U14" s="2" t="str">
        <x:f>INDEX('Dated offers'!$C$7:$C$305,MATCH($Z14,'Dated offers'!$A$7:$A$305,0))</x:f>
        <x:v>DigiKey</x:v>
      </x:c>
      <x:c r="V14" s="2" t="str">
        <x:f>INDEX('Dated offers'!$D$7:$D$305,MATCH($Z14,'Dated offers'!$A$7:$A$305,0))</x:f>
        <x:v>Not stated</x:v>
      </x:c>
      <x:c r="W14" s="24" t="n">
        <x:f>INDEX('Dated offers'!$E$7:$E$305,MATCH($Z14,'Dated offers'!$A$7:$A$305,0))</x:f>
        <x:v>46307.478072592596</x:v>
      </x:c>
      <x:c r="X14" s="2" t="b">
        <x:f>INDEX('Dated offers'!$N$7:$N$305,MATCH($Z14,'Dated offers'!$A$7:$A$305,0))</x:f>
        <x:v>0</x:v>
      </x:c>
      <x:c r="Y14" s="2" t="str">
        <x:f>INDEX('Dated offers'!$O$7:$O$305,MATCH($Z14,'Dated offers'!$A$7:$A$305,0))</x:f>
        <x:v>Unreserved inventory snapshot</x:v>
      </x:c>
      <x:c r="Z14" s="17" t="str">
        <x:v>OF0008</x:v>
      </x:c>
      <x:c r="AA14" s="2"/>
      <x:c r="AB14" s="2" t="str">
        <x:f>INDEX('Dated offers'!$Q$7:$Q$305,MATCH($Z14,'Dated offers'!$A$7:$A$305,0))</x:f>
        <x:v>https://www.digikey.com/en/products/detail/abracon-llc/ABM8-40-000MHZ-10-D1G-T/9997905</x:v>
      </x:c>
    </x:row>
    <x:row r="15" ht="24" customHeight="1">
      <x:c r="A15" s="2" t="str">
        <x:v>25 boards / nominal</x:v>
      </x:c>
      <x:c r="B15" s="17" t="str">
        <x:v>AC01000004708JA100</x:v>
      </x:c>
      <x:c r="C15" s="18" t="n">
        <x:v>25</x:v>
      </x:c>
      <x:c r="D15" s="27" t="n">
        <x:v>0</x:v>
      </x:c>
      <x:c r="E15" s="18" t="n">
        <x:f>INDEX('Assembly BOM'!$C$7:$C$162,MATCH($B15,'Assembly BOM'!$A$7:$A$162,0))</x:f>
        <x:v>1</x:v>
      </x:c>
      <x:c r="F15" s="18" t="n">
        <x:f>C15*E15</x:f>
        <x:v>25</x:v>
      </x:c>
      <x:c r="G15" s="18" t="n">
        <x:f>ROUNDUP(F15*(1+D15),0)</x:f>
        <x:v>25</x:v>
      </x:c>
      <x:c r="H15" s="18" t="n">
        <x:f>INDEX('Dated offers'!$F$7:$F$305,MATCH($Z15,'Dated offers'!$A$7:$A$305,0))</x:f>
        <x:v>1</x:v>
      </x:c>
      <x:c r="I15" s="18" t="n">
        <x:f>INDEX('Dated offers'!$G$7:$G$305,MATCH($Z15,'Dated offers'!$A$7:$A$305,0))</x:f>
        <x:v>1</x:v>
      </x:c>
      <x:c r="J15" s="18" t="n">
        <x:f>CEILING(MAX(G15,H15),I15)</x:f>
        <x:v>25</x:v>
      </x:c>
      <x:c r="K15" s="18" t="n">
        <x:v>25</x:v>
      </x:c>
      <x:c r="L15" s="18" t="n">
        <x:f>INDEX('Dated offers'!$I$7:$I$305,MATCH($Z15,'Dated offers'!$A$7:$A$305,0))</x:f>
        <x:v>25</x:v>
      </x:c>
      <x:c r="M15" s="25" t="n">
        <x:f>INDEX('Dated offers'!$J$7:$J$305,MATCH($Z15,'Dated offers'!$A$7:$A$305,0))</x:f>
        <x:v>0.5644</x:v>
      </x:c>
      <x:c r="N15" s="25" t="n">
        <x:f>INDEX('Dated offers'!$K$7:$K$305,MATCH($Z15,'Dated offers'!$A$7:$A$305,0))</x:f>
        <x:v>0</x:v>
      </x:c>
      <x:c r="O15" s="25" t="n">
        <x:f>F15*M15</x:f>
        <x:v>14.11</x:v>
      </x:c>
      <x:c r="P15" s="25" t="n">
        <x:f>G15*M15</x:f>
        <x:v>14.11</x:v>
      </x:c>
      <x:c r="Q15" s="25" t="n">
        <x:f>K15*M15+N15</x:f>
        <x:v>14.11</x:v>
      </x:c>
      <x:c r="R15" s="18" t="n">
        <x:f>K15-G15</x:f>
        <x:v>0</x:v>
      </x:c>
      <x:c r="S15" s="18" t="n">
        <x:f>INDEX('Dated offers'!$H$7:$H$305,MATCH($Z15,'Dated offers'!$A$7:$A$305,0))</x:f>
        <x:v>384</x:v>
      </x:c>
      <x:c r="T15" s="2" t="str">
        <x:f>IF(K15&lt;G15,"Order below requirement",IF(K15&lt;L15,"Below price tier",IF(ISNUMBER(S15),IF(K15&gt;S15,"Quantity exceeds snapshot","Within quantity snapshot"),"Stock not stated")))</x:f>
        <x:v>Within quantity snapshot</x:v>
      </x:c>
      <x:c r="U15" s="2" t="str">
        <x:f>INDEX('Dated offers'!$C$7:$C$305,MATCH($Z15,'Dated offers'!$A$7:$A$305,0))</x:f>
        <x:v>DigiKey</x:v>
      </x:c>
      <x:c r="V15" s="2" t="str">
        <x:f>INDEX('Dated offers'!$D$7:$D$305,MATCH($Z15,'Dated offers'!$A$7:$A$305,0))</x:f>
        <x:v>Not stated</x:v>
      </x:c>
      <x:c r="W15" s="24" t="n">
        <x:f>INDEX('Dated offers'!$E$7:$E$305,MATCH($Z15,'Dated offers'!$A$7:$A$305,0))</x:f>
        <x:v>46307.47807255787</x:v>
      </x:c>
      <x:c r="X15" s="2" t="b">
        <x:f>INDEX('Dated offers'!$N$7:$N$305,MATCH($Z15,'Dated offers'!$A$7:$A$305,0))</x:f>
        <x:v>0</x:v>
      </x:c>
      <x:c r="Y15" s="2" t="str">
        <x:f>INDEX('Dated offers'!$O$7:$O$305,MATCH($Z15,'Dated offers'!$A$7:$A$305,0))</x:f>
        <x:v>Unreserved inventory snapshot</x:v>
      </x:c>
      <x:c r="Z15" s="17" t="str">
        <x:v>OF0009</x:v>
      </x:c>
      <x:c r="AA15" s="2"/>
      <x:c r="AB15" s="2" t="str">
        <x:f>INDEX('Dated offers'!$Q$7:$Q$305,MATCH($Z15,'Dated offers'!$A$7:$A$305,0))</x:f>
        <x:v>https://www.digikey.com/en/products/detail/vishay/AC01000004708JA100/596586</x:v>
      </x:c>
    </x:row>
    <x:row r="16" ht="24" customHeight="1">
      <x:c r="A16" s="2" t="str">
        <x:v>25 boards / nominal</x:v>
      </x:c>
      <x:c r="B16" s="17" t="str">
        <x:v>AT93C46DN-SH-T</x:v>
      </x:c>
      <x:c r="C16" s="18" t="n">
        <x:v>25</x:v>
      </x:c>
      <x:c r="D16" s="27" t="n">
        <x:v>0</x:v>
      </x:c>
      <x:c r="E16" s="18" t="n">
        <x:f>INDEX('Assembly BOM'!$C$7:$C$162,MATCH($B16,'Assembly BOM'!$A$7:$A$162,0))</x:f>
        <x:v>1</x:v>
      </x:c>
      <x:c r="F16" s="18" t="n">
        <x:f>C16*E16</x:f>
        <x:v>25</x:v>
      </x:c>
      <x:c r="G16" s="18" t="n">
        <x:f>ROUNDUP(F16*(1+D16),0)</x:f>
        <x:v>25</x:v>
      </x:c>
      <x:c r="H16" s="18" t="n">
        <x:f>INDEX('Dated offers'!$F$7:$F$305,MATCH($Z16,'Dated offers'!$A$7:$A$305,0))</x:f>
        <x:v>1</x:v>
      </x:c>
      <x:c r="I16" s="18" t="n">
        <x:f>INDEX('Dated offers'!$G$7:$G$305,MATCH($Z16,'Dated offers'!$A$7:$A$305,0))</x:f>
        <x:v>1</x:v>
      </x:c>
      <x:c r="J16" s="18" t="n">
        <x:f>CEILING(MAX(G16,H16),I16)</x:f>
        <x:v>25</x:v>
      </x:c>
      <x:c r="K16" s="18" t="n">
        <x:v>25</x:v>
      </x:c>
      <x:c r="L16" s="18" t="n">
        <x:f>INDEX('Dated offers'!$I$7:$I$305,MATCH($Z16,'Dated offers'!$A$7:$A$305,0))</x:f>
        <x:v>1</x:v>
      </x:c>
      <x:c r="M16" s="25" t="n">
        <x:f>INDEX('Dated offers'!$J$7:$J$305,MATCH($Z16,'Dated offers'!$A$7:$A$305,0))</x:f>
        <x:v>0.28</x:v>
      </x:c>
      <x:c r="N16" s="25" t="n">
        <x:f>INDEX('Dated offers'!$K$7:$K$305,MATCH($Z16,'Dated offers'!$A$7:$A$305,0))</x:f>
        <x:v>0</x:v>
      </x:c>
      <x:c r="O16" s="25" t="n">
        <x:f>F16*M16</x:f>
        <x:v>7.000000000000001</x:v>
      </x:c>
      <x:c r="P16" s="25" t="n">
        <x:f>G16*M16</x:f>
        <x:v>7.000000000000001</x:v>
      </x:c>
      <x:c r="Q16" s="25" t="n">
        <x:f>K16*M16+N16</x:f>
        <x:v>7.000000000000001</x:v>
      </x:c>
      <x:c r="R16" s="18" t="n">
        <x:f>K16-G16</x:f>
        <x:v>0</x:v>
      </x:c>
      <x:c r="S16" s="18" t="n">
        <x:f>INDEX('Dated offers'!$H$7:$H$305,MATCH($Z16,'Dated offers'!$A$7:$A$305,0))</x:f>
        <x:v>24535</x:v>
      </x:c>
      <x:c r="T16" s="2" t="str">
        <x:f>IF(K16&lt;G16,"Order below requirement",IF(K16&lt;L16,"Below price tier",IF(ISNUMBER(S16),IF(K16&gt;S16,"Quantity exceeds snapshot","Within quantity snapshot"),"Stock not stated")))</x:f>
        <x:v>Within quantity snapshot</x:v>
      </x:c>
      <x:c r="U16" s="2" t="str">
        <x:f>INDEX('Dated offers'!$C$7:$C$305,MATCH($Z16,'Dated offers'!$A$7:$A$305,0))</x:f>
        <x:v>DigiKey</x:v>
      </x:c>
      <x:c r="V16" s="2" t="str">
        <x:f>INDEX('Dated offers'!$D$7:$D$305,MATCH($Z16,'Dated offers'!$A$7:$A$305,0))</x:f>
        <x:v>Not stated</x:v>
      </x:c>
      <x:c r="W16" s="24" t="n">
        <x:f>INDEX('Dated offers'!$E$7:$E$305,MATCH($Z16,'Dated offers'!$A$7:$A$305,0))</x:f>
        <x:v>46307.478072708334</x:v>
      </x:c>
      <x:c r="X16" s="2" t="b">
        <x:f>INDEX('Dated offers'!$N$7:$N$305,MATCH($Z16,'Dated offers'!$A$7:$A$305,0))</x:f>
        <x:v>0</x:v>
      </x:c>
      <x:c r="Y16" s="2" t="str">
        <x:f>INDEX('Dated offers'!$O$7:$O$305,MATCH($Z16,'Dated offers'!$A$7:$A$305,0))</x:f>
        <x:v>Unreserved inventory snapshot</x:v>
      </x:c>
      <x:c r="Z16" s="17" t="str">
        <x:v>OF0010</x:v>
      </x:c>
      <x:c r="AA16" s="2"/>
      <x:c r="AB16" s="2" t="str">
        <x:f>INDEX('Dated offers'!$Q$7:$Q$305,MATCH($Z16,'Dated offers'!$A$7:$A$305,0))</x:f>
        <x:v>https://www.digikey.com/en/products/detail/microchip-technology/AT93C46DN-SH-T/1566800</x:v>
      </x:c>
    </x:row>
    <x:row r="17" ht="24" customHeight="1">
      <x:c r="A17" s="2" t="str">
        <x:v>25 boards / nominal</x:v>
      </x:c>
      <x:c r="B17" s="17" t="str">
        <x:v>B2B-XH-A(LF)(SN)</x:v>
      </x:c>
      <x:c r="C17" s="18" t="n">
        <x:v>25</x:v>
      </x:c>
      <x:c r="D17" s="27" t="n">
        <x:v>0</x:v>
      </x:c>
      <x:c r="E17" s="18" t="n">
        <x:f>INDEX('Assembly BOM'!$C$7:$C$162,MATCH($B17,'Assembly BOM'!$A$7:$A$162,0))</x:f>
        <x:v>1</x:v>
      </x:c>
      <x:c r="F17" s="18" t="n">
        <x:f>C17*E17</x:f>
        <x:v>25</x:v>
      </x:c>
      <x:c r="G17" s="18" t="n">
        <x:f>ROUNDUP(F17*(1+D17),0)</x:f>
        <x:v>25</x:v>
      </x:c>
      <x:c r="H17" s="18" t="n">
        <x:f>INDEX('Dated offers'!$F$7:$F$305,MATCH($Z17,'Dated offers'!$A$7:$A$305,0))</x:f>
        <x:v>20</x:v>
      </x:c>
      <x:c r="I17" s="18" t="n">
        <x:f>INDEX('Dated offers'!$G$7:$G$305,MATCH($Z17,'Dated offers'!$A$7:$A$305,0))</x:f>
        <x:v>20</x:v>
      </x:c>
      <x:c r="J17" s="18" t="n">
        <x:f>CEILING(MAX(G17,H17),I17)</x:f>
        <x:v>40</x:v>
      </x:c>
      <x:c r="K17" s="18" t="n">
        <x:v>40</x:v>
      </x:c>
      <x:c r="L17" s="18" t="n">
        <x:f>INDEX('Dated offers'!$I$7:$I$305,MATCH($Z17,'Dated offers'!$A$7:$A$305,0))</x:f>
        <x:v>20</x:v>
      </x:c>
      <x:c r="M17" s="25" t="n">
        <x:f>INDEX('Dated offers'!$J$7:$J$305,MATCH($Z17,'Dated offers'!$A$7:$A$305,0))</x:f>
        <x:v>0.0409</x:v>
      </x:c>
      <x:c r="N17" s="25" t="n">
        <x:f>INDEX('Dated offers'!$K$7:$K$305,MATCH($Z17,'Dated offers'!$A$7:$A$305,0))</x:f>
        <x:v>0</x:v>
      </x:c>
      <x:c r="O17" s="25" t="n">
        <x:f>F17*M17</x:f>
        <x:v>1.0225</x:v>
      </x:c>
      <x:c r="P17" s="25" t="n">
        <x:f>G17*M17</x:f>
        <x:v>1.0225</x:v>
      </x:c>
      <x:c r="Q17" s="25" t="n">
        <x:f>K17*M17+N17</x:f>
        <x:v>1.636</x:v>
      </x:c>
      <x:c r="R17" s="18" t="n">
        <x:f>K17-G17</x:f>
        <x:v>15</x:v>
      </x:c>
      <x:c r="S17" s="18" t="n">
        <x:f>INDEX('Dated offers'!$H$7:$H$305,MATCH($Z17,'Dated offers'!$A$7:$A$305,0))</x:f>
        <x:v>238920</x:v>
      </x:c>
      <x:c r="T17" s="2" t="str">
        <x:f>IF(K17&lt;G17,"Order below requirement",IF(K17&lt;L17,"Below price tier",IF(ISNUMBER(S17),IF(K17&gt;S17,"Quantity exceeds snapshot","Within quantity snapshot"),"Stock not stated")))</x:f>
        <x:v>Within quantity snapshot</x:v>
      </x:c>
      <x:c r="U17" s="2" t="str">
        <x:f>INDEX('Dated offers'!$C$7:$C$305,MATCH($Z17,'Dated offers'!$A$7:$A$305,0))</x:f>
        <x:v>LCSC</x:v>
      </x:c>
      <x:c r="V17" s="2" t="str">
        <x:f>INDEX('Dated offers'!$D$7:$D$305,MATCH($Z17,'Dated offers'!$A$7:$A$305,0))</x:f>
        <x:v>C158012</x:v>
      </x:c>
      <x:c r="W17" s="24" t="n">
        <x:f>INDEX('Dated offers'!$E$7:$E$305,MATCH($Z17,'Dated offers'!$A$7:$A$305,0))</x:f>
        <x:v>46307.447395428244</x:v>
      </x:c>
      <x:c r="X17" s="2" t="b">
        <x:f>INDEX('Dated offers'!$N$7:$N$305,MATCH($Z17,'Dated offers'!$A$7:$A$305,0))</x:f>
        <x:v>0</x:v>
      </x:c>
      <x:c r="Y17" s="2" t="str">
        <x:f>INDEX('Dated offers'!$O$7:$O$305,MATCH($Z17,'Dated offers'!$A$7:$A$305,0))</x:f>
        <x:v>Unreserved inventory snapshot</x:v>
      </x:c>
      <x:c r="Z17" s="17" t="str">
        <x:v>OF0011</x:v>
      </x:c>
      <x:c r="AA17" s="2"/>
      <x:c r="AB17" s="2" t="str">
        <x:f>INDEX('Dated offers'!$Q$7:$Q$305,MATCH($Z17,'Dated offers'!$A$7:$A$305,0))</x:f>
        <x:v>https://www.lcsc.com/product-detail/C158012.html</x:v>
      </x:c>
    </x:row>
    <x:row r="18" ht="24" customHeight="1">
      <x:c r="A18" s="2" t="str">
        <x:v>25 boards / nominal</x:v>
      </x:c>
      <x:c r="B18" s="17" t="str">
        <x:v>B3U-1000P</x:v>
      </x:c>
      <x:c r="C18" s="18" t="n">
        <x:v>25</x:v>
      </x:c>
      <x:c r="D18" s="27" t="n">
        <x:v>0</x:v>
      </x:c>
      <x:c r="E18" s="18" t="n">
        <x:f>INDEX('Assembly BOM'!$C$7:$C$162,MATCH($B18,'Assembly BOM'!$A$7:$A$162,0))</x:f>
        <x:v>2</x:v>
      </x:c>
      <x:c r="F18" s="18" t="n">
        <x:f>C18*E18</x:f>
        <x:v>50</x:v>
      </x:c>
      <x:c r="G18" s="18" t="n">
        <x:f>ROUNDUP(F18*(1+D18),0)</x:f>
        <x:v>50</x:v>
      </x:c>
      <x:c r="H18" s="18" t="n">
        <x:f>INDEX('Dated offers'!$F$7:$F$305,MATCH($Z18,'Dated offers'!$A$7:$A$305,0))</x:f>
        <x:v>5</x:v>
      </x:c>
      <x:c r="I18" s="18" t="n">
        <x:f>INDEX('Dated offers'!$G$7:$G$305,MATCH($Z18,'Dated offers'!$A$7:$A$305,0))</x:f>
        <x:v>5</x:v>
      </x:c>
      <x:c r="J18" s="18" t="n">
        <x:f>CEILING(MAX(G18,H18),I18)</x:f>
        <x:v>50</x:v>
      </x:c>
      <x:c r="K18" s="18" t="n">
        <x:v>50</x:v>
      </x:c>
      <x:c r="L18" s="18" t="n">
        <x:f>INDEX('Dated offers'!$I$7:$I$305,MATCH($Z18,'Dated offers'!$A$7:$A$305,0))</x:f>
        <x:v>50</x:v>
      </x:c>
      <x:c r="M18" s="25" t="n">
        <x:f>INDEX('Dated offers'!$J$7:$J$305,MATCH($Z18,'Dated offers'!$A$7:$A$305,0))</x:f>
        <x:v>0.148</x:v>
      </x:c>
      <x:c r="N18" s="25" t="n">
        <x:f>INDEX('Dated offers'!$K$7:$K$305,MATCH($Z18,'Dated offers'!$A$7:$A$305,0))</x:f>
        <x:v>0</x:v>
      </x:c>
      <x:c r="O18" s="25" t="n">
        <x:f>F18*M18</x:f>
        <x:v>7.3999999999999995</x:v>
      </x:c>
      <x:c r="P18" s="25" t="n">
        <x:f>G18*M18</x:f>
        <x:v>7.3999999999999995</x:v>
      </x:c>
      <x:c r="Q18" s="25" t="n">
        <x:f>K18*M18+N18</x:f>
        <x:v>7.3999999999999995</x:v>
      </x:c>
      <x:c r="R18" s="18" t="n">
        <x:f>K18-G18</x:f>
        <x:v>0</x:v>
      </x:c>
      <x:c r="S18" s="18" t="n">
        <x:f>INDEX('Dated offers'!$H$7:$H$305,MATCH($Z18,'Dated offers'!$A$7:$A$305,0))</x:f>
        <x:v>120135</x:v>
      </x:c>
      <x:c r="T18" s="2" t="str">
        <x:f>IF(K18&lt;G18,"Order below requirement",IF(K18&lt;L18,"Below price tier",IF(ISNUMBER(S18),IF(K18&gt;S18,"Quantity exceeds snapshot","Within quantity snapshot"),"Stock not stated")))</x:f>
        <x:v>Within quantity snapshot</x:v>
      </x:c>
      <x:c r="U18" s="2" t="str">
        <x:f>INDEX('Dated offers'!$C$7:$C$305,MATCH($Z18,'Dated offers'!$A$7:$A$305,0))</x:f>
        <x:v>LCSC</x:v>
      </x:c>
      <x:c r="V18" s="2" t="str">
        <x:f>INDEX('Dated offers'!$D$7:$D$305,MATCH($Z18,'Dated offers'!$A$7:$A$305,0))</x:f>
        <x:v>C231329</x:v>
      </x:c>
      <x:c r="W18" s="24" t="n">
        <x:f>INDEX('Dated offers'!$E$7:$E$305,MATCH($Z18,'Dated offers'!$A$7:$A$305,0))</x:f>
        <x:v>46307.44739550926</x:v>
      </x:c>
      <x:c r="X18" s="2" t="b">
        <x:f>INDEX('Dated offers'!$N$7:$N$305,MATCH($Z18,'Dated offers'!$A$7:$A$305,0))</x:f>
        <x:v>0</x:v>
      </x:c>
      <x:c r="Y18" s="2" t="str">
        <x:f>INDEX('Dated offers'!$O$7:$O$305,MATCH($Z18,'Dated offers'!$A$7:$A$305,0))</x:f>
        <x:v>Unreserved inventory snapshot</x:v>
      </x:c>
      <x:c r="Z18" s="17" t="str">
        <x:v>OF0012</x:v>
      </x:c>
      <x:c r="AA18" s="2"/>
      <x:c r="AB18" s="2" t="str">
        <x:f>INDEX('Dated offers'!$Q$7:$Q$305,MATCH($Z18,'Dated offers'!$A$7:$A$305,0))</x:f>
        <x:v>https://www.lcsc.com/product-detail/C231329.html</x:v>
      </x:c>
    </x:row>
    <x:row r="19" ht="24" customHeight="1">
      <x:c r="A19" s="2" t="str">
        <x:v>25 boards / nominal</x:v>
      </x:c>
      <x:c r="B19" s="17" t="str">
        <x:v>BLM18PG330SN1D</x:v>
      </x:c>
      <x:c r="C19" s="18" t="n">
        <x:v>25</x:v>
      </x:c>
      <x:c r="D19" s="27" t="n">
        <x:v>0</x:v>
      </x:c>
      <x:c r="E19" s="18" t="n">
        <x:f>INDEX('Assembly BOM'!$C$7:$C$162,MATCH($B19,'Assembly BOM'!$A$7:$A$162,0))</x:f>
        <x:v>1</x:v>
      </x:c>
      <x:c r="F19" s="18" t="n">
        <x:f>C19*E19</x:f>
        <x:v>25</x:v>
      </x:c>
      <x:c r="G19" s="18" t="n">
        <x:f>ROUNDUP(F19*(1+D19),0)</x:f>
        <x:v>25</x:v>
      </x:c>
      <x:c r="H19" s="18" t="n">
        <x:f>INDEX('Dated offers'!$F$7:$F$305,MATCH($Z19,'Dated offers'!$A$7:$A$305,0))</x:f>
        <x:v>1</x:v>
      </x:c>
      <x:c r="I19" s="18" t="n">
        <x:f>INDEX('Dated offers'!$G$7:$G$305,MATCH($Z19,'Dated offers'!$A$7:$A$305,0))</x:f>
        <x:v>1</x:v>
      </x:c>
      <x:c r="J19" s="18" t="n">
        <x:f>CEILING(MAX(G19,H19),I19)</x:f>
        <x:v>25</x:v>
      </x:c>
      <x:c r="K19" s="18" t="n">
        <x:v>25</x:v>
      </x:c>
      <x:c r="L19" s="18" t="n">
        <x:f>INDEX('Dated offers'!$I$7:$I$305,MATCH($Z19,'Dated offers'!$A$7:$A$305,0))</x:f>
        <x:v>25</x:v>
      </x:c>
      <x:c r="M19" s="25" t="n">
        <x:f>INDEX('Dated offers'!$J$7:$J$305,MATCH($Z19,'Dated offers'!$A$7:$A$305,0))</x:f>
        <x:v>0.0568</x:v>
      </x:c>
      <x:c r="N19" s="25" t="n">
        <x:f>INDEX('Dated offers'!$K$7:$K$305,MATCH($Z19,'Dated offers'!$A$7:$A$305,0))</x:f>
        <x:v>0</x:v>
      </x:c>
      <x:c r="O19" s="25" t="n">
        <x:f>F19*M19</x:f>
        <x:v>1.4200000000000002</x:v>
      </x:c>
      <x:c r="P19" s="25" t="n">
        <x:f>G19*M19</x:f>
        <x:v>1.4200000000000002</x:v>
      </x:c>
      <x:c r="Q19" s="25" t="n">
        <x:f>K19*M19+N19</x:f>
        <x:v>1.4200000000000002</x:v>
      </x:c>
      <x:c r="R19" s="18" t="n">
        <x:f>K19-G19</x:f>
        <x:v>0</x:v>
      </x:c>
      <x:c r="S19" s="18" t="n">
        <x:f>INDEX('Dated offers'!$H$7:$H$305,MATCH($Z19,'Dated offers'!$A$7:$A$305,0))</x:f>
        <x:v>329009</x:v>
      </x:c>
      <x:c r="T19" s="2" t="str">
        <x:f>IF(K19&lt;G19,"Order below requirement",IF(K19&lt;L19,"Below price tier",IF(ISNUMBER(S19),IF(K19&gt;S19,"Quantity exceeds snapshot","Within quantity snapshot"),"Stock not stated")))</x:f>
        <x:v>Within quantity snapshot</x:v>
      </x:c>
      <x:c r="U19" s="2" t="str">
        <x:f>INDEX('Dated offers'!$C$7:$C$305,MATCH($Z19,'Dated offers'!$A$7:$A$305,0))</x:f>
        <x:v>DigiKey</x:v>
      </x:c>
      <x:c r="V19" s="2" t="str">
        <x:f>INDEX('Dated offers'!$D$7:$D$305,MATCH($Z19,'Dated offers'!$A$7:$A$305,0))</x:f>
        <x:v>Not stated</x:v>
      </x:c>
      <x:c r="W19" s="24" t="n">
        <x:f>INDEX('Dated offers'!$E$7:$E$305,MATCH($Z19,'Dated offers'!$A$7:$A$305,0))</x:f>
        <x:v>46307.47807266204</x:v>
      </x:c>
      <x:c r="X19" s="2" t="b">
        <x:f>INDEX('Dated offers'!$N$7:$N$305,MATCH($Z19,'Dated offers'!$A$7:$A$305,0))</x:f>
        <x:v>0</x:v>
      </x:c>
      <x:c r="Y19" s="2" t="str">
        <x:f>INDEX('Dated offers'!$O$7:$O$305,MATCH($Z19,'Dated offers'!$A$7:$A$305,0))</x:f>
        <x:v>Unreserved inventory snapshot</x:v>
      </x:c>
      <x:c r="Z19" s="17" t="str">
        <x:v>OF0013</x:v>
      </x:c>
      <x:c r="AA19" s="2"/>
      <x:c r="AB19" s="2" t="str">
        <x:f>INDEX('Dated offers'!$Q$7:$Q$305,MATCH($Z19,'Dated offers'!$A$7:$A$305,0))</x:f>
        <x:v>https://www.digikey.com/en/products/detail/murata-electronics/BLM18PG330SN1D/1948325</x:v>
      </x:c>
    </x:row>
    <x:row r="20" ht="24" customHeight="1">
      <x:c r="A20" s="2" t="str">
        <x:v>25 boards / nominal</x:v>
      </x:c>
      <x:c r="B20" s="17" t="str">
        <x:v>BZT52C6V2-7-F</x:v>
      </x:c>
      <x:c r="C20" s="18" t="n">
        <x:v>25</x:v>
      </x:c>
      <x:c r="D20" s="27" t="n">
        <x:v>0</x:v>
      </x:c>
      <x:c r="E20" s="18" t="n">
        <x:f>INDEX('Assembly BOM'!$C$7:$C$162,MATCH($B20,'Assembly BOM'!$A$7:$A$162,0))</x:f>
        <x:v>1</x:v>
      </x:c>
      <x:c r="F20" s="18" t="n">
        <x:f>C20*E20</x:f>
        <x:v>25</x:v>
      </x:c>
      <x:c r="G20" s="18" t="n">
        <x:f>ROUNDUP(F20*(1+D20),0)</x:f>
        <x:v>25</x:v>
      </x:c>
      <x:c r="H20" s="18" t="n">
        <x:f>INDEX('Dated offers'!$F$7:$F$305,MATCH($Z20,'Dated offers'!$A$7:$A$305,0))</x:f>
        <x:v>10</x:v>
      </x:c>
      <x:c r="I20" s="18" t="n">
        <x:f>INDEX('Dated offers'!$G$7:$G$305,MATCH($Z20,'Dated offers'!$A$7:$A$305,0))</x:f>
        <x:v>10</x:v>
      </x:c>
      <x:c r="J20" s="18" t="n">
        <x:f>CEILING(MAX(G20,H20),I20)</x:f>
        <x:v>30</x:v>
      </x:c>
      <x:c r="K20" s="18" t="n">
        <x:v>30</x:v>
      </x:c>
      <x:c r="L20" s="18" t="n">
        <x:f>INDEX('Dated offers'!$I$7:$I$305,MATCH($Z20,'Dated offers'!$A$7:$A$305,0))</x:f>
        <x:v>10</x:v>
      </x:c>
      <x:c r="M20" s="25" t="n">
        <x:f>INDEX('Dated offers'!$J$7:$J$305,MATCH($Z20,'Dated offers'!$A$7:$A$305,0))</x:f>
        <x:v>0.0472</x:v>
      </x:c>
      <x:c r="N20" s="25" t="n">
        <x:f>INDEX('Dated offers'!$K$7:$K$305,MATCH($Z20,'Dated offers'!$A$7:$A$305,0))</x:f>
        <x:v>0</x:v>
      </x:c>
      <x:c r="O20" s="25" t="n">
        <x:f>F20*M20</x:f>
        <x:v>1.18</x:v>
      </x:c>
      <x:c r="P20" s="25" t="n">
        <x:f>G20*M20</x:f>
        <x:v>1.18</x:v>
      </x:c>
      <x:c r="Q20" s="25" t="n">
        <x:f>K20*M20+N20</x:f>
        <x:v>1.416</x:v>
      </x:c>
      <x:c r="R20" s="18" t="n">
        <x:f>K20-G20</x:f>
        <x:v>5</x:v>
      </x:c>
      <x:c r="S20" s="18" t="n">
        <x:f>INDEX('Dated offers'!$H$7:$H$305,MATCH($Z20,'Dated offers'!$A$7:$A$305,0))</x:f>
        <x:v>18480</x:v>
      </x:c>
      <x:c r="T20" s="2" t="str">
        <x:f>IF(K20&lt;G20,"Order below requirement",IF(K20&lt;L20,"Below price tier",IF(ISNUMBER(S20),IF(K20&gt;S20,"Quantity exceeds snapshot","Within quantity snapshot"),"Stock not stated")))</x:f>
        <x:v>Within quantity snapshot</x:v>
      </x:c>
      <x:c r="U20" s="2" t="str">
        <x:f>INDEX('Dated offers'!$C$7:$C$305,MATCH($Z20,'Dated offers'!$A$7:$A$305,0))</x:f>
        <x:v>LCSC</x:v>
      </x:c>
      <x:c r="V20" s="2" t="str">
        <x:f>INDEX('Dated offers'!$D$7:$D$305,MATCH($Z20,'Dated offers'!$A$7:$A$305,0))</x:f>
        <x:v>C397931</x:v>
      </x:c>
      <x:c r="W20" s="24" t="n">
        <x:f>INDEX('Dated offers'!$E$7:$E$305,MATCH($Z20,'Dated offers'!$A$7:$A$305,0))</x:f>
        <x:v>46307.44740135417</x:v>
      </x:c>
      <x:c r="X20" s="2" t="b">
        <x:f>INDEX('Dated offers'!$N$7:$N$305,MATCH($Z20,'Dated offers'!$A$7:$A$305,0))</x:f>
        <x:v>0</x:v>
      </x:c>
      <x:c r="Y20" s="2" t="str">
        <x:f>INDEX('Dated offers'!$O$7:$O$305,MATCH($Z20,'Dated offers'!$A$7:$A$305,0))</x:f>
        <x:v>Unreserved inventory snapshot</x:v>
      </x:c>
      <x:c r="Z20" s="17" t="str">
        <x:v>OF0014</x:v>
      </x:c>
      <x:c r="AA20" s="2"/>
      <x:c r="AB20" s="2" t="str">
        <x:f>INDEX('Dated offers'!$Q$7:$Q$305,MATCH($Z20,'Dated offers'!$A$7:$A$305,0))</x:f>
        <x:v>https://www.lcsc.com/product-detail/C397931.html</x:v>
      </x:c>
    </x:row>
    <x:row r="21" ht="24" customHeight="1">
      <x:c r="A21" s="2" t="str">
        <x:v>25 boards / nominal</x:v>
      </x:c>
      <x:c r="B21" s="17" t="str">
        <x:v>C0402C102K5RACTU</x:v>
      </x:c>
      <x:c r="C21" s="18" t="n">
        <x:v>25</x:v>
      </x:c>
      <x:c r="D21" s="27" t="n">
        <x:v>0</x:v>
      </x:c>
      <x:c r="E21" s="18" t="n">
        <x:f>INDEX('Assembly BOM'!$C$7:$C$162,MATCH($B21,'Assembly BOM'!$A$7:$A$162,0))</x:f>
        <x:v>2</x:v>
      </x:c>
      <x:c r="F21" s="18" t="n">
        <x:f>C21*E21</x:f>
        <x:v>50</x:v>
      </x:c>
      <x:c r="G21" s="18" t="n">
        <x:f>ROUNDUP(F21*(1+D21),0)</x:f>
        <x:v>50</x:v>
      </x:c>
      <x:c r="H21" s="18" t="n">
        <x:f>INDEX('Dated offers'!$F$7:$F$305,MATCH($Z21,'Dated offers'!$A$7:$A$305,0))</x:f>
        <x:v>1</x:v>
      </x:c>
      <x:c r="I21" s="18" t="n">
        <x:f>INDEX('Dated offers'!$G$7:$G$305,MATCH($Z21,'Dated offers'!$A$7:$A$305,0))</x:f>
        <x:v>1</x:v>
      </x:c>
      <x:c r="J21" s="18" t="n">
        <x:f>CEILING(MAX(G21,H21),I21)</x:f>
        <x:v>50</x:v>
      </x:c>
      <x:c r="K21" s="18" t="n">
        <x:v>50</x:v>
      </x:c>
      <x:c r="L21" s="18" t="n">
        <x:f>INDEX('Dated offers'!$I$7:$I$305,MATCH($Z21,'Dated offers'!$A$7:$A$305,0))</x:f>
        <x:v>50</x:v>
      </x:c>
      <x:c r="M21" s="25" t="n">
        <x:f>INDEX('Dated offers'!$J$7:$J$305,MATCH($Z21,'Dated offers'!$A$7:$A$305,0))</x:f>
        <x:v>0.0238</x:v>
      </x:c>
      <x:c r="N21" s="25" t="n">
        <x:f>INDEX('Dated offers'!$K$7:$K$305,MATCH($Z21,'Dated offers'!$A$7:$A$305,0))</x:f>
        <x:v>0</x:v>
      </x:c>
      <x:c r="O21" s="25" t="n">
        <x:f>F21*M21</x:f>
        <x:v>1.1900000000000002</x:v>
      </x:c>
      <x:c r="P21" s="25" t="n">
        <x:f>G21*M21</x:f>
        <x:v>1.1900000000000002</x:v>
      </x:c>
      <x:c r="Q21" s="25" t="n">
        <x:f>K21*M21+N21</x:f>
        <x:v>1.1900000000000002</x:v>
      </x:c>
      <x:c r="R21" s="18" t="n">
        <x:f>K21-G21</x:f>
        <x:v>0</x:v>
      </x:c>
      <x:c r="S21" s="18" t="n">
        <x:f>INDEX('Dated offers'!$H$7:$H$305,MATCH($Z21,'Dated offers'!$A$7:$A$305,0))</x:f>
        <x:v>1816650</x:v>
      </x:c>
      <x:c r="T21" s="2" t="str">
        <x:f>IF(K21&lt;G21,"Order below requirement",IF(K21&lt;L21,"Below price tier",IF(ISNUMBER(S21),IF(K21&gt;S21,"Quantity exceeds snapshot","Within quantity snapshot"),"Stock not stated")))</x:f>
        <x:v>Within quantity snapshot</x:v>
      </x:c>
      <x:c r="U21" s="2" t="str">
        <x:f>INDEX('Dated offers'!$C$7:$C$305,MATCH($Z21,'Dated offers'!$A$7:$A$305,0))</x:f>
        <x:v>DigiKey</x:v>
      </x:c>
      <x:c r="V21" s="2" t="str">
        <x:f>INDEX('Dated offers'!$D$7:$D$305,MATCH($Z21,'Dated offers'!$A$7:$A$305,0))</x:f>
        <x:v>Not stated</x:v>
      </x:c>
      <x:c r="W21" s="24" t="n">
        <x:f>INDEX('Dated offers'!$E$7:$E$305,MATCH($Z21,'Dated offers'!$A$7:$A$305,0))</x:f>
        <x:v>46307.47807269676</x:v>
      </x:c>
      <x:c r="X21" s="2" t="b">
        <x:f>INDEX('Dated offers'!$N$7:$N$305,MATCH($Z21,'Dated offers'!$A$7:$A$305,0))</x:f>
        <x:v>0</x:v>
      </x:c>
      <x:c r="Y21" s="2" t="str">
        <x:f>INDEX('Dated offers'!$O$7:$O$305,MATCH($Z21,'Dated offers'!$A$7:$A$305,0))</x:f>
        <x:v>Unreserved inventory snapshot</x:v>
      </x:c>
      <x:c r="Z21" s="17" t="str">
        <x:v>OF0015</x:v>
      </x:c>
      <x:c r="AA21" s="2"/>
      <x:c r="AB21" s="2" t="str">
        <x:f>INDEX('Dated offers'!$Q$7:$Q$305,MATCH($Z21,'Dated offers'!$A$7:$A$305,0))</x:f>
        <x:v>https://www.digikey.com/en/products/detail/kemet/C0402C102K5RACTU/411034</x:v>
      </x:c>
    </x:row>
    <x:row r="22" ht="24" customHeight="1">
      <x:c r="A22" s="2" t="str">
        <x:v>25 boards / nominal</x:v>
      </x:c>
      <x:c r="B22" s="17" t="str">
        <x:v>C0402C220J5GACTU</x:v>
      </x:c>
      <x:c r="C22" s="18" t="n">
        <x:v>25</x:v>
      </x:c>
      <x:c r="D22" s="27" t="n">
        <x:v>0</x:v>
      </x:c>
      <x:c r="E22" s="18" t="n">
        <x:f>INDEX('Assembly BOM'!$C$7:$C$162,MATCH($B22,'Assembly BOM'!$A$7:$A$162,0))</x:f>
        <x:v>1</x:v>
      </x:c>
      <x:c r="F22" s="18" t="n">
        <x:f>C22*E22</x:f>
        <x:v>25</x:v>
      </x:c>
      <x:c r="G22" s="18" t="n">
        <x:f>ROUNDUP(F22*(1+D22),0)</x:f>
        <x:v>25</x:v>
      </x:c>
      <x:c r="H22" s="18" t="n">
        <x:f>INDEX('Dated offers'!$F$7:$F$305,MATCH($Z22,'Dated offers'!$A$7:$A$305,0))</x:f>
        <x:v>1</x:v>
      </x:c>
      <x:c r="I22" s="18" t="n">
        <x:f>INDEX('Dated offers'!$G$7:$G$305,MATCH($Z22,'Dated offers'!$A$7:$A$305,0))</x:f>
        <x:v>1</x:v>
      </x:c>
      <x:c r="J22" s="18" t="n">
        <x:f>CEILING(MAX(G22,H22),I22)</x:f>
        <x:v>25</x:v>
      </x:c>
      <x:c r="K22" s="18" t="n">
        <x:v>25</x:v>
      </x:c>
      <x:c r="L22" s="18" t="n">
        <x:f>INDEX('Dated offers'!$I$7:$I$305,MATCH($Z22,'Dated offers'!$A$7:$A$305,0))</x:f>
        <x:v>10</x:v>
      </x:c>
      <x:c r="M22" s="25" t="n">
        <x:f>INDEX('Dated offers'!$J$7:$J$305,MATCH($Z22,'Dated offers'!$A$7:$A$305,0))</x:f>
        <x:v>0.041</x:v>
      </x:c>
      <x:c r="N22" s="25" t="n">
        <x:f>INDEX('Dated offers'!$K$7:$K$305,MATCH($Z22,'Dated offers'!$A$7:$A$305,0))</x:f>
        <x:v>0</x:v>
      </x:c>
      <x:c r="O22" s="25" t="n">
        <x:f>F22*M22</x:f>
        <x:v>1.0250000000000001</x:v>
      </x:c>
      <x:c r="P22" s="25" t="n">
        <x:f>G22*M22</x:f>
        <x:v>1.0250000000000001</x:v>
      </x:c>
      <x:c r="Q22" s="25" t="n">
        <x:f>K22*M22+N22</x:f>
        <x:v>1.0250000000000001</x:v>
      </x:c>
      <x:c r="R22" s="18" t="n">
        <x:f>K22-G22</x:f>
        <x:v>0</x:v>
      </x:c>
      <x:c r="S22" s="18" t="n">
        <x:f>INDEX('Dated offers'!$H$7:$H$305,MATCH($Z22,'Dated offers'!$A$7:$A$305,0))</x:f>
        <x:v>489655</x:v>
      </x:c>
      <x:c r="T22" s="2" t="str">
        <x:f>IF(K22&lt;G22,"Order below requirement",IF(K22&lt;L22,"Below price tier",IF(ISNUMBER(S22),IF(K22&gt;S22,"Quantity exceeds snapshot","Within quantity snapshot"),"Stock not stated")))</x:f>
        <x:v>Within quantity snapshot</x:v>
      </x:c>
      <x:c r="U22" s="2" t="str">
        <x:f>INDEX('Dated offers'!$C$7:$C$305,MATCH($Z22,'Dated offers'!$A$7:$A$305,0))</x:f>
        <x:v>DigiKey</x:v>
      </x:c>
      <x:c r="V22" s="2" t="str">
        <x:f>INDEX('Dated offers'!$D$7:$D$305,MATCH($Z22,'Dated offers'!$A$7:$A$305,0))</x:f>
        <x:v>Not stated</x:v>
      </x:c>
      <x:c r="W22" s="24" t="n">
        <x:f>INDEX('Dated offers'!$E$7:$E$305,MATCH($Z22,'Dated offers'!$A$7:$A$305,0))</x:f>
        <x:v>46307.47807266204</x:v>
      </x:c>
      <x:c r="X22" s="2" t="b">
        <x:f>INDEX('Dated offers'!$N$7:$N$305,MATCH($Z22,'Dated offers'!$A$7:$A$305,0))</x:f>
        <x:v>0</x:v>
      </x:c>
      <x:c r="Y22" s="2" t="str">
        <x:f>INDEX('Dated offers'!$O$7:$O$305,MATCH($Z22,'Dated offers'!$A$7:$A$305,0))</x:f>
        <x:v>Unreserved inventory snapshot</x:v>
      </x:c>
      <x:c r="Z22" s="17" t="str">
        <x:v>OF0016</x:v>
      </x:c>
      <x:c r="AA22" s="2"/>
      <x:c r="AB22" s="2" t="str">
        <x:f>INDEX('Dated offers'!$Q$7:$Q$305,MATCH($Z22,'Dated offers'!$A$7:$A$305,0))</x:f>
        <x:v>https://www.digikey.com/en/products/detail/kemet/C0402C220J5GACTU/411017</x:v>
      </x:c>
    </x:row>
    <x:row r="23" ht="24" customHeight="1">
      <x:c r="A23" s="2" t="str">
        <x:v>25 boards / nominal</x:v>
      </x:c>
      <x:c r="B23" s="17" t="str">
        <x:v>C0402C222K5RACTU</x:v>
      </x:c>
      <x:c r="C23" s="18" t="n">
        <x:v>25</x:v>
      </x:c>
      <x:c r="D23" s="27" t="n">
        <x:v>0</x:v>
      </x:c>
      <x:c r="E23" s="18" t="n">
        <x:f>INDEX('Assembly BOM'!$C$7:$C$162,MATCH($B23,'Assembly BOM'!$A$7:$A$162,0))</x:f>
        <x:v>1</x:v>
      </x:c>
      <x:c r="F23" s="18" t="n">
        <x:f>C23*E23</x:f>
        <x:v>25</x:v>
      </x:c>
      <x:c r="G23" s="18" t="n">
        <x:f>ROUNDUP(F23*(1+D23),0)</x:f>
        <x:v>25</x:v>
      </x:c>
      <x:c r="H23" s="18" t="n">
        <x:f>INDEX('Dated offers'!$F$7:$F$305,MATCH($Z23,'Dated offers'!$A$7:$A$305,0))</x:f>
        <x:v>1</x:v>
      </x:c>
      <x:c r="I23" s="18" t="n">
        <x:f>INDEX('Dated offers'!$G$7:$G$305,MATCH($Z23,'Dated offers'!$A$7:$A$305,0))</x:f>
        <x:v>1</x:v>
      </x:c>
      <x:c r="J23" s="18" t="n">
        <x:f>CEILING(MAX(G23,H23),I23)</x:f>
        <x:v>25</x:v>
      </x:c>
      <x:c r="K23" s="18" t="n">
        <x:v>25</x:v>
      </x:c>
      <x:c r="L23" s="18" t="n">
        <x:f>INDEX('Dated offers'!$I$7:$I$305,MATCH($Z23,'Dated offers'!$A$7:$A$305,0))</x:f>
        <x:v>10</x:v>
      </x:c>
      <x:c r="M23" s="25" t="n">
        <x:f>INDEX('Dated offers'!$J$7:$J$305,MATCH($Z23,'Dated offers'!$A$7:$A$305,0))</x:f>
        <x:v>0.039</x:v>
      </x:c>
      <x:c r="N23" s="25" t="n">
        <x:f>INDEX('Dated offers'!$K$7:$K$305,MATCH($Z23,'Dated offers'!$A$7:$A$305,0))</x:f>
        <x:v>0</x:v>
      </x:c>
      <x:c r="O23" s="25" t="n">
        <x:f>F23*M23</x:f>
        <x:v>0.975</x:v>
      </x:c>
      <x:c r="P23" s="25" t="n">
        <x:f>G23*M23</x:f>
        <x:v>0.975</x:v>
      </x:c>
      <x:c r="Q23" s="25" t="n">
        <x:f>K23*M23+N23</x:f>
        <x:v>0.975</x:v>
      </x:c>
      <x:c r="R23" s="18" t="n">
        <x:f>K23-G23</x:f>
        <x:v>0</x:v>
      </x:c>
      <x:c r="S23" s="18" t="n">
        <x:f>INDEX('Dated offers'!$H$7:$H$305,MATCH($Z23,'Dated offers'!$A$7:$A$305,0))</x:f>
        <x:v>100284</x:v>
      </x:c>
      <x:c r="T23" s="2" t="str">
        <x:f>IF(K23&lt;G23,"Order below requirement",IF(K23&lt;L23,"Below price tier",IF(ISNUMBER(S23),IF(K23&gt;S23,"Quantity exceeds snapshot","Within quantity snapshot"),"Stock not stated")))</x:f>
        <x:v>Within quantity snapshot</x:v>
      </x:c>
      <x:c r="U23" s="2" t="str">
        <x:f>INDEX('Dated offers'!$C$7:$C$305,MATCH($Z23,'Dated offers'!$A$7:$A$305,0))</x:f>
        <x:v>DigiKey</x:v>
      </x:c>
      <x:c r="V23" s="2" t="str">
        <x:f>INDEX('Dated offers'!$D$7:$D$305,MATCH($Z23,'Dated offers'!$A$7:$A$305,0))</x:f>
        <x:v>Not stated</x:v>
      </x:c>
      <x:c r="W23" s="24" t="n">
        <x:f>INDEX('Dated offers'!$E$7:$E$305,MATCH($Z23,'Dated offers'!$A$7:$A$305,0))</x:f>
        <x:v>46307.47807262732</x:v>
      </x:c>
      <x:c r="X23" s="2" t="b">
        <x:f>INDEX('Dated offers'!$N$7:$N$305,MATCH($Z23,'Dated offers'!$A$7:$A$305,0))</x:f>
        <x:v>0</x:v>
      </x:c>
      <x:c r="Y23" s="2" t="str">
        <x:f>INDEX('Dated offers'!$O$7:$O$305,MATCH($Z23,'Dated offers'!$A$7:$A$305,0))</x:f>
        <x:v>Unreserved inventory snapshot</x:v>
      </x:c>
      <x:c r="Z23" s="17" t="str">
        <x:v>OF0017</x:v>
      </x:c>
      <x:c r="AA23" s="2"/>
      <x:c r="AB23" s="2" t="str">
        <x:f>INDEX('Dated offers'!$Q$7:$Q$305,MATCH($Z23,'Dated offers'!$A$7:$A$305,0))</x:f>
        <x:v>https://www.digikey.com/en/products/detail/kemet/C0402C222K5RACTU/501970</x:v>
      </x:c>
    </x:row>
    <x:row r="24" ht="24" customHeight="1">
      <x:c r="A24" s="2" t="str">
        <x:v>25 boards / nominal</x:v>
      </x:c>
      <x:c r="B24" s="17" t="str">
        <x:v>C0402C330J5GACTU</x:v>
      </x:c>
      <x:c r="C24" s="18" t="n">
        <x:v>25</x:v>
      </x:c>
      <x:c r="D24" s="27" t="n">
        <x:v>0</x:v>
      </x:c>
      <x:c r="E24" s="18" t="n">
        <x:f>INDEX('Assembly BOM'!$C$7:$C$162,MATCH($B24,'Assembly BOM'!$A$7:$A$162,0))</x:f>
        <x:v>1</x:v>
      </x:c>
      <x:c r="F24" s="18" t="n">
        <x:f>C24*E24</x:f>
        <x:v>25</x:v>
      </x:c>
      <x:c r="G24" s="18" t="n">
        <x:f>ROUNDUP(F24*(1+D24),0)</x:f>
        <x:v>25</x:v>
      </x:c>
      <x:c r="H24" s="18" t="n">
        <x:f>INDEX('Dated offers'!$F$7:$F$305,MATCH($Z24,'Dated offers'!$A$7:$A$305,0))</x:f>
        <x:v>1</x:v>
      </x:c>
      <x:c r="I24" s="18" t="n">
        <x:f>INDEX('Dated offers'!$G$7:$G$305,MATCH($Z24,'Dated offers'!$A$7:$A$305,0))</x:f>
        <x:v>1</x:v>
      </x:c>
      <x:c r="J24" s="18" t="n">
        <x:f>CEILING(MAX(G24,H24),I24)</x:f>
        <x:v>25</x:v>
      </x:c>
      <x:c r="K24" s="18" t="n">
        <x:v>25</x:v>
      </x:c>
      <x:c r="L24" s="18" t="n">
        <x:f>INDEX('Dated offers'!$I$7:$I$305,MATCH($Z24,'Dated offers'!$A$7:$A$305,0))</x:f>
        <x:v>10</x:v>
      </x:c>
      <x:c r="M24" s="25" t="n">
        <x:f>INDEX('Dated offers'!$J$7:$J$305,MATCH($Z24,'Dated offers'!$A$7:$A$305,0))</x:f>
        <x:v>0.041</x:v>
      </x:c>
      <x:c r="N24" s="25" t="n">
        <x:f>INDEX('Dated offers'!$K$7:$K$305,MATCH($Z24,'Dated offers'!$A$7:$A$305,0))</x:f>
        <x:v>0</x:v>
      </x:c>
      <x:c r="O24" s="25" t="n">
        <x:f>F24*M24</x:f>
        <x:v>1.0250000000000001</x:v>
      </x:c>
      <x:c r="P24" s="25" t="n">
        <x:f>G24*M24</x:f>
        <x:v>1.0250000000000001</x:v>
      </x:c>
      <x:c r="Q24" s="25" t="n">
        <x:f>K24*M24+N24</x:f>
        <x:v>1.0250000000000001</x:v>
      </x:c>
      <x:c r="R24" s="18" t="n">
        <x:f>K24-G24</x:f>
        <x:v>0</x:v>
      </x:c>
      <x:c r="S24" s="18" t="n">
        <x:f>INDEX('Dated offers'!$H$7:$H$305,MATCH($Z24,'Dated offers'!$A$7:$A$305,0))</x:f>
        <x:v>277240</x:v>
      </x:c>
      <x:c r="T24" s="2" t="str">
        <x:f>IF(K24&lt;G24,"Order below requirement",IF(K24&lt;L24,"Below price tier",IF(ISNUMBER(S24),IF(K24&gt;S24,"Quantity exceeds snapshot","Within quantity snapshot"),"Stock not stated")))</x:f>
        <x:v>Within quantity snapshot</x:v>
      </x:c>
      <x:c r="U24" s="2" t="str">
        <x:f>INDEX('Dated offers'!$C$7:$C$305,MATCH($Z24,'Dated offers'!$A$7:$A$305,0))</x:f>
        <x:v>DigiKey</x:v>
      </x:c>
      <x:c r="V24" s="2" t="str">
        <x:f>INDEX('Dated offers'!$D$7:$D$305,MATCH($Z24,'Dated offers'!$A$7:$A$305,0))</x:f>
        <x:v>Not stated</x:v>
      </x:c>
      <x:c r="W24" s="24" t="n">
        <x:f>INDEX('Dated offers'!$E$7:$E$305,MATCH($Z24,'Dated offers'!$A$7:$A$305,0))</x:f>
        <x:v>46307.47807262732</x:v>
      </x:c>
      <x:c r="X24" s="2" t="b">
        <x:f>INDEX('Dated offers'!$N$7:$N$305,MATCH($Z24,'Dated offers'!$A$7:$A$305,0))</x:f>
        <x:v>0</x:v>
      </x:c>
      <x:c r="Y24" s="2" t="str">
        <x:f>INDEX('Dated offers'!$O$7:$O$305,MATCH($Z24,'Dated offers'!$A$7:$A$305,0))</x:f>
        <x:v>Unreserved inventory snapshot</x:v>
      </x:c>
      <x:c r="Z24" s="17" t="str">
        <x:v>OF0018</x:v>
      </x:c>
      <x:c r="AA24" s="2"/>
      <x:c r="AB24" s="2" t="str">
        <x:f>INDEX('Dated offers'!$Q$7:$Q$305,MATCH($Z24,'Dated offers'!$A$7:$A$305,0))</x:f>
        <x:v>https://www.digikey.com/en/products/detail/kemet/C0402C330J5GACTU/411019</x:v>
      </x:c>
    </x:row>
    <x:row r="25" ht="24" customHeight="1">
      <x:c r="A25" s="2" t="str">
        <x:v>25 boards / nominal</x:v>
      </x:c>
      <x:c r="B25" s="17" t="str">
        <x:v>C0402C332K5RACTU</x:v>
      </x:c>
      <x:c r="C25" s="18" t="n">
        <x:v>25</x:v>
      </x:c>
      <x:c r="D25" s="27" t="n">
        <x:v>0</x:v>
      </x:c>
      <x:c r="E25" s="18" t="n">
        <x:f>INDEX('Assembly BOM'!$C$7:$C$162,MATCH($B25,'Assembly BOM'!$A$7:$A$162,0))</x:f>
        <x:v>1</x:v>
      </x:c>
      <x:c r="F25" s="18" t="n">
        <x:f>C25*E25</x:f>
        <x:v>25</x:v>
      </x:c>
      <x:c r="G25" s="18" t="n">
        <x:f>ROUNDUP(F25*(1+D25),0)</x:f>
        <x:v>25</x:v>
      </x:c>
      <x:c r="H25" s="18" t="n">
        <x:f>INDEX('Dated offers'!$F$7:$F$305,MATCH($Z25,'Dated offers'!$A$7:$A$305,0))</x:f>
        <x:v>1</x:v>
      </x:c>
      <x:c r="I25" s="18" t="n">
        <x:f>INDEX('Dated offers'!$G$7:$G$305,MATCH($Z25,'Dated offers'!$A$7:$A$305,0))</x:f>
        <x:v>1</x:v>
      </x:c>
      <x:c r="J25" s="18" t="n">
        <x:f>CEILING(MAX(G25,H25),I25)</x:f>
        <x:v>25</x:v>
      </x:c>
      <x:c r="K25" s="18" t="n">
        <x:v>25</x:v>
      </x:c>
      <x:c r="L25" s="18" t="n">
        <x:f>INDEX('Dated offers'!$I$7:$I$305,MATCH($Z25,'Dated offers'!$A$7:$A$305,0))</x:f>
        <x:v>10</x:v>
      </x:c>
      <x:c r="M25" s="25" t="n">
        <x:f>INDEX('Dated offers'!$J$7:$J$305,MATCH($Z25,'Dated offers'!$A$7:$A$305,0))</x:f>
        <x:v>0.048</x:v>
      </x:c>
      <x:c r="N25" s="25" t="n">
        <x:f>INDEX('Dated offers'!$K$7:$K$305,MATCH($Z25,'Dated offers'!$A$7:$A$305,0))</x:f>
        <x:v>0</x:v>
      </x:c>
      <x:c r="O25" s="25" t="n">
        <x:f>F25*M25</x:f>
        <x:v>1.2</x:v>
      </x:c>
      <x:c r="P25" s="25" t="n">
        <x:f>G25*M25</x:f>
        <x:v>1.2</x:v>
      </x:c>
      <x:c r="Q25" s="25" t="n">
        <x:f>K25*M25+N25</x:f>
        <x:v>1.2</x:v>
      </x:c>
      <x:c r="R25" s="18" t="n">
        <x:f>K25-G25</x:f>
        <x:v>0</x:v>
      </x:c>
      <x:c r="S25" s="18" t="n">
        <x:f>INDEX('Dated offers'!$H$7:$H$305,MATCH($Z25,'Dated offers'!$A$7:$A$305,0))</x:f>
        <x:v>225921</x:v>
      </x:c>
      <x:c r="T25" s="2" t="str">
        <x:f>IF(K25&lt;G25,"Order below requirement",IF(K25&lt;L25,"Below price tier",IF(ISNUMBER(S25),IF(K25&gt;S25,"Quantity exceeds snapshot","Within quantity snapshot"),"Stock not stated")))</x:f>
        <x:v>Within quantity snapshot</x:v>
      </x:c>
      <x:c r="U25" s="2" t="str">
        <x:f>INDEX('Dated offers'!$C$7:$C$305,MATCH($Z25,'Dated offers'!$A$7:$A$305,0))</x:f>
        <x:v>DigiKey</x:v>
      </x:c>
      <x:c r="V25" s="2" t="str">
        <x:f>INDEX('Dated offers'!$D$7:$D$305,MATCH($Z25,'Dated offers'!$A$7:$A$305,0))</x:f>
        <x:v>Not stated</x:v>
      </x:c>
      <x:c r="W25" s="24" t="n">
        <x:f>INDEX('Dated offers'!$E$7:$E$305,MATCH($Z25,'Dated offers'!$A$7:$A$305,0))</x:f>
        <x:v>46307.47807262732</x:v>
      </x:c>
      <x:c r="X25" s="2" t="b">
        <x:f>INDEX('Dated offers'!$N$7:$N$305,MATCH($Z25,'Dated offers'!$A$7:$A$305,0))</x:f>
        <x:v>0</x:v>
      </x:c>
      <x:c r="Y25" s="2" t="str">
        <x:f>INDEX('Dated offers'!$O$7:$O$305,MATCH($Z25,'Dated offers'!$A$7:$A$305,0))</x:f>
        <x:v>Unreserved inventory snapshot</x:v>
      </x:c>
      <x:c r="Z25" s="17" t="str">
        <x:v>OF0019</x:v>
      </x:c>
      <x:c r="AA25" s="2"/>
      <x:c r="AB25" s="2" t="str">
        <x:f>INDEX('Dated offers'!$Q$7:$Q$305,MATCH($Z25,'Dated offers'!$A$7:$A$305,0))</x:f>
        <x:v>https://www.digikey.com/en/products/detail/kemet/C0402C332K5RACTU/501999</x:v>
      </x:c>
    </x:row>
    <x:row r="26" ht="24" customHeight="1">
      <x:c r="A26" s="2" t="str">
        <x:v>25 boards / nominal</x:v>
      </x:c>
      <x:c r="B26" s="17" t="str">
        <x:v>C0402C391J5GACTU</x:v>
      </x:c>
      <x:c r="C26" s="18" t="n">
        <x:v>25</x:v>
      </x:c>
      <x:c r="D26" s="27" t="n">
        <x:v>0</x:v>
      </x:c>
      <x:c r="E26" s="18" t="n">
        <x:f>INDEX('Assembly BOM'!$C$7:$C$162,MATCH($B26,'Assembly BOM'!$A$7:$A$162,0))</x:f>
        <x:v>1</x:v>
      </x:c>
      <x:c r="F26" s="18" t="n">
        <x:f>C26*E26</x:f>
        <x:v>25</x:v>
      </x:c>
      <x:c r="G26" s="18" t="n">
        <x:f>ROUNDUP(F26*(1+D26),0)</x:f>
        <x:v>25</x:v>
      </x:c>
      <x:c r="H26" s="18" t="n">
        <x:f>INDEX('Dated offers'!$F$7:$F$305,MATCH($Z26,'Dated offers'!$A$7:$A$305,0))</x:f>
        <x:v>1</x:v>
      </x:c>
      <x:c r="I26" s="18" t="n">
        <x:f>INDEX('Dated offers'!$G$7:$G$305,MATCH($Z26,'Dated offers'!$A$7:$A$305,0))</x:f>
        <x:v>1</x:v>
      </x:c>
      <x:c r="J26" s="18" t="n">
        <x:f>CEILING(MAX(G26,H26),I26)</x:f>
        <x:v>25</x:v>
      </x:c>
      <x:c r="K26" s="18" t="n">
        <x:v>25</x:v>
      </x:c>
      <x:c r="L26" s="18" t="n">
        <x:f>INDEX('Dated offers'!$I$7:$I$305,MATCH($Z26,'Dated offers'!$A$7:$A$305,0))</x:f>
        <x:v>10</x:v>
      </x:c>
      <x:c r="M26" s="25" t="n">
        <x:f>INDEX('Dated offers'!$J$7:$J$305,MATCH($Z26,'Dated offers'!$A$7:$A$305,0))</x:f>
        <x:v>0.333</x:v>
      </x:c>
      <x:c r="N26" s="25" t="n">
        <x:f>INDEX('Dated offers'!$K$7:$K$305,MATCH($Z26,'Dated offers'!$A$7:$A$305,0))</x:f>
        <x:v>0</x:v>
      </x:c>
      <x:c r="O26" s="25" t="n">
        <x:f>F26*M26</x:f>
        <x:v>8.325000000000001</x:v>
      </x:c>
      <x:c r="P26" s="25" t="n">
        <x:f>G26*M26</x:f>
        <x:v>8.325000000000001</x:v>
      </x:c>
      <x:c r="Q26" s="25" t="n">
        <x:f>K26*M26+N26</x:f>
        <x:v>8.325000000000001</x:v>
      </x:c>
      <x:c r="R26" s="18" t="n">
        <x:f>K26-G26</x:f>
        <x:v>0</x:v>
      </x:c>
      <x:c r="S26" s="18" t="n">
        <x:f>INDEX('Dated offers'!$H$7:$H$305,MATCH($Z26,'Dated offers'!$A$7:$A$305,0))</x:f>
        <x:v>32647</x:v>
      </x:c>
      <x:c r="T26" s="2" t="str">
        <x:f>IF(K26&lt;G26,"Order below requirement",IF(K26&lt;L26,"Below price tier",IF(ISNUMBER(S26),IF(K26&gt;S26,"Quantity exceeds snapshot","Within quantity snapshot"),"Stock not stated")))</x:f>
        <x:v>Within quantity snapshot</x:v>
      </x:c>
      <x:c r="U26" s="2" t="str">
        <x:f>INDEX('Dated offers'!$C$7:$C$305,MATCH($Z26,'Dated offers'!$A$7:$A$305,0))</x:f>
        <x:v>DigiKey</x:v>
      </x:c>
      <x:c r="V26" s="2" t="str">
        <x:f>INDEX('Dated offers'!$D$7:$D$305,MATCH($Z26,'Dated offers'!$A$7:$A$305,0))</x:f>
        <x:v>Not stated</x:v>
      </x:c>
      <x:c r="W26" s="24" t="n">
        <x:f>INDEX('Dated offers'!$E$7:$E$305,MATCH($Z26,'Dated offers'!$A$7:$A$305,0))</x:f>
        <x:v>46307.47807262732</x:v>
      </x:c>
      <x:c r="X26" s="2" t="b">
        <x:f>INDEX('Dated offers'!$N$7:$N$305,MATCH($Z26,'Dated offers'!$A$7:$A$305,0))</x:f>
        <x:v>0</x:v>
      </x:c>
      <x:c r="Y26" s="2" t="str">
        <x:f>INDEX('Dated offers'!$O$7:$O$305,MATCH($Z26,'Dated offers'!$A$7:$A$305,0))</x:f>
        <x:v>Unreserved inventory snapshot</x:v>
      </x:c>
      <x:c r="Z26" s="17" t="str">
        <x:v>OF0020</x:v>
      </x:c>
      <x:c r="AA26" s="2"/>
      <x:c r="AB26" s="2" t="str">
        <x:f>INDEX('Dated offers'!$Q$7:$Q$305,MATCH($Z26,'Dated offers'!$A$7:$A$305,0))</x:f>
        <x:v>https://www.digikey.com/en/products/detail/kemet/C0402C391J5GACTU/2196662</x:v>
      </x:c>
    </x:row>
    <x:row r="27" ht="24" customHeight="1">
      <x:c r="A27" s="2" t="str">
        <x:v>25 boards / nominal</x:v>
      </x:c>
      <x:c r="B27" s="17" t="str">
        <x:v>C0603C224K4RACTU</x:v>
      </x:c>
      <x:c r="C27" s="18" t="n">
        <x:v>25</x:v>
      </x:c>
      <x:c r="D27" s="27" t="n">
        <x:v>0</x:v>
      </x:c>
      <x:c r="E27" s="18" t="n">
        <x:f>INDEX('Assembly BOM'!$C$7:$C$162,MATCH($B27,'Assembly BOM'!$A$7:$A$162,0))</x:f>
        <x:v>1</x:v>
      </x:c>
      <x:c r="F27" s="18" t="n">
        <x:f>C27*E27</x:f>
        <x:v>25</x:v>
      </x:c>
      <x:c r="G27" s="18" t="n">
        <x:f>ROUNDUP(F27*(1+D27),0)</x:f>
        <x:v>25</x:v>
      </x:c>
      <x:c r="H27" s="18" t="n">
        <x:f>INDEX('Dated offers'!$F$7:$F$305,MATCH($Z27,'Dated offers'!$A$7:$A$305,0))</x:f>
        <x:v>1</x:v>
      </x:c>
      <x:c r="I27" s="18" t="n">
        <x:f>INDEX('Dated offers'!$G$7:$G$305,MATCH($Z27,'Dated offers'!$A$7:$A$305,0))</x:f>
        <x:v>1</x:v>
      </x:c>
      <x:c r="J27" s="18" t="n">
        <x:f>CEILING(MAX(G27,H27),I27)</x:f>
        <x:v>25</x:v>
      </x:c>
      <x:c r="K27" s="18" t="n">
        <x:v>25</x:v>
      </x:c>
      <x:c r="L27" s="18" t="n">
        <x:f>INDEX('Dated offers'!$I$7:$I$305,MATCH($Z27,'Dated offers'!$A$7:$A$305,0))</x:f>
        <x:v>10</x:v>
      </x:c>
      <x:c r="M27" s="25" t="n">
        <x:f>INDEX('Dated offers'!$J$7:$J$305,MATCH($Z27,'Dated offers'!$A$7:$A$305,0))</x:f>
        <x:v>0.346</x:v>
      </x:c>
      <x:c r="N27" s="25" t="n">
        <x:f>INDEX('Dated offers'!$K$7:$K$305,MATCH($Z27,'Dated offers'!$A$7:$A$305,0))</x:f>
        <x:v>0</x:v>
      </x:c>
      <x:c r="O27" s="25" t="n">
        <x:f>F27*M27</x:f>
        <x:v>8.649999999999999</x:v>
      </x:c>
      <x:c r="P27" s="25" t="n">
        <x:f>G27*M27</x:f>
        <x:v>8.649999999999999</x:v>
      </x:c>
      <x:c r="Q27" s="25" t="n">
        <x:f>K27*M27+N27</x:f>
        <x:v>8.649999999999999</x:v>
      </x:c>
      <x:c r="R27" s="18" t="n">
        <x:f>K27-G27</x:f>
        <x:v>0</x:v>
      </x:c>
      <x:c r="S27" s="18" t="n">
        <x:f>INDEX('Dated offers'!$H$7:$H$305,MATCH($Z27,'Dated offers'!$A$7:$A$305,0))</x:f>
        <x:v>823</x:v>
      </x:c>
      <x:c r="T27" s="2" t="str">
        <x:f>IF(K27&lt;G27,"Order below requirement",IF(K27&lt;L27,"Below price tier",IF(ISNUMBER(S27),IF(K27&gt;S27,"Quantity exceeds snapshot","Within quantity snapshot"),"Stock not stated")))</x:f>
        <x:v>Within quantity snapshot</x:v>
      </x:c>
      <x:c r="U27" s="2" t="str">
        <x:f>INDEX('Dated offers'!$C$7:$C$305,MATCH($Z27,'Dated offers'!$A$7:$A$305,0))</x:f>
        <x:v>DigiKey</x:v>
      </x:c>
      <x:c r="V27" s="2" t="str">
        <x:f>INDEX('Dated offers'!$D$7:$D$305,MATCH($Z27,'Dated offers'!$A$7:$A$305,0))</x:f>
        <x:v>Not stated</x:v>
      </x:c>
      <x:c r="W27" s="24" t="n">
        <x:f>INDEX('Dated offers'!$E$7:$E$305,MATCH($Z27,'Dated offers'!$A$7:$A$305,0))</x:f>
        <x:v>46307.47807262732</x:v>
      </x:c>
      <x:c r="X27" s="2" t="b">
        <x:f>INDEX('Dated offers'!$N$7:$N$305,MATCH($Z27,'Dated offers'!$A$7:$A$305,0))</x:f>
        <x:v>0</x:v>
      </x:c>
      <x:c r="Y27" s="2" t="str">
        <x:f>INDEX('Dated offers'!$O$7:$O$305,MATCH($Z27,'Dated offers'!$A$7:$A$305,0))</x:f>
        <x:v>Unreserved inventory snapshot</x:v>
      </x:c>
      <x:c r="Z27" s="17" t="str">
        <x:v>OF0021</x:v>
      </x:c>
      <x:c r="AA27" s="2"/>
      <x:c r="AB27" s="2" t="str">
        <x:f>INDEX('Dated offers'!$Q$7:$Q$305,MATCH($Z27,'Dated offers'!$A$7:$A$305,0))</x:f>
        <x:v>https://www.digikey.com/en/products/detail/kemet/C0603C224K4RACTU/2057822</x:v>
      </x:c>
    </x:row>
    <x:row r="28" ht="24" customHeight="1">
      <x:c r="A28" s="2" t="str">
        <x:v>25 boards / nominal</x:v>
      </x:c>
      <x:c r="B28" s="17" t="str">
        <x:v>C0805C102JAGACTU</x:v>
      </x:c>
      <x:c r="C28" s="18" t="n">
        <x:v>25</x:v>
      </x:c>
      <x:c r="D28" s="27" t="n">
        <x:v>0</x:v>
      </x:c>
      <x:c r="E28" s="18" t="n">
        <x:f>INDEX('Assembly BOM'!$C$7:$C$162,MATCH($B28,'Assembly BOM'!$A$7:$A$162,0))</x:f>
        <x:v>2</x:v>
      </x:c>
      <x:c r="F28" s="18" t="n">
        <x:f>C28*E28</x:f>
        <x:v>50</x:v>
      </x:c>
      <x:c r="G28" s="18" t="n">
        <x:f>ROUNDUP(F28*(1+D28),0)</x:f>
        <x:v>50</x:v>
      </x:c>
      <x:c r="H28" s="18" t="n">
        <x:f>INDEX('Dated offers'!$F$7:$F$305,MATCH($Z28,'Dated offers'!$A$7:$A$305,0))</x:f>
        <x:v>1</x:v>
      </x:c>
      <x:c r="I28" s="18" t="n">
        <x:f>INDEX('Dated offers'!$G$7:$G$305,MATCH($Z28,'Dated offers'!$A$7:$A$305,0))</x:f>
        <x:v>1</x:v>
      </x:c>
      <x:c r="J28" s="18" t="n">
        <x:f>CEILING(MAX(G28,H28),I28)</x:f>
        <x:v>50</x:v>
      </x:c>
      <x:c r="K28" s="18" t="n">
        <x:v>50</x:v>
      </x:c>
      <x:c r="L28" s="18" t="n">
        <x:f>INDEX('Dated offers'!$I$7:$I$305,MATCH($Z28,'Dated offers'!$A$7:$A$305,0))</x:f>
        <x:v>50</x:v>
      </x:c>
      <x:c r="M28" s="25" t="n">
        <x:f>INDEX('Dated offers'!$J$7:$J$305,MATCH($Z28,'Dated offers'!$A$7:$A$305,0))</x:f>
        <x:v>0.3016</x:v>
      </x:c>
      <x:c r="N28" s="25" t="n">
        <x:f>INDEX('Dated offers'!$K$7:$K$305,MATCH($Z28,'Dated offers'!$A$7:$A$305,0))</x:f>
        <x:v>0</x:v>
      </x:c>
      <x:c r="O28" s="25" t="n">
        <x:f>F28*M28</x:f>
        <x:v>15.079999999999998</x:v>
      </x:c>
      <x:c r="P28" s="25" t="n">
        <x:f>G28*M28</x:f>
        <x:v>15.079999999999998</x:v>
      </x:c>
      <x:c r="Q28" s="25" t="n">
        <x:f>K28*M28+N28</x:f>
        <x:v>15.079999999999998</x:v>
      </x:c>
      <x:c r="R28" s="18" t="n">
        <x:f>K28-G28</x:f>
        <x:v>0</x:v>
      </x:c>
      <x:c r="S28" s="18" t="n">
        <x:f>INDEX('Dated offers'!$H$7:$H$305,MATCH($Z28,'Dated offers'!$A$7:$A$305,0))</x:f>
        <x:v>6914</x:v>
      </x:c>
      <x:c r="T28" s="2" t="str">
        <x:f>IF(K28&lt;G28,"Order below requirement",IF(K28&lt;L28,"Below price tier",IF(ISNUMBER(S28),IF(K28&gt;S28,"Quantity exceeds snapshot","Within quantity snapshot"),"Stock not stated")))</x:f>
        <x:v>Within quantity snapshot</x:v>
      </x:c>
      <x:c r="U28" s="2" t="str">
        <x:f>INDEX('Dated offers'!$C$7:$C$305,MATCH($Z28,'Dated offers'!$A$7:$A$305,0))</x:f>
        <x:v>DigiKey</x:v>
      </x:c>
      <x:c r="V28" s="2" t="str">
        <x:f>INDEX('Dated offers'!$D$7:$D$305,MATCH($Z28,'Dated offers'!$A$7:$A$305,0))</x:f>
        <x:v>Not stated</x:v>
      </x:c>
      <x:c r="W28" s="24" t="n">
        <x:f>INDEX('Dated offers'!$E$7:$E$305,MATCH($Z28,'Dated offers'!$A$7:$A$305,0))</x:f>
        <x:v>46307.47807262732</x:v>
      </x:c>
      <x:c r="X28" s="2" t="b">
        <x:f>INDEX('Dated offers'!$N$7:$N$305,MATCH($Z28,'Dated offers'!$A$7:$A$305,0))</x:f>
        <x:v>0</x:v>
      </x:c>
      <x:c r="Y28" s="2" t="str">
        <x:f>INDEX('Dated offers'!$O$7:$O$305,MATCH($Z28,'Dated offers'!$A$7:$A$305,0))</x:f>
        <x:v>Unreserved inventory snapshot</x:v>
      </x:c>
      <x:c r="Z28" s="17" t="str">
        <x:v>OF0022</x:v>
      </x:c>
      <x:c r="AA28" s="2"/>
      <x:c r="AB28" s="2" t="str">
        <x:f>INDEX('Dated offers'!$Q$7:$Q$305,MATCH($Z28,'Dated offers'!$A$7:$A$305,0))</x:f>
        <x:v>https://www.digikey.com/en/products/detail/kemet/C0805C102JAGACTU/7382555</x:v>
      </x:c>
    </x:row>
    <x:row r="29" ht="24" customHeight="1">
      <x:c r="A29" s="2" t="str">
        <x:v>25 boards / nominal</x:v>
      </x:c>
      <x:c r="B29" s="17" t="str">
        <x:v>C0805C103K1RACTU</x:v>
      </x:c>
      <x:c r="C29" s="18" t="n">
        <x:v>25</x:v>
      </x:c>
      <x:c r="D29" s="27" t="n">
        <x:v>0</x:v>
      </x:c>
      <x:c r="E29" s="18" t="n">
        <x:f>INDEX('Assembly BOM'!$C$7:$C$162,MATCH($B29,'Assembly BOM'!$A$7:$A$162,0))</x:f>
        <x:v>2</x:v>
      </x:c>
      <x:c r="F29" s="18" t="n">
        <x:f>C29*E29</x:f>
        <x:v>50</x:v>
      </x:c>
      <x:c r="G29" s="18" t="n">
        <x:f>ROUNDUP(F29*(1+D29),0)</x:f>
        <x:v>50</x:v>
      </x:c>
      <x:c r="H29" s="18" t="n">
        <x:f>INDEX('Dated offers'!$F$7:$F$305,MATCH($Z29,'Dated offers'!$A$7:$A$305,0))</x:f>
        <x:v>1</x:v>
      </x:c>
      <x:c r="I29" s="18" t="n">
        <x:f>INDEX('Dated offers'!$G$7:$G$305,MATCH($Z29,'Dated offers'!$A$7:$A$305,0))</x:f>
        <x:v>1</x:v>
      </x:c>
      <x:c r="J29" s="18" t="n">
        <x:f>CEILING(MAX(G29,H29),I29)</x:f>
        <x:v>50</x:v>
      </x:c>
      <x:c r="K29" s="18" t="n">
        <x:v>50</x:v>
      </x:c>
      <x:c r="L29" s="18" t="n">
        <x:f>INDEX('Dated offers'!$I$7:$I$305,MATCH($Z29,'Dated offers'!$A$7:$A$305,0))</x:f>
        <x:v>50</x:v>
      </x:c>
      <x:c r="M29" s="25" t="n">
        <x:f>INDEX('Dated offers'!$J$7:$J$305,MATCH($Z29,'Dated offers'!$A$7:$A$305,0))</x:f>
        <x:v>0.0408</x:v>
      </x:c>
      <x:c r="N29" s="25" t="n">
        <x:f>INDEX('Dated offers'!$K$7:$K$305,MATCH($Z29,'Dated offers'!$A$7:$A$305,0))</x:f>
        <x:v>0</x:v>
      </x:c>
      <x:c r="O29" s="25" t="n">
        <x:f>F29*M29</x:f>
        <x:v>2.04</x:v>
      </x:c>
      <x:c r="P29" s="25" t="n">
        <x:f>G29*M29</x:f>
        <x:v>2.04</x:v>
      </x:c>
      <x:c r="Q29" s="25" t="n">
        <x:f>K29*M29+N29</x:f>
        <x:v>2.04</x:v>
      </x:c>
      <x:c r="R29" s="18" t="n">
        <x:f>K29-G29</x:f>
        <x:v>0</x:v>
      </x:c>
      <x:c r="S29" s="18" t="n">
        <x:f>INDEX('Dated offers'!$H$7:$H$305,MATCH($Z29,'Dated offers'!$A$7:$A$305,0))</x:f>
        <x:v>329236</x:v>
      </x:c>
      <x:c r="T29" s="2" t="str">
        <x:f>IF(K29&lt;G29,"Order below requirement",IF(K29&lt;L29,"Below price tier",IF(ISNUMBER(S29),IF(K29&gt;S29,"Quantity exceeds snapshot","Within quantity snapshot"),"Stock not stated")))</x:f>
        <x:v>Within quantity snapshot</x:v>
      </x:c>
      <x:c r="U29" s="2" t="str">
        <x:f>INDEX('Dated offers'!$C$7:$C$305,MATCH($Z29,'Dated offers'!$A$7:$A$305,0))</x:f>
        <x:v>DigiKey</x:v>
      </x:c>
      <x:c r="V29" s="2" t="str">
        <x:f>INDEX('Dated offers'!$D$7:$D$305,MATCH($Z29,'Dated offers'!$A$7:$A$305,0))</x:f>
        <x:v>Not stated</x:v>
      </x:c>
      <x:c r="W29" s="24" t="n">
        <x:f>INDEX('Dated offers'!$E$7:$E$305,MATCH($Z29,'Dated offers'!$A$7:$A$305,0))</x:f>
        <x:v>46307.47807262732</x:v>
      </x:c>
      <x:c r="X29" s="2" t="b">
        <x:f>INDEX('Dated offers'!$N$7:$N$305,MATCH($Z29,'Dated offers'!$A$7:$A$305,0))</x:f>
        <x:v>0</x:v>
      </x:c>
      <x:c r="Y29" s="2" t="str">
        <x:f>INDEX('Dated offers'!$O$7:$O$305,MATCH($Z29,'Dated offers'!$A$7:$A$305,0))</x:f>
        <x:v>Unreserved inventory snapshot</x:v>
      </x:c>
      <x:c r="Z29" s="17" t="str">
        <x:v>OF0023</x:v>
      </x:c>
      <x:c r="AA29" s="2"/>
      <x:c r="AB29" s="2" t="str">
        <x:f>INDEX('Dated offers'!$Q$7:$Q$305,MATCH($Z29,'Dated offers'!$A$7:$A$305,0))</x:f>
        <x:v>https://www.digikey.com/en/products/detail/kemet/C0805C103K1RACTU/411158</x:v>
      </x:c>
    </x:row>
    <x:row r="30" ht="24" customHeight="1">
      <x:c r="A30" s="2" t="str">
        <x:v>25 boards / nominal</x:v>
      </x:c>
      <x:c r="B30" s="17" t="str">
        <x:v>C0805C223K1RACTU</x:v>
      </x:c>
      <x:c r="C30" s="18" t="n">
        <x:v>25</x:v>
      </x:c>
      <x:c r="D30" s="27" t="n">
        <x:v>0</x:v>
      </x:c>
      <x:c r="E30" s="18" t="n">
        <x:f>INDEX('Assembly BOM'!$C$7:$C$162,MATCH($B30,'Assembly BOM'!$A$7:$A$162,0))</x:f>
        <x:v>4</x:v>
      </x:c>
      <x:c r="F30" s="18" t="n">
        <x:f>C30*E30</x:f>
        <x:v>100</x:v>
      </x:c>
      <x:c r="G30" s="18" t="n">
        <x:f>ROUNDUP(F30*(1+D30),0)</x:f>
        <x:v>100</x:v>
      </x:c>
      <x:c r="H30" s="18" t="n">
        <x:f>INDEX('Dated offers'!$F$7:$F$305,MATCH($Z30,'Dated offers'!$A$7:$A$305,0))</x:f>
        <x:v>20</x:v>
      </x:c>
      <x:c r="I30" s="18" t="n">
        <x:f>INDEX('Dated offers'!$G$7:$G$305,MATCH($Z30,'Dated offers'!$A$7:$A$305,0))</x:f>
        <x:v>20</x:v>
      </x:c>
      <x:c r="J30" s="18" t="n">
        <x:f>CEILING(MAX(G30,H30),I30)</x:f>
        <x:v>100</x:v>
      </x:c>
      <x:c r="K30" s="18" t="n">
        <x:v>100</x:v>
      </x:c>
      <x:c r="L30" s="18" t="n">
        <x:f>INDEX('Dated offers'!$I$7:$I$305,MATCH($Z30,'Dated offers'!$A$7:$A$305,0))</x:f>
        <x:v>20</x:v>
      </x:c>
      <x:c r="M30" s="25" t="n">
        <x:f>INDEX('Dated offers'!$J$7:$J$305,MATCH($Z30,'Dated offers'!$A$7:$A$305,0))</x:f>
        <x:v>0.0225</x:v>
      </x:c>
      <x:c r="N30" s="25" t="n">
        <x:f>INDEX('Dated offers'!$K$7:$K$305,MATCH($Z30,'Dated offers'!$A$7:$A$305,0))</x:f>
        <x:v>0</x:v>
      </x:c>
      <x:c r="O30" s="25" t="n">
        <x:f>F30*M30</x:f>
        <x:v>2.25</x:v>
      </x:c>
      <x:c r="P30" s="25" t="n">
        <x:f>G30*M30</x:f>
        <x:v>2.25</x:v>
      </x:c>
      <x:c r="Q30" s="25" t="n">
        <x:f>K30*M30+N30</x:f>
        <x:v>2.25</x:v>
      </x:c>
      <x:c r="R30" s="18" t="n">
        <x:f>K30-G30</x:f>
        <x:v>0</x:v>
      </x:c>
      <x:c r="S30" s="18" t="n">
        <x:f>INDEX('Dated offers'!$H$7:$H$305,MATCH($Z30,'Dated offers'!$A$7:$A$305,0))</x:f>
        <x:v>3880</x:v>
      </x:c>
      <x:c r="T30" s="2" t="str">
        <x:f>IF(K30&lt;G30,"Order below requirement",IF(K30&lt;L30,"Below price tier",IF(ISNUMBER(S30),IF(K30&gt;S30,"Quantity exceeds snapshot","Within quantity snapshot"),"Stock not stated")))</x:f>
        <x:v>Within quantity snapshot</x:v>
      </x:c>
      <x:c r="U30" s="2" t="str">
        <x:f>INDEX('Dated offers'!$C$7:$C$305,MATCH($Z30,'Dated offers'!$A$7:$A$305,0))</x:f>
        <x:v>LCSC</x:v>
      </x:c>
      <x:c r="V30" s="2" t="str">
        <x:f>INDEX('Dated offers'!$D$7:$D$305,MATCH($Z30,'Dated offers'!$A$7:$A$305,0))</x:f>
        <x:v>C2178056</x:v>
      </x:c>
      <x:c r="W30" s="24" t="n">
        <x:f>INDEX('Dated offers'!$E$7:$E$305,MATCH($Z30,'Dated offers'!$A$7:$A$305,0))</x:f>
        <x:v>46307.44740040509</x:v>
      </x:c>
      <x:c r="X30" s="2" t="b">
        <x:f>INDEX('Dated offers'!$N$7:$N$305,MATCH($Z30,'Dated offers'!$A$7:$A$305,0))</x:f>
        <x:v>0</x:v>
      </x:c>
      <x:c r="Y30" s="2" t="str">
        <x:f>INDEX('Dated offers'!$O$7:$O$305,MATCH($Z30,'Dated offers'!$A$7:$A$305,0))</x:f>
        <x:v>Unreserved inventory snapshot</x:v>
      </x:c>
      <x:c r="Z30" s="17" t="str">
        <x:v>OF0024</x:v>
      </x:c>
      <x:c r="AA30" s="2"/>
      <x:c r="AB30" s="2" t="str">
        <x:f>INDEX('Dated offers'!$Q$7:$Q$305,MATCH($Z30,'Dated offers'!$A$7:$A$305,0))</x:f>
        <x:v>https://www.lcsc.com/product-detail/C2178056.html</x:v>
      </x:c>
    </x:row>
    <x:row r="31" ht="24" customHeight="1">
      <x:c r="A31" s="2" t="str">
        <x:v>25 boards / nominal</x:v>
      </x:c>
      <x:c r="B31" s="17" t="str">
        <x:v>C0805C475K4RACTU</x:v>
      </x:c>
      <x:c r="C31" s="18" t="n">
        <x:v>25</x:v>
      </x:c>
      <x:c r="D31" s="27" t="n">
        <x:v>0</x:v>
      </x:c>
      <x:c r="E31" s="18" t="n">
        <x:f>INDEX('Assembly BOM'!$C$7:$C$162,MATCH($B31,'Assembly BOM'!$A$7:$A$162,0))</x:f>
        <x:v>2</x:v>
      </x:c>
      <x:c r="F31" s="18" t="n">
        <x:f>C31*E31</x:f>
        <x:v>50</x:v>
      </x:c>
      <x:c r="G31" s="18" t="n">
        <x:f>ROUNDUP(F31*(1+D31),0)</x:f>
        <x:v>50</x:v>
      </x:c>
      <x:c r="H31" s="18" t="n">
        <x:f>INDEX('Dated offers'!$F$7:$F$305,MATCH($Z31,'Dated offers'!$A$7:$A$305,0))</x:f>
        <x:v>1</x:v>
      </x:c>
      <x:c r="I31" s="18" t="n">
        <x:f>INDEX('Dated offers'!$G$7:$G$305,MATCH($Z31,'Dated offers'!$A$7:$A$305,0))</x:f>
        <x:v>1</x:v>
      </x:c>
      <x:c r="J31" s="18" t="n">
        <x:f>CEILING(MAX(G31,H31),I31)</x:f>
        <x:v>50</x:v>
      </x:c>
      <x:c r="K31" s="18" t="n">
        <x:v>50</x:v>
      </x:c>
      <x:c r="L31" s="18" t="n">
        <x:f>INDEX('Dated offers'!$I$7:$I$305,MATCH($Z31,'Dated offers'!$A$7:$A$305,0))</x:f>
        <x:v>50</x:v>
      </x:c>
      <x:c r="M31" s="25" t="n">
        <x:f>INDEX('Dated offers'!$J$7:$J$305,MATCH($Z31,'Dated offers'!$A$7:$A$305,0))</x:f>
        <x:v>0.1526</x:v>
      </x:c>
      <x:c r="N31" s="25" t="n">
        <x:f>INDEX('Dated offers'!$K$7:$K$305,MATCH($Z31,'Dated offers'!$A$7:$A$305,0))</x:f>
        <x:v>0</x:v>
      </x:c>
      <x:c r="O31" s="25" t="n">
        <x:f>F31*M31</x:f>
        <x:v>7.630000000000001</x:v>
      </x:c>
      <x:c r="P31" s="25" t="n">
        <x:f>G31*M31</x:f>
        <x:v>7.630000000000001</x:v>
      </x:c>
      <x:c r="Q31" s="25" t="n">
        <x:f>K31*M31+N31</x:f>
        <x:v>7.630000000000001</x:v>
      </x:c>
      <x:c r="R31" s="18" t="n">
        <x:f>K31-G31</x:f>
        <x:v>0</x:v>
      </x:c>
      <x:c r="S31" s="18" t="n">
        <x:f>INDEX('Dated offers'!$H$7:$H$305,MATCH($Z31,'Dated offers'!$A$7:$A$305,0))</x:f>
        <x:v>280009</x:v>
      </x:c>
      <x:c r="T31" s="2" t="str">
        <x:f>IF(K31&lt;G31,"Order below requirement",IF(K31&lt;L31,"Below price tier",IF(ISNUMBER(S31),IF(K31&gt;S31,"Quantity exceeds snapshot","Within quantity snapshot"),"Stock not stated")))</x:f>
        <x:v>Within quantity snapshot</x:v>
      </x:c>
      <x:c r="U31" s="2" t="str">
        <x:f>INDEX('Dated offers'!$C$7:$C$305,MATCH($Z31,'Dated offers'!$A$7:$A$305,0))</x:f>
        <x:v>DigiKey</x:v>
      </x:c>
      <x:c r="V31" s="2" t="str">
        <x:f>INDEX('Dated offers'!$D$7:$D$305,MATCH($Z31,'Dated offers'!$A$7:$A$305,0))</x:f>
        <x:v>Not stated</x:v>
      </x:c>
      <x:c r="W31" s="24" t="n">
        <x:f>INDEX('Dated offers'!$E$7:$E$305,MATCH($Z31,'Dated offers'!$A$7:$A$305,0))</x:f>
        <x:v>46307.47807265046</x:v>
      </x:c>
      <x:c r="X31" s="2" t="b">
        <x:f>INDEX('Dated offers'!$N$7:$N$305,MATCH($Z31,'Dated offers'!$A$7:$A$305,0))</x:f>
        <x:v>0</x:v>
      </x:c>
      <x:c r="Y31" s="2" t="str">
        <x:f>INDEX('Dated offers'!$O$7:$O$305,MATCH($Z31,'Dated offers'!$A$7:$A$305,0))</x:f>
        <x:v>Unreserved inventory snapshot</x:v>
      </x:c>
      <x:c r="Z31" s="17" t="str">
        <x:v>OF0025</x:v>
      </x:c>
      <x:c r="AA31" s="2"/>
      <x:c r="AB31" s="2" t="str">
        <x:f>INDEX('Dated offers'!$Q$7:$Q$305,MATCH($Z31,'Dated offers'!$A$7:$A$305,0))</x:f>
        <x:v>https://www.digikey.com/en/products/detail/kemet/C0805C475K4RACTU/3317449</x:v>
      </x:c>
    </x:row>
    <x:row r="32" ht="24" customHeight="1">
      <x:c r="A32" s="2" t="str">
        <x:v>25 boards / nominal</x:v>
      </x:c>
      <x:c r="B32" s="17" t="str">
        <x:v>CGA6N3X7R2A225K230AB</x:v>
      </x:c>
      <x:c r="C32" s="18" t="n">
        <x:v>25</x:v>
      </x:c>
      <x:c r="D32" s="27" t="n">
        <x:v>0</x:v>
      </x:c>
      <x:c r="E32" s="18" t="n">
        <x:f>INDEX('Assembly BOM'!$C$7:$C$162,MATCH($B32,'Assembly BOM'!$A$7:$A$162,0))</x:f>
        <x:v>6</x:v>
      </x:c>
      <x:c r="F32" s="18" t="n">
        <x:f>C32*E32</x:f>
        <x:v>150</x:v>
      </x:c>
      <x:c r="G32" s="18" t="n">
        <x:f>ROUNDUP(F32*(1+D32),0)</x:f>
        <x:v>150</x:v>
      </x:c>
      <x:c r="H32" s="18" t="n">
        <x:f>INDEX('Dated offers'!$F$7:$F$305,MATCH($Z32,'Dated offers'!$A$7:$A$305,0))</x:f>
        <x:v>1</x:v>
      </x:c>
      <x:c r="I32" s="18" t="n">
        <x:f>INDEX('Dated offers'!$G$7:$G$305,MATCH($Z32,'Dated offers'!$A$7:$A$305,0))</x:f>
        <x:v>1</x:v>
      </x:c>
      <x:c r="J32" s="18" t="n">
        <x:f>CEILING(MAX(G32,H32),I32)</x:f>
        <x:v>150</x:v>
      </x:c>
      <x:c r="K32" s="18" t="n">
        <x:v>150</x:v>
      </x:c>
      <x:c r="L32" s="18" t="n">
        <x:f>INDEX('Dated offers'!$I$7:$I$305,MATCH($Z32,'Dated offers'!$A$7:$A$305,0))</x:f>
        <x:v>100</x:v>
      </x:c>
      <x:c r="M32" s="25" t="n">
        <x:f>INDEX('Dated offers'!$J$7:$J$305,MATCH($Z32,'Dated offers'!$A$7:$A$305,0))</x:f>
        <x:v>0.5267</x:v>
      </x:c>
      <x:c r="N32" s="25" t="n">
        <x:f>INDEX('Dated offers'!$K$7:$K$305,MATCH($Z32,'Dated offers'!$A$7:$A$305,0))</x:f>
        <x:v>0</x:v>
      </x:c>
      <x:c r="O32" s="25" t="n">
        <x:f>F32*M32</x:f>
        <x:v>79.005</x:v>
      </x:c>
      <x:c r="P32" s="25" t="n">
        <x:f>G32*M32</x:f>
        <x:v>79.005</x:v>
      </x:c>
      <x:c r="Q32" s="25" t="n">
        <x:f>K32*M32+N32</x:f>
        <x:v>79.005</x:v>
      </x:c>
      <x:c r="R32" s="18" t="n">
        <x:f>K32-G32</x:f>
        <x:v>0</x:v>
      </x:c>
      <x:c r="S32" s="18" t="n">
        <x:f>INDEX('Dated offers'!$H$7:$H$305,MATCH($Z32,'Dated offers'!$A$7:$A$305,0))</x:f>
        <x:v>31398</x:v>
      </x:c>
      <x:c r="T32" s="2" t="str">
        <x:f>IF(K32&lt;G32,"Order below requirement",IF(K32&lt;L32,"Below price tier",IF(ISNUMBER(S32),IF(K32&gt;S32,"Quantity exceeds snapshot","Within quantity snapshot"),"Stock not stated")))</x:f>
        <x:v>Within quantity snapshot</x:v>
      </x:c>
      <x:c r="U32" s="2" t="str">
        <x:f>INDEX('Dated offers'!$C$7:$C$305,MATCH($Z32,'Dated offers'!$A$7:$A$305,0))</x:f>
        <x:v>DigiKey</x:v>
      </x:c>
      <x:c r="V32" s="2" t="str">
        <x:f>INDEX('Dated offers'!$D$7:$D$305,MATCH($Z32,'Dated offers'!$A$7:$A$305,0))</x:f>
        <x:v>Not stated</x:v>
      </x:c>
      <x:c r="W32" s="24" t="n">
        <x:f>INDEX('Dated offers'!$E$7:$E$305,MATCH($Z32,'Dated offers'!$A$7:$A$305,0))</x:f>
        <x:v>46307.47807262732</x:v>
      </x:c>
      <x:c r="X32" s="2" t="b">
        <x:f>INDEX('Dated offers'!$N$7:$N$305,MATCH($Z32,'Dated offers'!$A$7:$A$305,0))</x:f>
        <x:v>0</x:v>
      </x:c>
      <x:c r="Y32" s="2" t="str">
        <x:f>INDEX('Dated offers'!$O$7:$O$305,MATCH($Z32,'Dated offers'!$A$7:$A$305,0))</x:f>
        <x:v>Unreserved inventory snapshot</x:v>
      </x:c>
      <x:c r="Z32" s="17" t="str">
        <x:v>OF0026</x:v>
      </x:c>
      <x:c r="AA32" s="2"/>
      <x:c r="AB32" s="2" t="str">
        <x:f>INDEX('Dated offers'!$Q$7:$Q$305,MATCH($Z32,'Dated offers'!$A$7:$A$305,0))</x:f>
        <x:v>https://www.digikey.com/en/products/detail/tdk-corporation/CGA6N3X7R2A225K230AB/2443344</x:v>
      </x:c>
    </x:row>
    <x:row r="33" ht="24" customHeight="1">
      <x:c r="A33" s="2" t="str">
        <x:v>25 boards / nominal</x:v>
      </x:c>
      <x:c r="B33" s="17" t="str">
        <x:v>CL05B104KB5NNNC</x:v>
      </x:c>
      <x:c r="C33" s="18" t="n">
        <x:v>25</x:v>
      </x:c>
      <x:c r="D33" s="27" t="n">
        <x:v>0</x:v>
      </x:c>
      <x:c r="E33" s="18" t="n">
        <x:f>INDEX('Assembly BOM'!$C$7:$C$162,MATCH($B33,'Assembly BOM'!$A$7:$A$162,0))</x:f>
        <x:v>59</x:v>
      </x:c>
      <x:c r="F33" s="18" t="n">
        <x:f>C33*E33</x:f>
        <x:v>1475</x:v>
      </x:c>
      <x:c r="G33" s="18" t="n">
        <x:f>ROUNDUP(F33*(1+D33),0)</x:f>
        <x:v>1475</x:v>
      </x:c>
      <x:c r="H33" s="18" t="n">
        <x:f>INDEX('Dated offers'!$F$7:$F$305,MATCH($Z33,'Dated offers'!$A$7:$A$305,0))</x:f>
        <x:v>50</x:v>
      </x:c>
      <x:c r="I33" s="18" t="n">
        <x:f>INDEX('Dated offers'!$G$7:$G$305,MATCH($Z33,'Dated offers'!$A$7:$A$305,0))</x:f>
        <x:v>50</x:v>
      </x:c>
      <x:c r="J33" s="18" t="n">
        <x:f>CEILING(MAX(G33,H33),I33)</x:f>
        <x:v>1500</x:v>
      </x:c>
      <x:c r="K33" s="18" t="n">
        <x:v>1500</x:v>
      </x:c>
      <x:c r="L33" s="18" t="n">
        <x:f>INDEX('Dated offers'!$I$7:$I$305,MATCH($Z33,'Dated offers'!$A$7:$A$305,0))</x:f>
        <x:v>1500</x:v>
      </x:c>
      <x:c r="M33" s="25" t="n">
        <x:f>INDEX('Dated offers'!$J$7:$J$305,MATCH($Z33,'Dated offers'!$A$7:$A$305,0))</x:f>
        <x:v>0.0066</x:v>
      </x:c>
      <x:c r="N33" s="25" t="n">
        <x:f>INDEX('Dated offers'!$K$7:$K$305,MATCH($Z33,'Dated offers'!$A$7:$A$305,0))</x:f>
        <x:v>0</x:v>
      </x:c>
      <x:c r="O33" s="25" t="n">
        <x:f>F33*M33</x:f>
        <x:v>9.735</x:v>
      </x:c>
      <x:c r="P33" s="25" t="n">
        <x:f>G33*M33</x:f>
        <x:v>9.735</x:v>
      </x:c>
      <x:c r="Q33" s="25" t="n">
        <x:f>K33*M33+N33</x:f>
        <x:v>9.9</x:v>
      </x:c>
      <x:c r="R33" s="18" t="n">
        <x:f>K33-G33</x:f>
        <x:v>25</x:v>
      </x:c>
      <x:c r="S33" s="18" t="n">
        <x:f>INDEX('Dated offers'!$H$7:$H$305,MATCH($Z33,'Dated offers'!$A$7:$A$305,0))</x:f>
        <x:v>155500</x:v>
      </x:c>
      <x:c r="T33" s="2" t="str">
        <x:f>IF(K33&lt;G33,"Order below requirement",IF(K33&lt;L33,"Below price tier",IF(ISNUMBER(S33),IF(K33&gt;S33,"Quantity exceeds snapshot","Within quantity snapshot"),"Stock not stated")))</x:f>
        <x:v>Within quantity snapshot</x:v>
      </x:c>
      <x:c r="U33" s="2" t="str">
        <x:f>INDEX('Dated offers'!$C$7:$C$305,MATCH($Z33,'Dated offers'!$A$7:$A$305,0))</x:f>
        <x:v>LCSC</x:v>
      </x:c>
      <x:c r="V33" s="2" t="str">
        <x:f>INDEX('Dated offers'!$D$7:$D$305,MATCH($Z33,'Dated offers'!$A$7:$A$305,0))</x:f>
        <x:v>C960916</x:v>
      </x:c>
      <x:c r="W33" s="24" t="n">
        <x:f>INDEX('Dated offers'!$E$7:$E$305,MATCH($Z33,'Dated offers'!$A$7:$A$305,0))</x:f>
        <x:v>46307.44740570602</x:v>
      </x:c>
      <x:c r="X33" s="2" t="b">
        <x:f>INDEX('Dated offers'!$N$7:$N$305,MATCH($Z33,'Dated offers'!$A$7:$A$305,0))</x:f>
        <x:v>0</x:v>
      </x:c>
      <x:c r="Y33" s="2" t="str">
        <x:f>INDEX('Dated offers'!$O$7:$O$305,MATCH($Z33,'Dated offers'!$A$7:$A$305,0))</x:f>
        <x:v>Unreserved inventory snapshot</x:v>
      </x:c>
      <x:c r="Z33" s="17" t="str">
        <x:v>OF0027</x:v>
      </x:c>
      <x:c r="AA33" s="2"/>
      <x:c r="AB33" s="2" t="str">
        <x:f>INDEX('Dated offers'!$Q$7:$Q$305,MATCH($Z33,'Dated offers'!$A$7:$A$305,0))</x:f>
        <x:v>https://www.lcsc.com/product-detail/C960916.html</x:v>
      </x:c>
    </x:row>
    <x:row r="34" ht="24" customHeight="1">
      <x:c r="A34" s="2" t="str">
        <x:v>25 boards / nominal</x:v>
      </x:c>
      <x:c r="B34" s="17" t="str">
        <x:v>CL10B225KP8NNNC</x:v>
      </x:c>
      <x:c r="C34" s="18" t="n">
        <x:v>25</x:v>
      </x:c>
      <x:c r="D34" s="27" t="n">
        <x:v>0</x:v>
      </x:c>
      <x:c r="E34" s="18" t="n">
        <x:f>INDEX('Assembly BOM'!$C$7:$C$162,MATCH($B34,'Assembly BOM'!$A$7:$A$162,0))</x:f>
        <x:v>18</x:v>
      </x:c>
      <x:c r="F34" s="18" t="n">
        <x:f>C34*E34</x:f>
        <x:v>450</x:v>
      </x:c>
      <x:c r="G34" s="18" t="n">
        <x:f>ROUNDUP(F34*(1+D34),0)</x:f>
        <x:v>450</x:v>
      </x:c>
      <x:c r="H34" s="18" t="n">
        <x:f>INDEX('Dated offers'!$F$7:$F$305,MATCH($Z34,'Dated offers'!$A$7:$A$305,0))</x:f>
        <x:v>20</x:v>
      </x:c>
      <x:c r="I34" s="18" t="n">
        <x:f>INDEX('Dated offers'!$G$7:$G$305,MATCH($Z34,'Dated offers'!$A$7:$A$305,0))</x:f>
        <x:v>20</x:v>
      </x:c>
      <x:c r="J34" s="18" t="n">
        <x:f>CEILING(MAX(G34,H34),I34)</x:f>
        <x:v>460</x:v>
      </x:c>
      <x:c r="K34" s="18" t="n">
        <x:v>460</x:v>
      </x:c>
      <x:c r="L34" s="18" t="n">
        <x:f>INDEX('Dated offers'!$I$7:$I$305,MATCH($Z34,'Dated offers'!$A$7:$A$305,0))</x:f>
        <x:v>200</x:v>
      </x:c>
      <x:c r="M34" s="25" t="n">
        <x:f>INDEX('Dated offers'!$J$7:$J$305,MATCH($Z34,'Dated offers'!$A$7:$A$305,0))</x:f>
        <x:v>0.021</x:v>
      </x:c>
      <x:c r="N34" s="25" t="n">
        <x:f>INDEX('Dated offers'!$K$7:$K$305,MATCH($Z34,'Dated offers'!$A$7:$A$305,0))</x:f>
        <x:v>0</x:v>
      </x:c>
      <x:c r="O34" s="25" t="n">
        <x:f>F34*M34</x:f>
        <x:v>9.450000000000001</x:v>
      </x:c>
      <x:c r="P34" s="25" t="n">
        <x:f>G34*M34</x:f>
        <x:v>9.450000000000001</x:v>
      </x:c>
      <x:c r="Q34" s="25" t="n">
        <x:f>K34*M34+N34</x:f>
        <x:v>9.66</x:v>
      </x:c>
      <x:c r="R34" s="18" t="n">
        <x:f>K34-G34</x:f>
        <x:v>10</x:v>
      </x:c>
      <x:c r="S34" s="18" t="n">
        <x:f>INDEX('Dated offers'!$H$7:$H$305,MATCH($Z34,'Dated offers'!$A$7:$A$305,0))</x:f>
        <x:v>274380</x:v>
      </x:c>
      <x:c r="T34" s="2" t="str">
        <x:f>IF(K34&lt;G34,"Order below requirement",IF(K34&lt;L34,"Below price tier",IF(ISNUMBER(S34),IF(K34&gt;S34,"Quantity exceeds snapshot","Within quantity snapshot"),"Stock not stated")))</x:f>
        <x:v>Within quantity snapshot</x:v>
      </x:c>
      <x:c r="U34" s="2" t="str">
        <x:f>INDEX('Dated offers'!$C$7:$C$305,MATCH($Z34,'Dated offers'!$A$7:$A$305,0))</x:f>
        <x:v>LCSC</x:v>
      </x:c>
      <x:c r="V34" s="2" t="str">
        <x:f>INDEX('Dated offers'!$D$7:$D$305,MATCH($Z34,'Dated offers'!$A$7:$A$305,0))</x:f>
        <x:v>C100082</x:v>
      </x:c>
      <x:c r="W34" s="24" t="n">
        <x:f>INDEX('Dated offers'!$E$7:$E$305,MATCH($Z34,'Dated offers'!$A$7:$A$305,0))</x:f>
        <x:v>46307.44740732639</x:v>
      </x:c>
      <x:c r="X34" s="2" t="b">
        <x:f>INDEX('Dated offers'!$N$7:$N$305,MATCH($Z34,'Dated offers'!$A$7:$A$305,0))</x:f>
        <x:v>0</x:v>
      </x:c>
      <x:c r="Y34" s="2" t="str">
        <x:f>INDEX('Dated offers'!$O$7:$O$305,MATCH($Z34,'Dated offers'!$A$7:$A$305,0))</x:f>
        <x:v>Unreserved inventory snapshot</x:v>
      </x:c>
      <x:c r="Z34" s="17" t="str">
        <x:v>OF0028</x:v>
      </x:c>
      <x:c r="AA34" s="2"/>
      <x:c r="AB34" s="2" t="str">
        <x:f>INDEX('Dated offers'!$Q$7:$Q$305,MATCH($Z34,'Dated offers'!$A$7:$A$305,0))</x:f>
        <x:v>https://www.lcsc.com/product-detail/C100082.html</x:v>
      </x:c>
    </x:row>
    <x:row r="35" ht="24" customHeight="1">
      <x:c r="A35" s="2" t="str">
        <x:v>25 boards / nominal</x:v>
      </x:c>
      <x:c r="B35" s="17" t="str">
        <x:v>CL21B105KBFNNNF</x:v>
      </x:c>
      <x:c r="C35" s="18" t="n">
        <x:v>25</x:v>
      </x:c>
      <x:c r="D35" s="27" t="n">
        <x:v>0</x:v>
      </x:c>
      <x:c r="E35" s="18" t="n">
        <x:f>INDEX('Assembly BOM'!$C$7:$C$162,MATCH($B35,'Assembly BOM'!$A$7:$A$162,0))</x:f>
        <x:v>4</x:v>
      </x:c>
      <x:c r="F35" s="18" t="n">
        <x:f>C35*E35</x:f>
        <x:v>100</x:v>
      </x:c>
      <x:c r="G35" s="18" t="n">
        <x:f>ROUNDUP(F35*(1+D35),0)</x:f>
        <x:v>100</x:v>
      </x:c>
      <x:c r="H35" s="18" t="n">
        <x:f>INDEX('Dated offers'!$F$7:$F$305,MATCH($Z35,'Dated offers'!$A$7:$A$305,0))</x:f>
        <x:v>10</x:v>
      </x:c>
      <x:c r="I35" s="18" t="n">
        <x:f>INDEX('Dated offers'!$G$7:$G$305,MATCH($Z35,'Dated offers'!$A$7:$A$305,0))</x:f>
        <x:v>10</x:v>
      </x:c>
      <x:c r="J35" s="18" t="n">
        <x:f>CEILING(MAX(G35,H35),I35)</x:f>
        <x:v>100</x:v>
      </x:c>
      <x:c r="K35" s="18" t="n">
        <x:v>100</x:v>
      </x:c>
      <x:c r="L35" s="18" t="n">
        <x:f>INDEX('Dated offers'!$I$7:$I$305,MATCH($Z35,'Dated offers'!$A$7:$A$305,0))</x:f>
        <x:v>100</x:v>
      </x:c>
      <x:c r="M35" s="25" t="n">
        <x:f>INDEX('Dated offers'!$J$7:$J$305,MATCH($Z35,'Dated offers'!$A$7:$A$305,0))</x:f>
        <x:v>0.029</x:v>
      </x:c>
      <x:c r="N35" s="25" t="n">
        <x:f>INDEX('Dated offers'!$K$7:$K$305,MATCH($Z35,'Dated offers'!$A$7:$A$305,0))</x:f>
        <x:v>0</x:v>
      </x:c>
      <x:c r="O35" s="25" t="n">
        <x:f>F35*M35</x:f>
        <x:v>2.9000000000000004</x:v>
      </x:c>
      <x:c r="P35" s="25" t="n">
        <x:f>G35*M35</x:f>
        <x:v>2.9000000000000004</x:v>
      </x:c>
      <x:c r="Q35" s="25" t="n">
        <x:f>K35*M35+N35</x:f>
        <x:v>2.9000000000000004</x:v>
      </x:c>
      <x:c r="R35" s="18" t="n">
        <x:f>K35-G35</x:f>
        <x:v>0</x:v>
      </x:c>
      <x:c r="S35" s="18" t="n">
        <x:f>INDEX('Dated offers'!$H$7:$H$305,MATCH($Z35,'Dated offers'!$A$7:$A$305,0))</x:f>
        <x:v>450</x:v>
      </x:c>
      <x:c r="T35" s="2" t="str">
        <x:f>IF(K35&lt;G35,"Order below requirement",IF(K35&lt;L35,"Below price tier",IF(ISNUMBER(S35),IF(K35&gt;S35,"Quantity exceeds snapshot","Within quantity snapshot"),"Stock not stated")))</x:f>
        <x:v>Within quantity snapshot</x:v>
      </x:c>
      <x:c r="U35" s="2" t="str">
        <x:f>INDEX('Dated offers'!$C$7:$C$305,MATCH($Z35,'Dated offers'!$A$7:$A$305,0))</x:f>
        <x:v>LCSC</x:v>
      </x:c>
      <x:c r="V35" s="2" t="str">
        <x:f>INDEX('Dated offers'!$D$7:$D$305,MATCH($Z35,'Dated offers'!$A$7:$A$305,0))</x:f>
        <x:v>C16195091</x:v>
      </x:c>
      <x:c r="W35" s="24" t="n">
        <x:f>INDEX('Dated offers'!$E$7:$E$305,MATCH($Z35,'Dated offers'!$A$7:$A$305,0))</x:f>
        <x:v>46307.709842337965</x:v>
      </x:c>
      <x:c r="X35" s="2" t="b">
        <x:f>INDEX('Dated offers'!$N$7:$N$305,MATCH($Z35,'Dated offers'!$A$7:$A$305,0))</x:f>
        <x:v>0</x:v>
      </x:c>
      <x:c r="Y35" s="2" t="str">
        <x:f>INDEX('Dated offers'!$O$7:$O$305,MATCH($Z35,'Dated offers'!$A$7:$A$305,0))</x:f>
        <x:v>Unreserved inventory snapshot</x:v>
      </x:c>
      <x:c r="Z35" s="17" t="str">
        <x:v>OF0029</x:v>
      </x:c>
      <x:c r="AA35" s="2"/>
      <x:c r="AB35" s="2" t="str">
        <x:f>INDEX('Dated offers'!$Q$7:$Q$305,MATCH($Z35,'Dated offers'!$A$7:$A$305,0))</x:f>
        <x:v>https://www.lcsc.com/product-detail/C16195091.html</x:v>
      </x:c>
    </x:row>
    <x:row r="36" ht="24" customHeight="1">
      <x:c r="A36" s="2" t="str">
        <x:v>25 boards / nominal</x:v>
      </x:c>
      <x:c r="B36" s="17" t="str">
        <x:v>CL32B106KBJZW6E</x:v>
      </x:c>
      <x:c r="C36" s="18" t="n">
        <x:v>25</x:v>
      </x:c>
      <x:c r="D36" s="27" t="n">
        <x:v>0</x:v>
      </x:c>
      <x:c r="E36" s="18" t="n">
        <x:f>INDEX('Assembly BOM'!$C$7:$C$162,MATCH($B36,'Assembly BOM'!$A$7:$A$162,0))</x:f>
        <x:v>2</x:v>
      </x:c>
      <x:c r="F36" s="18" t="n">
        <x:f>C36*E36</x:f>
        <x:v>50</x:v>
      </x:c>
      <x:c r="G36" s="18" t="n">
        <x:f>ROUNDUP(F36*(1+D36),0)</x:f>
        <x:v>50</x:v>
      </x:c>
      <x:c r="H36" s="18" t="n">
        <x:f>INDEX('Dated offers'!$F$7:$F$305,MATCH($Z36,'Dated offers'!$A$7:$A$305,0))</x:f>
        <x:v>1</x:v>
      </x:c>
      <x:c r="I36" s="18" t="n">
        <x:f>INDEX('Dated offers'!$G$7:$G$305,MATCH($Z36,'Dated offers'!$A$7:$A$305,0))</x:f>
        <x:v>1</x:v>
      </x:c>
      <x:c r="J36" s="18" t="n">
        <x:f>CEILING(MAX(G36,H36),I36)</x:f>
        <x:v>50</x:v>
      </x:c>
      <x:c r="K36" s="18" t="n">
        <x:v>50</x:v>
      </x:c>
      <x:c r="L36" s="18" t="n">
        <x:f>INDEX('Dated offers'!$I$7:$I$305,MATCH($Z36,'Dated offers'!$A$7:$A$305,0))</x:f>
        <x:v>50</x:v>
      </x:c>
      <x:c r="M36" s="25" t="n">
        <x:f>INDEX('Dated offers'!$J$7:$J$305,MATCH($Z36,'Dated offers'!$A$7:$A$305,0))</x:f>
        <x:v>0.5222</x:v>
      </x:c>
      <x:c r="N36" s="25" t="n">
        <x:f>INDEX('Dated offers'!$K$7:$K$305,MATCH($Z36,'Dated offers'!$A$7:$A$305,0))</x:f>
        <x:v>0</x:v>
      </x:c>
      <x:c r="O36" s="25" t="n">
        <x:f>F36*M36</x:f>
        <x:v>26.11</x:v>
      </x:c>
      <x:c r="P36" s="25" t="n">
        <x:f>G36*M36</x:f>
        <x:v>26.11</x:v>
      </x:c>
      <x:c r="Q36" s="25" t="n">
        <x:f>K36*M36+N36</x:f>
        <x:v>26.11</x:v>
      </x:c>
      <x:c r="R36" s="18" t="n">
        <x:f>K36-G36</x:f>
        <x:v>0</x:v>
      </x:c>
      <x:c r="S36" s="18" t="n">
        <x:f>INDEX('Dated offers'!$H$7:$H$305,MATCH($Z36,'Dated offers'!$A$7:$A$305,0))</x:f>
        <x:v>167479</x:v>
      </x:c>
      <x:c r="T36" s="2" t="str">
        <x:f>IF(K36&lt;G36,"Order below requirement",IF(K36&lt;L36,"Below price tier",IF(ISNUMBER(S36),IF(K36&gt;S36,"Quantity exceeds snapshot","Within quantity snapshot"),"Stock not stated")))</x:f>
        <x:v>Within quantity snapshot</x:v>
      </x:c>
      <x:c r="U36" s="2" t="str">
        <x:f>INDEX('Dated offers'!$C$7:$C$305,MATCH($Z36,'Dated offers'!$A$7:$A$305,0))</x:f>
        <x:v>DigiKey</x:v>
      </x:c>
      <x:c r="V36" s="2" t="str">
        <x:f>INDEX('Dated offers'!$D$7:$D$305,MATCH($Z36,'Dated offers'!$A$7:$A$305,0))</x:f>
        <x:v>Not stated</x:v>
      </x:c>
      <x:c r="W36" s="24" t="n">
        <x:f>INDEX('Dated offers'!$E$7:$E$305,MATCH($Z36,'Dated offers'!$A$7:$A$305,0))</x:f>
        <x:v>46307.47807262732</x:v>
      </x:c>
      <x:c r="X36" s="2" t="b">
        <x:f>INDEX('Dated offers'!$N$7:$N$305,MATCH($Z36,'Dated offers'!$A$7:$A$305,0))</x:f>
        <x:v>0</x:v>
      </x:c>
      <x:c r="Y36" s="2" t="str">
        <x:f>INDEX('Dated offers'!$O$7:$O$305,MATCH($Z36,'Dated offers'!$A$7:$A$305,0))</x:f>
        <x:v>Unreserved inventory snapshot</x:v>
      </x:c>
      <x:c r="Z36" s="17" t="str">
        <x:v>OF0030</x:v>
      </x:c>
      <x:c r="AA36" s="2"/>
      <x:c r="AB36" s="2" t="str">
        <x:f>INDEX('Dated offers'!$Q$7:$Q$305,MATCH($Z36,'Dated offers'!$A$7:$A$305,0))</x:f>
        <x:v>https://www.digikey.com/en/products/detail/samsung-electro-mechanics-america-inc/CL32B106KBJZW6E/7320557</x:v>
      </x:c>
    </x:row>
    <x:row r="37" ht="24" customHeight="1">
      <x:c r="A37" s="2" t="str">
        <x:v>25 boards / nominal</x:v>
      </x:c>
      <x:c r="B37" s="17" t="str">
        <x:v>CL32B226KAJNNNE</x:v>
      </x:c>
      <x:c r="C37" s="18" t="n">
        <x:v>25</x:v>
      </x:c>
      <x:c r="D37" s="27" t="n">
        <x:v>0</x:v>
      </x:c>
      <x:c r="E37" s="18" t="n">
        <x:f>INDEX('Assembly BOM'!$C$7:$C$162,MATCH($B37,'Assembly BOM'!$A$7:$A$162,0))</x:f>
        <x:v>25</x:v>
      </x:c>
      <x:c r="F37" s="18" t="n">
        <x:f>C37*E37</x:f>
        <x:v>625</x:v>
      </x:c>
      <x:c r="G37" s="18" t="n">
        <x:f>ROUNDUP(F37*(1+D37),0)</x:f>
        <x:v>625</x:v>
      </x:c>
      <x:c r="H37" s="18" t="n">
        <x:f>INDEX('Dated offers'!$F$7:$F$305,MATCH($Z37,'Dated offers'!$A$7:$A$305,0))</x:f>
        <x:v>1</x:v>
      </x:c>
      <x:c r="I37" s="18" t="n">
        <x:f>INDEX('Dated offers'!$G$7:$G$305,MATCH($Z37,'Dated offers'!$A$7:$A$305,0))</x:f>
        <x:v>1</x:v>
      </x:c>
      <x:c r="J37" s="18" t="n">
        <x:f>CEILING(MAX(G37,H37),I37)</x:f>
        <x:v>625</x:v>
      </x:c>
      <x:c r="K37" s="18" t="n">
        <x:v>625</x:v>
      </x:c>
      <x:c r="L37" s="18" t="n">
        <x:f>INDEX('Dated offers'!$I$7:$I$305,MATCH($Z37,'Dated offers'!$A$7:$A$305,0))</x:f>
        <x:v>500</x:v>
      </x:c>
      <x:c r="M37" s="25" t="n">
        <x:f>INDEX('Dated offers'!$J$7:$J$305,MATCH($Z37,'Dated offers'!$A$7:$A$305,0))</x:f>
        <x:v>0.2028</x:v>
      </x:c>
      <x:c r="N37" s="25" t="n">
        <x:f>INDEX('Dated offers'!$K$7:$K$305,MATCH($Z37,'Dated offers'!$A$7:$A$305,0))</x:f>
        <x:v>0</x:v>
      </x:c>
      <x:c r="O37" s="25" t="n">
        <x:f>F37*M37</x:f>
        <x:v>126.75</x:v>
      </x:c>
      <x:c r="P37" s="25" t="n">
        <x:f>G37*M37</x:f>
        <x:v>126.75</x:v>
      </x:c>
      <x:c r="Q37" s="25" t="n">
        <x:f>K37*M37+N37</x:f>
        <x:v>126.75</x:v>
      </x:c>
      <x:c r="R37" s="18" t="n">
        <x:f>K37-G37</x:f>
        <x:v>0</x:v>
      </x:c>
      <x:c r="S37" s="18" t="n">
        <x:f>INDEX('Dated offers'!$H$7:$H$305,MATCH($Z37,'Dated offers'!$A$7:$A$305,0))</x:f>
        <x:v>42997</x:v>
      </x:c>
      <x:c r="T37" s="2" t="str">
        <x:f>IF(K37&lt;G37,"Order below requirement",IF(K37&lt;L37,"Below price tier",IF(ISNUMBER(S37),IF(K37&gt;S37,"Quantity exceeds snapshot","Within quantity snapshot"),"Stock not stated")))</x:f>
        <x:v>Within quantity snapshot</x:v>
      </x:c>
      <x:c r="U37" s="2" t="str">
        <x:f>INDEX('Dated offers'!$C$7:$C$305,MATCH($Z37,'Dated offers'!$A$7:$A$305,0))</x:f>
        <x:v>LCSC</x:v>
      </x:c>
      <x:c r="V37" s="2" t="str">
        <x:f>INDEX('Dated offers'!$D$7:$D$305,MATCH($Z37,'Dated offers'!$A$7:$A$305,0))</x:f>
        <x:v>C309062</x:v>
      </x:c>
      <x:c r="W37" s="24" t="n">
        <x:f>INDEX('Dated offers'!$E$7:$E$305,MATCH($Z37,'Dated offers'!$A$7:$A$305,0))</x:f>
        <x:v>46307.61958569445</x:v>
      </x:c>
      <x:c r="X37" s="2" t="b">
        <x:f>INDEX('Dated offers'!$N$7:$N$305,MATCH($Z37,'Dated offers'!$A$7:$A$305,0))</x:f>
        <x:v>0</x:v>
      </x:c>
      <x:c r="Y37" s="2" t="str">
        <x:f>INDEX('Dated offers'!$O$7:$O$305,MATCH($Z37,'Dated offers'!$A$7:$A$305,0))</x:f>
        <x:v>Unreserved inventory snapshot</x:v>
      </x:c>
      <x:c r="Z37" s="17" t="str">
        <x:v>OF0031</x:v>
      </x:c>
      <x:c r="AA37" s="2"/>
      <x:c r="AB37" s="2" t="str">
        <x:f>INDEX('Dated offers'!$Q$7:$Q$305,MATCH($Z37,'Dated offers'!$A$7:$A$305,0))</x:f>
        <x:v>https://www.lcsc.com/product-detail/C309062.html</x:v>
      </x:c>
    </x:row>
    <x:row r="38" ht="24" customHeight="1">
      <x:c r="A38" s="2" t="str">
        <x:v>25 boards / nominal</x:v>
      </x:c>
      <x:c r="B38" s="17" t="str">
        <x:v>CL32B476KPJNNWE</x:v>
      </x:c>
      <x:c r="C38" s="18" t="n">
        <x:v>25</x:v>
      </x:c>
      <x:c r="D38" s="27" t="n">
        <x:v>0</x:v>
      </x:c>
      <x:c r="E38" s="18" t="n">
        <x:f>INDEX('Assembly BOM'!$C$7:$C$162,MATCH($B38,'Assembly BOM'!$A$7:$A$162,0))</x:f>
        <x:v>2</x:v>
      </x:c>
      <x:c r="F38" s="18" t="n">
        <x:f>C38*E38</x:f>
        <x:v>50</x:v>
      </x:c>
      <x:c r="G38" s="18" t="n">
        <x:f>ROUNDUP(F38*(1+D38),0)</x:f>
        <x:v>50</x:v>
      </x:c>
      <x:c r="H38" s="18" t="n">
        <x:f>INDEX('Dated offers'!$F$7:$F$305,MATCH($Z38,'Dated offers'!$A$7:$A$305,0))</x:f>
        <x:v>1</x:v>
      </x:c>
      <x:c r="I38" s="18" t="n">
        <x:f>INDEX('Dated offers'!$G$7:$G$305,MATCH($Z38,'Dated offers'!$A$7:$A$305,0))</x:f>
        <x:v>1</x:v>
      </x:c>
      <x:c r="J38" s="18" t="n">
        <x:f>CEILING(MAX(G38,H38),I38)</x:f>
        <x:v>50</x:v>
      </x:c>
      <x:c r="K38" s="18" t="n">
        <x:v>50</x:v>
      </x:c>
      <x:c r="L38" s="18" t="n">
        <x:f>INDEX('Dated offers'!$I$7:$I$305,MATCH($Z38,'Dated offers'!$A$7:$A$305,0))</x:f>
        <x:v>30</x:v>
      </x:c>
      <x:c r="M38" s="25" t="n">
        <x:f>INDEX('Dated offers'!$J$7:$J$305,MATCH($Z38,'Dated offers'!$A$7:$A$305,0))</x:f>
        <x:v>0.5278</x:v>
      </x:c>
      <x:c r="N38" s="25" t="n">
        <x:f>INDEX('Dated offers'!$K$7:$K$305,MATCH($Z38,'Dated offers'!$A$7:$A$305,0))</x:f>
        <x:v>0</x:v>
      </x:c>
      <x:c r="O38" s="25" t="n">
        <x:f>F38*M38</x:f>
        <x:v>26.39</x:v>
      </x:c>
      <x:c r="P38" s="25" t="n">
        <x:f>G38*M38</x:f>
        <x:v>26.39</x:v>
      </x:c>
      <x:c r="Q38" s="25" t="n">
        <x:f>K38*M38+N38</x:f>
        <x:v>26.39</x:v>
      </x:c>
      <x:c r="R38" s="18" t="n">
        <x:f>K38-G38</x:f>
        <x:v>0</x:v>
      </x:c>
      <x:c r="S38" s="18" t="n">
        <x:f>INDEX('Dated offers'!$H$7:$H$305,MATCH($Z38,'Dated offers'!$A$7:$A$305,0))</x:f>
        <x:v>1284</x:v>
      </x:c>
      <x:c r="T38" s="2" t="str">
        <x:f>IF(K38&lt;G38,"Order below requirement",IF(K38&lt;L38,"Below price tier",IF(ISNUMBER(S38),IF(K38&gt;S38,"Quantity exceeds snapshot","Within quantity snapshot"),"Stock not stated")))</x:f>
        <x:v>Within quantity snapshot</x:v>
      </x:c>
      <x:c r="U38" s="2" t="str">
        <x:f>INDEX('Dated offers'!$C$7:$C$305,MATCH($Z38,'Dated offers'!$A$7:$A$305,0))</x:f>
        <x:v>LCSC</x:v>
      </x:c>
      <x:c r="V38" s="2" t="str">
        <x:f>INDEX('Dated offers'!$D$7:$D$305,MATCH($Z38,'Dated offers'!$A$7:$A$305,0))</x:f>
        <x:v>C2932479</x:v>
      </x:c>
      <x:c r="W38" s="24" t="n">
        <x:f>INDEX('Dated offers'!$E$7:$E$305,MATCH($Z38,'Dated offers'!$A$7:$A$305,0))</x:f>
        <x:v>46307.656600462964</x:v>
      </x:c>
      <x:c r="X38" s="2" t="b">
        <x:f>INDEX('Dated offers'!$N$7:$N$305,MATCH($Z38,'Dated offers'!$A$7:$A$305,0))</x:f>
        <x:v>0</x:v>
      </x:c>
      <x:c r="Y38" s="2" t="str">
        <x:f>INDEX('Dated offers'!$O$7:$O$305,MATCH($Z38,'Dated offers'!$A$7:$A$305,0))</x:f>
        <x:v>Unreserved inventory snapshot</x:v>
      </x:c>
      <x:c r="Z38" s="17" t="str">
        <x:v>OF0032</x:v>
      </x:c>
      <x:c r="AA38" s="2"/>
      <x:c r="AB38" s="2" t="str">
        <x:f>INDEX('Dated offers'!$Q$7:$Q$305,MATCH($Z38,'Dated offers'!$A$7:$A$305,0))</x:f>
        <x:v>https://www.lcsc.com/product-detail/C2932479.html</x:v>
      </x:c>
    </x:row>
    <x:row r="39" ht="24" customHeight="1">
      <x:c r="A39" s="2" t="str">
        <x:v>25 boards / nominal</x:v>
      </x:c>
      <x:c r="B39" s="17" t="str">
        <x:v>CRCW04020000Z0ED</x:v>
      </x:c>
      <x:c r="C39" s="18" t="n">
        <x:v>25</x:v>
      </x:c>
      <x:c r="D39" s="27" t="n">
        <x:v>0</x:v>
      </x:c>
      <x:c r="E39" s="18" t="n">
        <x:f>INDEX('Assembly BOM'!$C$7:$C$162,MATCH($B39,'Assembly BOM'!$A$7:$A$162,0))</x:f>
        <x:v>6</x:v>
      </x:c>
      <x:c r="F39" s="18" t="n">
        <x:f>C39*E39</x:f>
        <x:v>150</x:v>
      </x:c>
      <x:c r="G39" s="18" t="n">
        <x:f>ROUNDUP(F39*(1+D39),0)</x:f>
        <x:v>150</x:v>
      </x:c>
      <x:c r="H39" s="18" t="n">
        <x:f>INDEX('Dated offers'!$F$7:$F$305,MATCH($Z39,'Dated offers'!$A$7:$A$305,0))</x:f>
        <x:v>1</x:v>
      </x:c>
      <x:c r="I39" s="18" t="n">
        <x:f>INDEX('Dated offers'!$G$7:$G$305,MATCH($Z39,'Dated offers'!$A$7:$A$305,0))</x:f>
        <x:v>1</x:v>
      </x:c>
      <x:c r="J39" s="18" t="n">
        <x:f>CEILING(MAX(G39,H39),I39)</x:f>
        <x:v>150</x:v>
      </x:c>
      <x:c r="K39" s="18" t="n">
        <x:v>150</x:v>
      </x:c>
      <x:c r="L39" s="18" t="n">
        <x:f>INDEX('Dated offers'!$I$7:$I$305,MATCH($Z39,'Dated offers'!$A$7:$A$305,0))</x:f>
        <x:v>100</x:v>
      </x:c>
      <x:c r="M39" s="25" t="n">
        <x:f>INDEX('Dated offers'!$J$7:$J$305,MATCH($Z39,'Dated offers'!$A$7:$A$305,0))</x:f>
        <x:v>0.0099</x:v>
      </x:c>
      <x:c r="N39" s="25" t="n">
        <x:f>INDEX('Dated offers'!$K$7:$K$305,MATCH($Z39,'Dated offers'!$A$7:$A$305,0))</x:f>
        <x:v>0</x:v>
      </x:c>
      <x:c r="O39" s="25" t="n">
        <x:f>F39*M39</x:f>
        <x:v>1.485</x:v>
      </x:c>
      <x:c r="P39" s="25" t="n">
        <x:f>G39*M39</x:f>
        <x:v>1.485</x:v>
      </x:c>
      <x:c r="Q39" s="25" t="n">
        <x:f>K39*M39+N39</x:f>
        <x:v>1.485</x:v>
      </x:c>
      <x:c r="R39" s="18" t="n">
        <x:f>K39-G39</x:f>
        <x:v>0</x:v>
      </x:c>
      <x:c r="S39" s="18" t="n">
        <x:f>INDEX('Dated offers'!$H$7:$H$305,MATCH($Z39,'Dated offers'!$A$7:$A$305,0))</x:f>
        <x:v>3541597</x:v>
      </x:c>
      <x:c r="T39" s="2" t="str">
        <x:f>IF(K39&lt;G39,"Order below requirement",IF(K39&lt;L39,"Below price tier",IF(ISNUMBER(S39),IF(K39&gt;S39,"Quantity exceeds snapshot","Within quantity snapshot"),"Stock not stated")))</x:f>
        <x:v>Within quantity snapshot</x:v>
      </x:c>
      <x:c r="U39" s="2" t="str">
        <x:f>INDEX('Dated offers'!$C$7:$C$305,MATCH($Z39,'Dated offers'!$A$7:$A$305,0))</x:f>
        <x:v>DigiKey</x:v>
      </x:c>
      <x:c r="V39" s="2" t="str">
        <x:f>INDEX('Dated offers'!$D$7:$D$305,MATCH($Z39,'Dated offers'!$A$7:$A$305,0))</x:f>
        <x:v>Not stated</x:v>
      </x:c>
      <x:c r="W39" s="24" t="n">
        <x:f>INDEX('Dated offers'!$E$7:$E$305,MATCH($Z39,'Dated offers'!$A$7:$A$305,0))</x:f>
        <x:v>46307.47807262732</x:v>
      </x:c>
      <x:c r="X39" s="2" t="b">
        <x:f>INDEX('Dated offers'!$N$7:$N$305,MATCH($Z39,'Dated offers'!$A$7:$A$305,0))</x:f>
        <x:v>0</x:v>
      </x:c>
      <x:c r="Y39" s="2" t="str">
        <x:f>INDEX('Dated offers'!$O$7:$O$305,MATCH($Z39,'Dated offers'!$A$7:$A$305,0))</x:f>
        <x:v>Unreserved inventory snapshot</x:v>
      </x:c>
      <x:c r="Z39" s="17" t="str">
        <x:v>OF0033</x:v>
      </x:c>
      <x:c r="AA39" s="2"/>
      <x:c r="AB39" s="2" t="str">
        <x:f>INDEX('Dated offers'!$Q$7:$Q$305,MATCH($Z39,'Dated offers'!$A$7:$A$305,0))</x:f>
        <x:v>https://www.digikey.com/en/products/detail/vishay-dale/CRCW04020000Z0ED/1177495</x:v>
      </x:c>
    </x:row>
    <x:row r="40" ht="24" customHeight="1">
      <x:c r="A40" s="2" t="str">
        <x:v>25 boards / nominal</x:v>
      </x:c>
      <x:c r="B40" s="17" t="str">
        <x:v>CRCW0402100KFKED</x:v>
      </x:c>
      <x:c r="C40" s="18" t="n">
        <x:v>25</x:v>
      </x:c>
      <x:c r="D40" s="27" t="n">
        <x:v>0</x:v>
      </x:c>
      <x:c r="E40" s="18" t="n">
        <x:f>INDEX('Assembly BOM'!$C$7:$C$162,MATCH($B40,'Assembly BOM'!$A$7:$A$162,0))</x:f>
        <x:v>17</x:v>
      </x:c>
      <x:c r="F40" s="18" t="n">
        <x:f>C40*E40</x:f>
        <x:v>425</x:v>
      </x:c>
      <x:c r="G40" s="18" t="n">
        <x:f>ROUNDUP(F40*(1+D40),0)</x:f>
        <x:v>425</x:v>
      </x:c>
      <x:c r="H40" s="18" t="n">
        <x:f>INDEX('Dated offers'!$F$7:$F$305,MATCH($Z40,'Dated offers'!$A$7:$A$305,0))</x:f>
        <x:v>100</x:v>
      </x:c>
      <x:c r="I40" s="18" t="n">
        <x:f>INDEX('Dated offers'!$G$7:$G$305,MATCH($Z40,'Dated offers'!$A$7:$A$305,0))</x:f>
        <x:v>100</x:v>
      </x:c>
      <x:c r="J40" s="18" t="n">
        <x:f>CEILING(MAX(G40,H40),I40)</x:f>
        <x:v>500</x:v>
      </x:c>
      <x:c r="K40" s="18" t="n">
        <x:v>500</x:v>
      </x:c>
      <x:c r="L40" s="18" t="n">
        <x:f>INDEX('Dated offers'!$I$7:$I$305,MATCH($Z40,'Dated offers'!$A$7:$A$305,0))</x:f>
        <x:v>100</x:v>
      </x:c>
      <x:c r="M40" s="25" t="n">
        <x:f>INDEX('Dated offers'!$J$7:$J$305,MATCH($Z40,'Dated offers'!$A$7:$A$305,0))</x:f>
        <x:v>0.0042</x:v>
      </x:c>
      <x:c r="N40" s="25" t="n">
        <x:f>INDEX('Dated offers'!$K$7:$K$305,MATCH($Z40,'Dated offers'!$A$7:$A$305,0))</x:f>
        <x:v>0</x:v>
      </x:c>
      <x:c r="O40" s="25" t="n">
        <x:f>F40*M40</x:f>
        <x:v>1.785</x:v>
      </x:c>
      <x:c r="P40" s="25" t="n">
        <x:f>G40*M40</x:f>
        <x:v>1.785</x:v>
      </x:c>
      <x:c r="Q40" s="25" t="n">
        <x:f>K40*M40+N40</x:f>
        <x:v>2.1</x:v>
      </x:c>
      <x:c r="R40" s="18" t="n">
        <x:f>K40-G40</x:f>
        <x:v>75</x:v>
      </x:c>
      <x:c r="S40" s="18" t="n">
        <x:f>INDEX('Dated offers'!$H$7:$H$305,MATCH($Z40,'Dated offers'!$A$7:$A$305,0))</x:f>
        <x:v>49900</x:v>
      </x:c>
      <x:c r="T40" s="2" t="str">
        <x:f>IF(K40&lt;G40,"Order below requirement",IF(K40&lt;L40,"Below price tier",IF(ISNUMBER(S40),IF(K40&gt;S40,"Quantity exceeds snapshot","Within quantity snapshot"),"Stock not stated")))</x:f>
        <x:v>Within quantity snapshot</x:v>
      </x:c>
      <x:c r="U40" s="2" t="str">
        <x:f>INDEX('Dated offers'!$C$7:$C$305,MATCH($Z40,'Dated offers'!$A$7:$A$305,0))</x:f>
        <x:v>LCSC</x:v>
      </x:c>
      <x:c r="V40" s="2" t="str">
        <x:f>INDEX('Dated offers'!$D$7:$D$305,MATCH($Z40,'Dated offers'!$A$7:$A$305,0))</x:f>
        <x:v>C481918</x:v>
      </x:c>
      <x:c r="W40" s="24" t="n">
        <x:f>INDEX('Dated offers'!$E$7:$E$305,MATCH($Z40,'Dated offers'!$A$7:$A$305,0))</x:f>
        <x:v>46307.44741224537</x:v>
      </x:c>
      <x:c r="X40" s="2" t="b">
        <x:f>INDEX('Dated offers'!$N$7:$N$305,MATCH($Z40,'Dated offers'!$A$7:$A$305,0))</x:f>
        <x:v>0</x:v>
      </x:c>
      <x:c r="Y40" s="2" t="str">
        <x:f>INDEX('Dated offers'!$O$7:$O$305,MATCH($Z40,'Dated offers'!$A$7:$A$305,0))</x:f>
        <x:v>Unreserved inventory snapshot</x:v>
      </x:c>
      <x:c r="Z40" s="17" t="str">
        <x:v>OF0034</x:v>
      </x:c>
      <x:c r="AA40" s="2"/>
      <x:c r="AB40" s="2" t="str">
        <x:f>INDEX('Dated offers'!$Q$7:$Q$305,MATCH($Z40,'Dated offers'!$A$7:$A$305,0))</x:f>
        <x:v>https://www.lcsc.com/product-detail/C481918.html</x:v>
      </x:c>
    </x:row>
    <x:row r="41" ht="24" customHeight="1">
      <x:c r="A41" s="2" t="str">
        <x:v>25 boards / nominal</x:v>
      </x:c>
      <x:c r="B41" s="17" t="str">
        <x:v>CRCW0402100RFKED</x:v>
      </x:c>
      <x:c r="C41" s="18" t="n">
        <x:v>25</x:v>
      </x:c>
      <x:c r="D41" s="27" t="n">
        <x:v>0</x:v>
      </x:c>
      <x:c r="E41" s="18" t="n">
        <x:f>INDEX('Assembly BOM'!$C$7:$C$162,MATCH($B41,'Assembly BOM'!$A$7:$A$162,0))</x:f>
        <x:v>4</x:v>
      </x:c>
      <x:c r="F41" s="18" t="n">
        <x:f>C41*E41</x:f>
        <x:v>100</x:v>
      </x:c>
      <x:c r="G41" s="18" t="n">
        <x:f>ROUNDUP(F41*(1+D41),0)</x:f>
        <x:v>100</x:v>
      </x:c>
      <x:c r="H41" s="18" t="n">
        <x:f>INDEX('Dated offers'!$F$7:$F$305,MATCH($Z41,'Dated offers'!$A$7:$A$305,0))</x:f>
        <x:v>1</x:v>
      </x:c>
      <x:c r="I41" s="18" t="n">
        <x:f>INDEX('Dated offers'!$G$7:$G$305,MATCH($Z41,'Dated offers'!$A$7:$A$305,0))</x:f>
        <x:v>1</x:v>
      </x:c>
      <x:c r="J41" s="18" t="n">
        <x:f>CEILING(MAX(G41,H41),I41)</x:f>
        <x:v>100</x:v>
      </x:c>
      <x:c r="K41" s="18" t="n">
        <x:v>100</x:v>
      </x:c>
      <x:c r="L41" s="18" t="n">
        <x:f>INDEX('Dated offers'!$I$7:$I$305,MATCH($Z41,'Dated offers'!$A$7:$A$305,0))</x:f>
        <x:v>100</x:v>
      </x:c>
      <x:c r="M41" s="25" t="n">
        <x:f>INDEX('Dated offers'!$J$7:$J$305,MATCH($Z41,'Dated offers'!$A$7:$A$305,0))</x:f>
        <x:v>0.0157</x:v>
      </x:c>
      <x:c r="N41" s="25" t="n">
        <x:f>INDEX('Dated offers'!$K$7:$K$305,MATCH($Z41,'Dated offers'!$A$7:$A$305,0))</x:f>
        <x:v>0</x:v>
      </x:c>
      <x:c r="O41" s="25" t="n">
        <x:f>F41*M41</x:f>
        <x:v>1.5699999999999998</x:v>
      </x:c>
      <x:c r="P41" s="25" t="n">
        <x:f>G41*M41</x:f>
        <x:v>1.5699999999999998</x:v>
      </x:c>
      <x:c r="Q41" s="25" t="n">
        <x:f>K41*M41+N41</x:f>
        <x:v>1.5699999999999998</x:v>
      </x:c>
      <x:c r="R41" s="18" t="n">
        <x:f>K41-G41</x:f>
        <x:v>0</x:v>
      </x:c>
      <x:c r="S41" s="18" t="n">
        <x:f>INDEX('Dated offers'!$H$7:$H$305,MATCH($Z41,'Dated offers'!$A$7:$A$305,0))</x:f>
        <x:v>2318138</x:v>
      </x:c>
      <x:c r="T41" s="2" t="str">
        <x:f>IF(K41&lt;G41,"Order below requirement",IF(K41&lt;L41,"Below price tier",IF(ISNUMBER(S41),IF(K41&gt;S41,"Quantity exceeds snapshot","Within quantity snapshot"),"Stock not stated")))</x:f>
        <x:v>Within quantity snapshot</x:v>
      </x:c>
      <x:c r="U41" s="2" t="str">
        <x:f>INDEX('Dated offers'!$C$7:$C$305,MATCH($Z41,'Dated offers'!$A$7:$A$305,0))</x:f>
        <x:v>DigiKey</x:v>
      </x:c>
      <x:c r="V41" s="2" t="str">
        <x:f>INDEX('Dated offers'!$D$7:$D$305,MATCH($Z41,'Dated offers'!$A$7:$A$305,0))</x:f>
        <x:v>Not stated</x:v>
      </x:c>
      <x:c r="W41" s="24" t="n">
        <x:f>INDEX('Dated offers'!$E$7:$E$305,MATCH($Z41,'Dated offers'!$A$7:$A$305,0))</x:f>
        <x:v>46307.47807262732</x:v>
      </x:c>
      <x:c r="X41" s="2" t="b">
        <x:f>INDEX('Dated offers'!$N$7:$N$305,MATCH($Z41,'Dated offers'!$A$7:$A$305,0))</x:f>
        <x:v>0</x:v>
      </x:c>
      <x:c r="Y41" s="2" t="str">
        <x:f>INDEX('Dated offers'!$O$7:$O$305,MATCH($Z41,'Dated offers'!$A$7:$A$305,0))</x:f>
        <x:v>Unreserved inventory snapshot</x:v>
      </x:c>
      <x:c r="Z41" s="17" t="str">
        <x:v>OF0035</x:v>
      </x:c>
      <x:c r="AA41" s="2"/>
      <x:c r="AB41" s="2" t="str">
        <x:f>INDEX('Dated offers'!$Q$7:$Q$305,MATCH($Z41,'Dated offers'!$A$7:$A$305,0))</x:f>
        <x:v>https://www.digikey.com/en/products/detail/vishay-dale/CRCW0402100RFKED/1177893</x:v>
      </x:c>
    </x:row>
    <x:row r="42" ht="24" customHeight="1">
      <x:c r="A42" s="2" t="str">
        <x:v>25 boards / nominal</x:v>
      </x:c>
      <x:c r="B42" s="17" t="str">
        <x:v>CRCW040210K0FKED</x:v>
      </x:c>
      <x:c r="C42" s="18" t="n">
        <x:v>25</x:v>
      </x:c>
      <x:c r="D42" s="27" t="n">
        <x:v>0</x:v>
      </x:c>
      <x:c r="E42" s="18" t="n">
        <x:f>INDEX('Assembly BOM'!$C$7:$C$162,MATCH($B42,'Assembly BOM'!$A$7:$A$162,0))</x:f>
        <x:v>27</x:v>
      </x:c>
      <x:c r="F42" s="18" t="n">
        <x:f>C42*E42</x:f>
        <x:v>675</x:v>
      </x:c>
      <x:c r="G42" s="18" t="n">
        <x:f>ROUNDUP(F42*(1+D42),0)</x:f>
        <x:v>675</x:v>
      </x:c>
      <x:c r="H42" s="18" t="n">
        <x:f>INDEX('Dated offers'!$F$7:$F$305,MATCH($Z42,'Dated offers'!$A$7:$A$305,0))</x:f>
        <x:v>10</x:v>
      </x:c>
      <x:c r="I42" s="18" t="n">
        <x:f>INDEX('Dated offers'!$G$7:$G$305,MATCH($Z42,'Dated offers'!$A$7:$A$305,0))</x:f>
        <x:v>10</x:v>
      </x:c>
      <x:c r="J42" s="18" t="n">
        <x:f>CEILING(MAX(G42,H42),I42)</x:f>
        <x:v>680</x:v>
      </x:c>
      <x:c r="K42" s="18" t="n">
        <x:v>680</x:v>
      </x:c>
      <x:c r="L42" s="18" t="n">
        <x:f>INDEX('Dated offers'!$I$7:$I$305,MATCH($Z42,'Dated offers'!$A$7:$A$305,0))</x:f>
        <x:v>300</x:v>
      </x:c>
      <x:c r="M42" s="25" t="n">
        <x:f>INDEX('Dated offers'!$J$7:$J$305,MATCH($Z42,'Dated offers'!$A$7:$A$305,0))</x:f>
        <x:v>0.0022</x:v>
      </x:c>
      <x:c r="N42" s="25" t="n">
        <x:f>INDEX('Dated offers'!$K$7:$K$305,MATCH($Z42,'Dated offers'!$A$7:$A$305,0))</x:f>
        <x:v>0</x:v>
      </x:c>
      <x:c r="O42" s="25" t="n">
        <x:f>F42*M42</x:f>
        <x:v>1.485</x:v>
      </x:c>
      <x:c r="P42" s="25" t="n">
        <x:f>G42*M42</x:f>
        <x:v>1.485</x:v>
      </x:c>
      <x:c r="Q42" s="25" t="n">
        <x:f>K42*M42+N42</x:f>
        <x:v>1.496</x:v>
      </x:c>
      <x:c r="R42" s="18" t="n">
        <x:f>K42-G42</x:f>
        <x:v>5</x:v>
      </x:c>
      <x:c r="S42" s="18" t="n">
        <x:f>INDEX('Dated offers'!$H$7:$H$305,MATCH($Z42,'Dated offers'!$A$7:$A$305,0))</x:f>
        <x:v>499990</x:v>
      </x:c>
      <x:c r="T42" s="2" t="str">
        <x:f>IF(K42&lt;G42,"Order below requirement",IF(K42&lt;L42,"Below price tier",IF(ISNUMBER(S42),IF(K42&gt;S42,"Quantity exceeds snapshot","Within quantity snapshot"),"Stock not stated")))</x:f>
        <x:v>Within quantity snapshot</x:v>
      </x:c>
      <x:c r="U42" s="2" t="str">
        <x:f>INDEX('Dated offers'!$C$7:$C$305,MATCH($Z42,'Dated offers'!$A$7:$A$305,0))</x:f>
        <x:v>LCSC</x:v>
      </x:c>
      <x:c r="V42" s="2" t="str">
        <x:f>INDEX('Dated offers'!$D$7:$D$305,MATCH($Z42,'Dated offers'!$A$7:$A$305,0))</x:f>
        <x:v>C71617</x:v>
      </x:c>
      <x:c r="W42" s="24" t="n">
        <x:f>INDEX('Dated offers'!$E$7:$E$305,MATCH($Z42,'Dated offers'!$A$7:$A$305,0))</x:f>
        <x:v>46307.44741956019</x:v>
      </x:c>
      <x:c r="X42" s="2" t="b">
        <x:f>INDEX('Dated offers'!$N$7:$N$305,MATCH($Z42,'Dated offers'!$A$7:$A$305,0))</x:f>
        <x:v>0</x:v>
      </x:c>
      <x:c r="Y42" s="2" t="str">
        <x:f>INDEX('Dated offers'!$O$7:$O$305,MATCH($Z42,'Dated offers'!$A$7:$A$305,0))</x:f>
        <x:v>Unreserved inventory snapshot</x:v>
      </x:c>
      <x:c r="Z42" s="17" t="str">
        <x:v>OF0036</x:v>
      </x:c>
      <x:c r="AA42" s="2"/>
      <x:c r="AB42" s="2" t="str">
        <x:f>INDEX('Dated offers'!$Q$7:$Q$305,MATCH($Z42,'Dated offers'!$A$7:$A$305,0))</x:f>
        <x:v>https://www.lcsc.com/product-detail/C71617.html</x:v>
      </x:c>
    </x:row>
    <x:row r="43" ht="24" customHeight="1">
      <x:c r="A43" s="2" t="str">
        <x:v>25 boards / nominal</x:v>
      </x:c>
      <x:c r="B43" s="17" t="str">
        <x:v>CRCW0402150KFKED</x:v>
      </x:c>
      <x:c r="C43" s="18" t="n">
        <x:v>25</x:v>
      </x:c>
      <x:c r="D43" s="27" t="n">
        <x:v>0</x:v>
      </x:c>
      <x:c r="E43" s="18" t="n">
        <x:f>INDEX('Assembly BOM'!$C$7:$C$162,MATCH($B43,'Assembly BOM'!$A$7:$A$162,0))</x:f>
        <x:v>1</x:v>
      </x:c>
      <x:c r="F43" s="18" t="n">
        <x:f>C43*E43</x:f>
        <x:v>25</x:v>
      </x:c>
      <x:c r="G43" s="18" t="n">
        <x:f>ROUNDUP(F43*(1+D43),0)</x:f>
        <x:v>25</x:v>
      </x:c>
      <x:c r="H43" s="18" t="n">
        <x:f>INDEX('Dated offers'!$F$7:$F$305,MATCH($Z43,'Dated offers'!$A$7:$A$305,0))</x:f>
        <x:v>1</x:v>
      </x:c>
      <x:c r="I43" s="18" t="n">
        <x:f>INDEX('Dated offers'!$G$7:$G$305,MATCH($Z43,'Dated offers'!$A$7:$A$305,0))</x:f>
        <x:v>1</x:v>
      </x:c>
      <x:c r="J43" s="18" t="n">
        <x:f>CEILING(MAX(G43,H43),I43)</x:f>
        <x:v>25</x:v>
      </x:c>
      <x:c r="K43" s="18" t="n">
        <x:v>25</x:v>
      </x:c>
      <x:c r="L43" s="18" t="n">
        <x:f>INDEX('Dated offers'!$I$7:$I$305,MATCH($Z43,'Dated offers'!$A$7:$A$305,0))</x:f>
        <x:v>25</x:v>
      </x:c>
      <x:c r="M43" s="25" t="n">
        <x:f>INDEX('Dated offers'!$J$7:$J$305,MATCH($Z43,'Dated offers'!$A$7:$A$305,0))</x:f>
        <x:v>0.0236</x:v>
      </x:c>
      <x:c r="N43" s="25" t="n">
        <x:f>INDEX('Dated offers'!$K$7:$K$305,MATCH($Z43,'Dated offers'!$A$7:$A$305,0))</x:f>
        <x:v>0</x:v>
      </x:c>
      <x:c r="O43" s="25" t="n">
        <x:f>F43*M43</x:f>
        <x:v>0.59</x:v>
      </x:c>
      <x:c r="P43" s="25" t="n">
        <x:f>G43*M43</x:f>
        <x:v>0.59</x:v>
      </x:c>
      <x:c r="Q43" s="25" t="n">
        <x:f>K43*M43+N43</x:f>
        <x:v>0.59</x:v>
      </x:c>
      <x:c r="R43" s="18" t="n">
        <x:f>K43-G43</x:f>
        <x:v>0</x:v>
      </x:c>
      <x:c r="S43" s="18" t="n">
        <x:f>INDEX('Dated offers'!$H$7:$H$305,MATCH($Z43,'Dated offers'!$A$7:$A$305,0))</x:f>
        <x:v>198771</x:v>
      </x:c>
      <x:c r="T43" s="2" t="str">
        <x:f>IF(K43&lt;G43,"Order below requirement",IF(K43&lt;L43,"Below price tier",IF(ISNUMBER(S43),IF(K43&gt;S43,"Quantity exceeds snapshot","Within quantity snapshot"),"Stock not stated")))</x:f>
        <x:v>Within quantity snapshot</x:v>
      </x:c>
      <x:c r="U43" s="2" t="str">
        <x:f>INDEX('Dated offers'!$C$7:$C$305,MATCH($Z43,'Dated offers'!$A$7:$A$305,0))</x:f>
        <x:v>DigiKey</x:v>
      </x:c>
      <x:c r="V43" s="2" t="str">
        <x:f>INDEX('Dated offers'!$D$7:$D$305,MATCH($Z43,'Dated offers'!$A$7:$A$305,0))</x:f>
        <x:v>Not stated</x:v>
      </x:c>
      <x:c r="W43" s="24" t="n">
        <x:f>INDEX('Dated offers'!$E$7:$E$305,MATCH($Z43,'Dated offers'!$A$7:$A$305,0))</x:f>
        <x:v>46307.478072604164</x:v>
      </x:c>
      <x:c r="X43" s="2" t="b">
        <x:f>INDEX('Dated offers'!$N$7:$N$305,MATCH($Z43,'Dated offers'!$A$7:$A$305,0))</x:f>
        <x:v>0</x:v>
      </x:c>
      <x:c r="Y43" s="2" t="str">
        <x:f>INDEX('Dated offers'!$O$7:$O$305,MATCH($Z43,'Dated offers'!$A$7:$A$305,0))</x:f>
        <x:v>Unreserved inventory snapshot</x:v>
      </x:c>
      <x:c r="Z43" s="17" t="str">
        <x:v>OF0037</x:v>
      </x:c>
      <x:c r="AA43" s="2"/>
      <x:c r="AB43" s="2" t="str">
        <x:f>INDEX('Dated offers'!$Q$7:$Q$305,MATCH($Z43,'Dated offers'!$A$7:$A$305,0))</x:f>
        <x:v>https://www.digikey.com/en/products/detail/vishay-dale/CRCW0402150KFKED/1178253</x:v>
      </x:c>
    </x:row>
    <x:row r="44" ht="24" customHeight="1">
      <x:c r="A44" s="2" t="str">
        <x:v>25 boards / nominal</x:v>
      </x:c>
      <x:c r="B44" s="17" t="str">
        <x:v>CRCW0402150RFKED</x:v>
      </x:c>
      <x:c r="C44" s="18" t="n">
        <x:v>25</x:v>
      </x:c>
      <x:c r="D44" s="27" t="n">
        <x:v>0</x:v>
      </x:c>
      <x:c r="E44" s="18" t="n">
        <x:f>INDEX('Assembly BOM'!$C$7:$C$162,MATCH($B44,'Assembly BOM'!$A$7:$A$162,0))</x:f>
        <x:v>1</x:v>
      </x:c>
      <x:c r="F44" s="18" t="n">
        <x:f>C44*E44</x:f>
        <x:v>25</x:v>
      </x:c>
      <x:c r="G44" s="18" t="n">
        <x:f>ROUNDUP(F44*(1+D44),0)</x:f>
        <x:v>25</x:v>
      </x:c>
      <x:c r="H44" s="18" t="n">
        <x:f>INDEX('Dated offers'!$F$7:$F$305,MATCH($Z44,'Dated offers'!$A$7:$A$305,0))</x:f>
        <x:v>1</x:v>
      </x:c>
      <x:c r="I44" s="18" t="n">
        <x:f>INDEX('Dated offers'!$G$7:$G$305,MATCH($Z44,'Dated offers'!$A$7:$A$305,0))</x:f>
        <x:v>1</x:v>
      </x:c>
      <x:c r="J44" s="18" t="n">
        <x:f>CEILING(MAX(G44,H44),I44)</x:f>
        <x:v>25</x:v>
      </x:c>
      <x:c r="K44" s="18" t="n">
        <x:v>25</x:v>
      </x:c>
      <x:c r="L44" s="18" t="n">
        <x:f>INDEX('Dated offers'!$I$7:$I$305,MATCH($Z44,'Dated offers'!$A$7:$A$305,0))</x:f>
        <x:v>25</x:v>
      </x:c>
      <x:c r="M44" s="25" t="n">
        <x:f>INDEX('Dated offers'!$J$7:$J$305,MATCH($Z44,'Dated offers'!$A$7:$A$305,0))</x:f>
        <x:v>0.0236</x:v>
      </x:c>
      <x:c r="N44" s="25" t="n">
        <x:f>INDEX('Dated offers'!$K$7:$K$305,MATCH($Z44,'Dated offers'!$A$7:$A$305,0))</x:f>
        <x:v>0</x:v>
      </x:c>
      <x:c r="O44" s="25" t="n">
        <x:f>F44*M44</x:f>
        <x:v>0.59</x:v>
      </x:c>
      <x:c r="P44" s="25" t="n">
        <x:f>G44*M44</x:f>
        <x:v>0.59</x:v>
      </x:c>
      <x:c r="Q44" s="25" t="n">
        <x:f>K44*M44+N44</x:f>
        <x:v>0.59</x:v>
      </x:c>
      <x:c r="R44" s="18" t="n">
        <x:f>K44-G44</x:f>
        <x:v>0</x:v>
      </x:c>
      <x:c r="S44" s="18" t="n">
        <x:f>INDEX('Dated offers'!$H$7:$H$305,MATCH($Z44,'Dated offers'!$A$7:$A$305,0))</x:f>
        <x:v>85136</x:v>
      </x:c>
      <x:c r="T44" s="2" t="str">
        <x:f>IF(K44&lt;G44,"Order below requirement",IF(K44&lt;L44,"Below price tier",IF(ISNUMBER(S44),IF(K44&gt;S44,"Quantity exceeds snapshot","Within quantity snapshot"),"Stock not stated")))</x:f>
        <x:v>Within quantity snapshot</x:v>
      </x:c>
      <x:c r="U44" s="2" t="str">
        <x:f>INDEX('Dated offers'!$C$7:$C$305,MATCH($Z44,'Dated offers'!$A$7:$A$305,0))</x:f>
        <x:v>DigiKey</x:v>
      </x:c>
      <x:c r="V44" s="2" t="str">
        <x:f>INDEX('Dated offers'!$D$7:$D$305,MATCH($Z44,'Dated offers'!$A$7:$A$305,0))</x:f>
        <x:v>Not stated</x:v>
      </x:c>
      <x:c r="W44" s="24" t="n">
        <x:f>INDEX('Dated offers'!$E$7:$E$305,MATCH($Z44,'Dated offers'!$A$7:$A$305,0))</x:f>
        <x:v>46307.478072604164</x:v>
      </x:c>
      <x:c r="X44" s="2" t="b">
        <x:f>INDEX('Dated offers'!$N$7:$N$305,MATCH($Z44,'Dated offers'!$A$7:$A$305,0))</x:f>
        <x:v>0</x:v>
      </x:c>
      <x:c r="Y44" s="2" t="str">
        <x:f>INDEX('Dated offers'!$O$7:$O$305,MATCH($Z44,'Dated offers'!$A$7:$A$305,0))</x:f>
        <x:v>Unreserved inventory snapshot</x:v>
      </x:c>
      <x:c r="Z44" s="17" t="str">
        <x:v>OF0038</x:v>
      </x:c>
      <x:c r="AA44" s="2"/>
      <x:c r="AB44" s="2" t="str">
        <x:f>INDEX('Dated offers'!$Q$7:$Q$305,MATCH($Z44,'Dated offers'!$A$7:$A$305,0))</x:f>
        <x:v>https://www.digikey.com/en/products/detail/vishay-dale/CRCW0402150RFKED/1177911</x:v>
      </x:c>
    </x:row>
    <x:row r="45" ht="24" customHeight="1">
      <x:c r="A45" s="2" t="str">
        <x:v>25 boards / nominal</x:v>
      </x:c>
      <x:c r="B45" s="17" t="str">
        <x:v>CRCW040215K0FKED</x:v>
      </x:c>
      <x:c r="C45" s="18" t="n">
        <x:v>25</x:v>
      </x:c>
      <x:c r="D45" s="27" t="n">
        <x:v>0</x:v>
      </x:c>
      <x:c r="E45" s="18" t="n">
        <x:f>INDEX('Assembly BOM'!$C$7:$C$162,MATCH($B45,'Assembly BOM'!$A$7:$A$162,0))</x:f>
        <x:v>1</x:v>
      </x:c>
      <x:c r="F45" s="18" t="n">
        <x:f>C45*E45</x:f>
        <x:v>25</x:v>
      </x:c>
      <x:c r="G45" s="18" t="n">
        <x:f>ROUNDUP(F45*(1+D45),0)</x:f>
        <x:v>25</x:v>
      </x:c>
      <x:c r="H45" s="18" t="n">
        <x:f>INDEX('Dated offers'!$F$7:$F$305,MATCH($Z45,'Dated offers'!$A$7:$A$305,0))</x:f>
        <x:v>1</x:v>
      </x:c>
      <x:c r="I45" s="18" t="n">
        <x:f>INDEX('Dated offers'!$G$7:$G$305,MATCH($Z45,'Dated offers'!$A$7:$A$305,0))</x:f>
        <x:v>1</x:v>
      </x:c>
      <x:c r="J45" s="18" t="n">
        <x:f>CEILING(MAX(G45,H45),I45)</x:f>
        <x:v>25</x:v>
      </x:c>
      <x:c r="K45" s="18" t="n">
        <x:v>25</x:v>
      </x:c>
      <x:c r="L45" s="18" t="n">
        <x:f>INDEX('Dated offers'!$I$7:$I$305,MATCH($Z45,'Dated offers'!$A$7:$A$305,0))</x:f>
        <x:v>25</x:v>
      </x:c>
      <x:c r="M45" s="25" t="n">
        <x:f>INDEX('Dated offers'!$J$7:$J$305,MATCH($Z45,'Dated offers'!$A$7:$A$305,0))</x:f>
        <x:v>0.0236</x:v>
      </x:c>
      <x:c r="N45" s="25" t="n">
        <x:f>INDEX('Dated offers'!$K$7:$K$305,MATCH($Z45,'Dated offers'!$A$7:$A$305,0))</x:f>
        <x:v>0</x:v>
      </x:c>
      <x:c r="O45" s="25" t="n">
        <x:f>F45*M45</x:f>
        <x:v>0.59</x:v>
      </x:c>
      <x:c r="P45" s="25" t="n">
        <x:f>G45*M45</x:f>
        <x:v>0.59</x:v>
      </x:c>
      <x:c r="Q45" s="25" t="n">
        <x:f>K45*M45+N45</x:f>
        <x:v>0.59</x:v>
      </x:c>
      <x:c r="R45" s="18" t="n">
        <x:f>K45-G45</x:f>
        <x:v>0</x:v>
      </x:c>
      <x:c r="S45" s="18" t="n">
        <x:f>INDEX('Dated offers'!$H$7:$H$305,MATCH($Z45,'Dated offers'!$A$7:$A$305,0))</x:f>
        <x:v>515721</x:v>
      </x:c>
      <x:c r="T45" s="2" t="str">
        <x:f>IF(K45&lt;G45,"Order below requirement",IF(K45&lt;L45,"Below price tier",IF(ISNUMBER(S45),IF(K45&gt;S45,"Quantity exceeds snapshot","Within quantity snapshot"),"Stock not stated")))</x:f>
        <x:v>Within quantity snapshot</x:v>
      </x:c>
      <x:c r="U45" s="2" t="str">
        <x:f>INDEX('Dated offers'!$C$7:$C$305,MATCH($Z45,'Dated offers'!$A$7:$A$305,0))</x:f>
        <x:v>DigiKey</x:v>
      </x:c>
      <x:c r="V45" s="2" t="str">
        <x:f>INDEX('Dated offers'!$D$7:$D$305,MATCH($Z45,'Dated offers'!$A$7:$A$305,0))</x:f>
        <x:v>Not stated</x:v>
      </x:c>
      <x:c r="W45" s="24" t="n">
        <x:f>INDEX('Dated offers'!$E$7:$E$305,MATCH($Z45,'Dated offers'!$A$7:$A$305,0))</x:f>
        <x:v>46307.478072604164</x:v>
      </x:c>
      <x:c r="X45" s="2" t="b">
        <x:f>INDEX('Dated offers'!$N$7:$N$305,MATCH($Z45,'Dated offers'!$A$7:$A$305,0))</x:f>
        <x:v>0</x:v>
      </x:c>
      <x:c r="Y45" s="2" t="str">
        <x:f>INDEX('Dated offers'!$O$7:$O$305,MATCH($Z45,'Dated offers'!$A$7:$A$305,0))</x:f>
        <x:v>Unreserved inventory snapshot</x:v>
      </x:c>
      <x:c r="Z45" s="17" t="str">
        <x:v>OF0039</x:v>
      </x:c>
      <x:c r="AA45" s="2"/>
      <x:c r="AB45" s="2" t="str">
        <x:f>INDEX('Dated offers'!$Q$7:$Q$305,MATCH($Z45,'Dated offers'!$A$7:$A$305,0))</x:f>
        <x:v>https://www.digikey.com/en/products/detail/vishay-dale/CRCW040215K0FKED/1178139</x:v>
      </x:c>
    </x:row>
    <x:row r="46" ht="24" customHeight="1">
      <x:c r="A46" s="2" t="str">
        <x:v>25 boards / nominal</x:v>
      </x:c>
      <x:c r="B46" s="17" t="str">
        <x:v>CRCW040218K2FKED</x:v>
      </x:c>
      <x:c r="C46" s="18" t="n">
        <x:v>25</x:v>
      </x:c>
      <x:c r="D46" s="27" t="n">
        <x:v>0</x:v>
      </x:c>
      <x:c r="E46" s="18" t="n">
        <x:f>INDEX('Assembly BOM'!$C$7:$C$162,MATCH($B46,'Assembly BOM'!$A$7:$A$162,0))</x:f>
        <x:v>2</x:v>
      </x:c>
      <x:c r="F46" s="18" t="n">
        <x:f>C46*E46</x:f>
        <x:v>50</x:v>
      </x:c>
      <x:c r="G46" s="18" t="n">
        <x:f>ROUNDUP(F46*(1+D46),0)</x:f>
        <x:v>50</x:v>
      </x:c>
      <x:c r="H46" s="18" t="n">
        <x:f>INDEX('Dated offers'!$F$7:$F$305,MATCH($Z46,'Dated offers'!$A$7:$A$305,0))</x:f>
        <x:v>1</x:v>
      </x:c>
      <x:c r="I46" s="18" t="n">
        <x:f>INDEX('Dated offers'!$G$7:$G$305,MATCH($Z46,'Dated offers'!$A$7:$A$305,0))</x:f>
        <x:v>1</x:v>
      </x:c>
      <x:c r="J46" s="18" t="n">
        <x:f>CEILING(MAX(G46,H46),I46)</x:f>
        <x:v>50</x:v>
      </x:c>
      <x:c r="K46" s="18" t="n">
        <x:v>50</x:v>
      </x:c>
      <x:c r="L46" s="18" t="n">
        <x:f>INDEX('Dated offers'!$I$7:$I$305,MATCH($Z46,'Dated offers'!$A$7:$A$305,0))</x:f>
        <x:v>50</x:v>
      </x:c>
      <x:c r="M46" s="25" t="n">
        <x:f>INDEX('Dated offers'!$J$7:$J$305,MATCH($Z46,'Dated offers'!$A$7:$A$305,0))</x:f>
        <x:v>0.0192</x:v>
      </x:c>
      <x:c r="N46" s="25" t="n">
        <x:f>INDEX('Dated offers'!$K$7:$K$305,MATCH($Z46,'Dated offers'!$A$7:$A$305,0))</x:f>
        <x:v>0</x:v>
      </x:c>
      <x:c r="O46" s="25" t="n">
        <x:f>F46*M46</x:f>
        <x:v>0.96</x:v>
      </x:c>
      <x:c r="P46" s="25" t="n">
        <x:f>G46*M46</x:f>
        <x:v>0.96</x:v>
      </x:c>
      <x:c r="Q46" s="25" t="n">
        <x:f>K46*M46+N46</x:f>
        <x:v>0.96</x:v>
      </x:c>
      <x:c r="R46" s="18" t="n">
        <x:f>K46-G46</x:f>
        <x:v>0</x:v>
      </x:c>
      <x:c r="S46" s="18" t="n">
        <x:f>INDEX('Dated offers'!$H$7:$H$305,MATCH($Z46,'Dated offers'!$A$7:$A$305,0))</x:f>
        <x:v>140682</x:v>
      </x:c>
      <x:c r="T46" s="2" t="str">
        <x:f>IF(K46&lt;G46,"Order below requirement",IF(K46&lt;L46,"Below price tier",IF(ISNUMBER(S46),IF(K46&gt;S46,"Quantity exceeds snapshot","Within quantity snapshot"),"Stock not stated")))</x:f>
        <x:v>Within quantity snapshot</x:v>
      </x:c>
      <x:c r="U46" s="2" t="str">
        <x:f>INDEX('Dated offers'!$C$7:$C$305,MATCH($Z46,'Dated offers'!$A$7:$A$305,0))</x:f>
        <x:v>DigiKey</x:v>
      </x:c>
      <x:c r="V46" s="2" t="str">
        <x:f>INDEX('Dated offers'!$D$7:$D$305,MATCH($Z46,'Dated offers'!$A$7:$A$305,0))</x:f>
        <x:v>Not stated</x:v>
      </x:c>
      <x:c r="W46" s="24" t="n">
        <x:f>INDEX('Dated offers'!$E$7:$E$305,MATCH($Z46,'Dated offers'!$A$7:$A$305,0))</x:f>
        <x:v>46307.478072604164</x:v>
      </x:c>
      <x:c r="X46" s="2" t="b">
        <x:f>INDEX('Dated offers'!$N$7:$N$305,MATCH($Z46,'Dated offers'!$A$7:$A$305,0))</x:f>
        <x:v>0</x:v>
      </x:c>
      <x:c r="Y46" s="2" t="str">
        <x:f>INDEX('Dated offers'!$O$7:$O$305,MATCH($Z46,'Dated offers'!$A$7:$A$305,0))</x:f>
        <x:v>Unreserved inventory snapshot</x:v>
      </x:c>
      <x:c r="Z46" s="17" t="str">
        <x:v>OF0040</x:v>
      </x:c>
      <x:c r="AA46" s="2"/>
      <x:c r="AB46" s="2" t="str">
        <x:f>INDEX('Dated offers'!$Q$7:$Q$305,MATCH($Z46,'Dated offers'!$A$7:$A$305,0))</x:f>
        <x:v>https://www.digikey.com/en/products/detail/vishay-dale/CRCW040218K2FKED/1183265</x:v>
      </x:c>
    </x:row>
    <x:row r="47" ht="24" customHeight="1">
      <x:c r="A47" s="2" t="str">
        <x:v>25 boards / nominal</x:v>
      </x:c>
      <x:c r="B47" s="17" t="str">
        <x:v>CRCW04021K00FKED</x:v>
      </x:c>
      <x:c r="C47" s="18" t="n">
        <x:v>25</x:v>
      </x:c>
      <x:c r="D47" s="27" t="n">
        <x:v>0</x:v>
      </x:c>
      <x:c r="E47" s="18" t="n">
        <x:f>INDEX('Assembly BOM'!$C$7:$C$162,MATCH($B47,'Assembly BOM'!$A$7:$A$162,0))</x:f>
        <x:v>11</x:v>
      </x:c>
      <x:c r="F47" s="18" t="n">
        <x:f>C47*E47</x:f>
        <x:v>275</x:v>
      </x:c>
      <x:c r="G47" s="18" t="n">
        <x:f>ROUNDUP(F47*(1+D47),0)</x:f>
        <x:v>275</x:v>
      </x:c>
      <x:c r="H47" s="18" t="n">
        <x:f>INDEX('Dated offers'!$F$7:$F$305,MATCH($Z47,'Dated offers'!$A$7:$A$305,0))</x:f>
        <x:v>1</x:v>
      </x:c>
      <x:c r="I47" s="18" t="n">
        <x:f>INDEX('Dated offers'!$G$7:$G$305,MATCH($Z47,'Dated offers'!$A$7:$A$305,0))</x:f>
        <x:v>1</x:v>
      </x:c>
      <x:c r="J47" s="18" t="n">
        <x:f>CEILING(MAX(G47,H47),I47)</x:f>
        <x:v>275</x:v>
      </x:c>
      <x:c r="K47" s="18" t="n">
        <x:v>275</x:v>
      </x:c>
      <x:c r="L47" s="18" t="n">
        <x:f>INDEX('Dated offers'!$I$7:$I$305,MATCH($Z47,'Dated offers'!$A$7:$A$305,0))</x:f>
        <x:v>250</x:v>
      </x:c>
      <x:c r="M47" s="25" t="n">
        <x:f>INDEX('Dated offers'!$J$7:$J$305,MATCH($Z47,'Dated offers'!$A$7:$A$305,0))</x:f>
        <x:v>0.01228</x:v>
      </x:c>
      <x:c r="N47" s="25" t="n">
        <x:f>INDEX('Dated offers'!$K$7:$K$305,MATCH($Z47,'Dated offers'!$A$7:$A$305,0))</x:f>
        <x:v>0</x:v>
      </x:c>
      <x:c r="O47" s="25" t="n">
        <x:f>F47*M47</x:f>
        <x:v>3.377</x:v>
      </x:c>
      <x:c r="P47" s="25" t="n">
        <x:f>G47*M47</x:f>
        <x:v>3.377</x:v>
      </x:c>
      <x:c r="Q47" s="25" t="n">
        <x:f>K47*M47+N47</x:f>
        <x:v>3.377</x:v>
      </x:c>
      <x:c r="R47" s="18" t="n">
        <x:f>K47-G47</x:f>
        <x:v>0</x:v>
      </x:c>
      <x:c r="S47" s="18" t="n">
        <x:f>INDEX('Dated offers'!$H$7:$H$305,MATCH($Z47,'Dated offers'!$A$7:$A$305,0))</x:f>
        <x:v>4776908</x:v>
      </x:c>
      <x:c r="T47" s="2" t="str">
        <x:f>IF(K47&lt;G47,"Order below requirement",IF(K47&lt;L47,"Below price tier",IF(ISNUMBER(S47),IF(K47&gt;S47,"Quantity exceeds snapshot","Within quantity snapshot"),"Stock not stated")))</x:f>
        <x:v>Within quantity snapshot</x:v>
      </x:c>
      <x:c r="U47" s="2" t="str">
        <x:f>INDEX('Dated offers'!$C$7:$C$305,MATCH($Z47,'Dated offers'!$A$7:$A$305,0))</x:f>
        <x:v>DigiKey</x:v>
      </x:c>
      <x:c r="V47" s="2" t="str">
        <x:f>INDEX('Dated offers'!$D$7:$D$305,MATCH($Z47,'Dated offers'!$A$7:$A$305,0))</x:f>
        <x:v>Not stated</x:v>
      </x:c>
      <x:c r="W47" s="24" t="n">
        <x:f>INDEX('Dated offers'!$E$7:$E$305,MATCH($Z47,'Dated offers'!$A$7:$A$305,0))</x:f>
        <x:v>46307.47807265046</x:v>
      </x:c>
      <x:c r="X47" s="2" t="b">
        <x:f>INDEX('Dated offers'!$N$7:$N$305,MATCH($Z47,'Dated offers'!$A$7:$A$305,0))</x:f>
        <x:v>0</x:v>
      </x:c>
      <x:c r="Y47" s="2" t="str">
        <x:f>INDEX('Dated offers'!$O$7:$O$305,MATCH($Z47,'Dated offers'!$A$7:$A$305,0))</x:f>
        <x:v>Unreserved inventory snapshot</x:v>
      </x:c>
      <x:c r="Z47" s="17" t="str">
        <x:v>OF0041</x:v>
      </x:c>
      <x:c r="AA47" s="2"/>
      <x:c r="AB47" s="2" t="str">
        <x:f>INDEX('Dated offers'!$Q$7:$Q$305,MATCH($Z47,'Dated offers'!$A$7:$A$305,0))</x:f>
        <x:v>https://www.digikey.com/en/products/detail/vishay-dale/CRCW04021K00FKED/1178007</x:v>
      </x:c>
    </x:row>
    <x:row r="48" ht="24" customHeight="1">
      <x:c r="A48" s="2" t="str">
        <x:v>25 boards / nominal</x:v>
      </x:c>
      <x:c r="B48" s="17" t="str">
        <x:v>CRCW04021M00FKED</x:v>
      </x:c>
      <x:c r="C48" s="18" t="n">
        <x:v>25</x:v>
      </x:c>
      <x:c r="D48" s="27" t="n">
        <x:v>0</x:v>
      </x:c>
      <x:c r="E48" s="18" t="n">
        <x:f>INDEX('Assembly BOM'!$C$7:$C$162,MATCH($B48,'Assembly BOM'!$A$7:$A$162,0))</x:f>
        <x:v>2</x:v>
      </x:c>
      <x:c r="F48" s="18" t="n">
        <x:f>C48*E48</x:f>
        <x:v>50</x:v>
      </x:c>
      <x:c r="G48" s="18" t="n">
        <x:f>ROUNDUP(F48*(1+D48),0)</x:f>
        <x:v>50</x:v>
      </x:c>
      <x:c r="H48" s="18" t="n">
        <x:f>INDEX('Dated offers'!$F$7:$F$305,MATCH($Z48,'Dated offers'!$A$7:$A$305,0))</x:f>
        <x:v>1</x:v>
      </x:c>
      <x:c r="I48" s="18" t="n">
        <x:f>INDEX('Dated offers'!$G$7:$G$305,MATCH($Z48,'Dated offers'!$A$7:$A$305,0))</x:f>
        <x:v>1</x:v>
      </x:c>
      <x:c r="J48" s="18" t="n">
        <x:f>CEILING(MAX(G48,H48),I48)</x:f>
        <x:v>50</x:v>
      </x:c>
      <x:c r="K48" s="18" t="n">
        <x:v>50</x:v>
      </x:c>
      <x:c r="L48" s="18" t="n">
        <x:f>INDEX('Dated offers'!$I$7:$I$305,MATCH($Z48,'Dated offers'!$A$7:$A$305,0))</x:f>
        <x:v>50</x:v>
      </x:c>
      <x:c r="M48" s="25" t="n">
        <x:f>INDEX('Dated offers'!$J$7:$J$305,MATCH($Z48,'Dated offers'!$A$7:$A$305,0))</x:f>
        <x:v>0.0192</x:v>
      </x:c>
      <x:c r="N48" s="25" t="n">
        <x:f>INDEX('Dated offers'!$K$7:$K$305,MATCH($Z48,'Dated offers'!$A$7:$A$305,0))</x:f>
        <x:v>0</x:v>
      </x:c>
      <x:c r="O48" s="25" t="n">
        <x:f>F48*M48</x:f>
        <x:v>0.96</x:v>
      </x:c>
      <x:c r="P48" s="25" t="n">
        <x:f>G48*M48</x:f>
        <x:v>0.96</x:v>
      </x:c>
      <x:c r="Q48" s="25" t="n">
        <x:f>K48*M48+N48</x:f>
        <x:v>0.96</x:v>
      </x:c>
      <x:c r="R48" s="18" t="n">
        <x:f>K48-G48</x:f>
        <x:v>0</x:v>
      </x:c>
      <x:c r="S48" s="18" t="n">
        <x:f>INDEX('Dated offers'!$H$7:$H$305,MATCH($Z48,'Dated offers'!$A$7:$A$305,0))</x:f>
        <x:v>1403164</x:v>
      </x:c>
      <x:c r="T48" s="2" t="str">
        <x:f>IF(K48&lt;G48,"Order below requirement",IF(K48&lt;L48,"Below price tier",IF(ISNUMBER(S48),IF(K48&gt;S48,"Quantity exceeds snapshot","Within quantity snapshot"),"Stock not stated")))</x:f>
        <x:v>Within quantity snapshot</x:v>
      </x:c>
      <x:c r="U48" s="2" t="str">
        <x:f>INDEX('Dated offers'!$C$7:$C$305,MATCH($Z48,'Dated offers'!$A$7:$A$305,0))</x:f>
        <x:v>DigiKey</x:v>
      </x:c>
      <x:c r="V48" s="2" t="str">
        <x:f>INDEX('Dated offers'!$D$7:$D$305,MATCH($Z48,'Dated offers'!$A$7:$A$305,0))</x:f>
        <x:v>Not stated</x:v>
      </x:c>
      <x:c r="W48" s="24" t="n">
        <x:f>INDEX('Dated offers'!$E$7:$E$305,MATCH($Z48,'Dated offers'!$A$7:$A$305,0))</x:f>
        <x:v>46307.47807265046</x:v>
      </x:c>
      <x:c r="X48" s="2" t="b">
        <x:f>INDEX('Dated offers'!$N$7:$N$305,MATCH($Z48,'Dated offers'!$A$7:$A$305,0))</x:f>
        <x:v>0</x:v>
      </x:c>
      <x:c r="Y48" s="2" t="str">
        <x:f>INDEX('Dated offers'!$O$7:$O$305,MATCH($Z48,'Dated offers'!$A$7:$A$305,0))</x:f>
        <x:v>Unreserved inventory snapshot</x:v>
      </x:c>
      <x:c r="Z48" s="17" t="str">
        <x:v>OF0042</x:v>
      </x:c>
      <x:c r="AA48" s="2"/>
      <x:c r="AB48" s="2" t="str">
        <x:f>INDEX('Dated offers'!$Q$7:$Q$305,MATCH($Z48,'Dated offers'!$A$7:$A$305,0))</x:f>
        <x:v>https://www.digikey.com/en/products/detail/vishay-dale/CRCW04021M00FKED/1183465</x:v>
      </x:c>
    </x:row>
    <x:row r="49" ht="24" customHeight="1">
      <x:c r="A49" s="2" t="str">
        <x:v>25 boards / nominal</x:v>
      </x:c>
      <x:c r="B49" s="17" t="str">
        <x:v>CRCW040220K0FKED</x:v>
      </x:c>
      <x:c r="C49" s="18" t="n">
        <x:v>25</x:v>
      </x:c>
      <x:c r="D49" s="27" t="n">
        <x:v>0</x:v>
      </x:c>
      <x:c r="E49" s="18" t="n">
        <x:f>INDEX('Assembly BOM'!$C$7:$C$162,MATCH($B49,'Assembly BOM'!$A$7:$A$162,0))</x:f>
        <x:v>3</x:v>
      </x:c>
      <x:c r="F49" s="18" t="n">
        <x:f>C49*E49</x:f>
        <x:v>75</x:v>
      </x:c>
      <x:c r="G49" s="18" t="n">
        <x:f>ROUNDUP(F49*(1+D49),0)</x:f>
        <x:v>75</x:v>
      </x:c>
      <x:c r="H49" s="18" t="n">
        <x:f>INDEX('Dated offers'!$F$7:$F$305,MATCH($Z49,'Dated offers'!$A$7:$A$305,0))</x:f>
        <x:v>1</x:v>
      </x:c>
      <x:c r="I49" s="18" t="n">
        <x:f>INDEX('Dated offers'!$G$7:$G$305,MATCH($Z49,'Dated offers'!$A$7:$A$305,0))</x:f>
        <x:v>1</x:v>
      </x:c>
      <x:c r="J49" s="18" t="n">
        <x:f>CEILING(MAX(G49,H49),I49)</x:f>
        <x:v>75</x:v>
      </x:c>
      <x:c r="K49" s="18" t="n">
        <x:v>75</x:v>
      </x:c>
      <x:c r="L49" s="18" t="n">
        <x:f>INDEX('Dated offers'!$I$7:$I$305,MATCH($Z49,'Dated offers'!$A$7:$A$305,0))</x:f>
        <x:v>50</x:v>
      </x:c>
      <x:c r="M49" s="25" t="n">
        <x:f>INDEX('Dated offers'!$J$7:$J$305,MATCH($Z49,'Dated offers'!$A$7:$A$305,0))</x:f>
        <x:v>0.0192</x:v>
      </x:c>
      <x:c r="N49" s="25" t="n">
        <x:f>INDEX('Dated offers'!$K$7:$K$305,MATCH($Z49,'Dated offers'!$A$7:$A$305,0))</x:f>
        <x:v>0</x:v>
      </x:c>
      <x:c r="O49" s="25" t="n">
        <x:f>F49*M49</x:f>
        <x:v>1.44</x:v>
      </x:c>
      <x:c r="P49" s="25" t="n">
        <x:f>G49*M49</x:f>
        <x:v>1.44</x:v>
      </x:c>
      <x:c r="Q49" s="25" t="n">
        <x:f>K49*M49+N49</x:f>
        <x:v>1.44</x:v>
      </x:c>
      <x:c r="R49" s="18" t="n">
        <x:f>K49-G49</x:f>
        <x:v>0</x:v>
      </x:c>
      <x:c r="S49" s="18" t="n">
        <x:f>INDEX('Dated offers'!$H$7:$H$305,MATCH($Z49,'Dated offers'!$A$7:$A$305,0))</x:f>
        <x:v>878975</x:v>
      </x:c>
      <x:c r="T49" s="2" t="str">
        <x:f>IF(K49&lt;G49,"Order below requirement",IF(K49&lt;L49,"Below price tier",IF(ISNUMBER(S49),IF(K49&gt;S49,"Quantity exceeds snapshot","Within quantity snapshot"),"Stock not stated")))</x:f>
        <x:v>Within quantity snapshot</x:v>
      </x:c>
      <x:c r="U49" s="2" t="str">
        <x:f>INDEX('Dated offers'!$C$7:$C$305,MATCH($Z49,'Dated offers'!$A$7:$A$305,0))</x:f>
        <x:v>DigiKey</x:v>
      </x:c>
      <x:c r="V49" s="2" t="str">
        <x:f>INDEX('Dated offers'!$D$7:$D$305,MATCH($Z49,'Dated offers'!$A$7:$A$305,0))</x:f>
        <x:v>Not stated</x:v>
      </x:c>
      <x:c r="W49" s="24" t="n">
        <x:f>INDEX('Dated offers'!$E$7:$E$305,MATCH($Z49,'Dated offers'!$A$7:$A$305,0))</x:f>
        <x:v>46307.47807265046</x:v>
      </x:c>
      <x:c r="X49" s="2" t="b">
        <x:f>INDEX('Dated offers'!$N$7:$N$305,MATCH($Z49,'Dated offers'!$A$7:$A$305,0))</x:f>
        <x:v>0</x:v>
      </x:c>
      <x:c r="Y49" s="2" t="str">
        <x:f>INDEX('Dated offers'!$O$7:$O$305,MATCH($Z49,'Dated offers'!$A$7:$A$305,0))</x:f>
        <x:v>Unreserved inventory snapshot</x:v>
      </x:c>
      <x:c r="Z49" s="17" t="str">
        <x:v>OF0043</x:v>
      </x:c>
      <x:c r="AA49" s="2"/>
      <x:c r="AB49" s="2" t="str">
        <x:f>INDEX('Dated offers'!$Q$7:$Q$305,MATCH($Z49,'Dated offers'!$A$7:$A$305,0))</x:f>
        <x:v>https://www.digikey.com/en/products/detail/vishay-dale/CRCW040220K0FKED/1178153</x:v>
      </x:c>
    </x:row>
    <x:row r="50" ht="24" customHeight="1">
      <x:c r="A50" s="2" t="str">
        <x:v>25 boards / nominal</x:v>
      </x:c>
      <x:c r="B50" s="17" t="str">
        <x:v>CRCW040222R0FKED</x:v>
      </x:c>
      <x:c r="C50" s="18" t="n">
        <x:v>25</x:v>
      </x:c>
      <x:c r="D50" s="27" t="n">
        <x:v>0</x:v>
      </x:c>
      <x:c r="E50" s="18" t="n">
        <x:f>INDEX('Assembly BOM'!$C$7:$C$162,MATCH($B50,'Assembly BOM'!$A$7:$A$162,0))</x:f>
        <x:v>9</x:v>
      </x:c>
      <x:c r="F50" s="18" t="n">
        <x:f>C50*E50</x:f>
        <x:v>225</x:v>
      </x:c>
      <x:c r="G50" s="18" t="n">
        <x:f>ROUNDUP(F50*(1+D50),0)</x:f>
        <x:v>225</x:v>
      </x:c>
      <x:c r="H50" s="18" t="n">
        <x:f>INDEX('Dated offers'!$F$7:$F$305,MATCH($Z50,'Dated offers'!$A$7:$A$305,0))</x:f>
        <x:v>1</x:v>
      </x:c>
      <x:c r="I50" s="18" t="n">
        <x:f>INDEX('Dated offers'!$G$7:$G$305,MATCH($Z50,'Dated offers'!$A$7:$A$305,0))</x:f>
        <x:v>1</x:v>
      </x:c>
      <x:c r="J50" s="18" t="n">
        <x:f>CEILING(MAX(G50,H50),I50)</x:f>
        <x:v>225</x:v>
      </x:c>
      <x:c r="K50" s="18" t="n">
        <x:v>250</x:v>
      </x:c>
      <x:c r="L50" s="18" t="n">
        <x:f>INDEX('Dated offers'!$I$7:$I$305,MATCH($Z50,'Dated offers'!$A$7:$A$305,0))</x:f>
        <x:v>250</x:v>
      </x:c>
      <x:c r="M50" s="25" t="n">
        <x:f>INDEX('Dated offers'!$J$7:$J$305,MATCH($Z50,'Dated offers'!$A$7:$A$305,0))</x:f>
        <x:v>0.01228</x:v>
      </x:c>
      <x:c r="N50" s="25" t="n">
        <x:f>INDEX('Dated offers'!$K$7:$K$305,MATCH($Z50,'Dated offers'!$A$7:$A$305,0))</x:f>
        <x:v>0</x:v>
      </x:c>
      <x:c r="O50" s="25" t="n">
        <x:f>F50*M50</x:f>
        <x:v>2.763</x:v>
      </x:c>
      <x:c r="P50" s="25" t="n">
        <x:f>G50*M50</x:f>
        <x:v>2.763</x:v>
      </x:c>
      <x:c r="Q50" s="25" t="n">
        <x:f>K50*M50+N50</x:f>
        <x:v>3.07</x:v>
      </x:c>
      <x:c r="R50" s="18" t="n">
        <x:f>K50-G50</x:f>
        <x:v>25</x:v>
      </x:c>
      <x:c r="S50" s="18" t="n">
        <x:f>INDEX('Dated offers'!$H$7:$H$305,MATCH($Z50,'Dated offers'!$A$7:$A$305,0))</x:f>
        <x:v>1344218</x:v>
      </x:c>
      <x:c r="T50" s="2" t="str">
        <x:f>IF(K50&lt;G50,"Order below requirement",IF(K50&lt;L50,"Below price tier",IF(ISNUMBER(S50),IF(K50&gt;S50,"Quantity exceeds snapshot","Within quantity snapshot"),"Stock not stated")))</x:f>
        <x:v>Within quantity snapshot</x:v>
      </x:c>
      <x:c r="U50" s="2" t="str">
        <x:f>INDEX('Dated offers'!$C$7:$C$305,MATCH($Z50,'Dated offers'!$A$7:$A$305,0))</x:f>
        <x:v>DigiKey</x:v>
      </x:c>
      <x:c r="V50" s="2" t="str">
        <x:f>INDEX('Dated offers'!$D$7:$D$305,MATCH($Z50,'Dated offers'!$A$7:$A$305,0))</x:f>
        <x:v>Not stated</x:v>
      </x:c>
      <x:c r="W50" s="24" t="n">
        <x:f>INDEX('Dated offers'!$E$7:$E$305,MATCH($Z50,'Dated offers'!$A$7:$A$305,0))</x:f>
        <x:v>46307.47807265046</x:v>
      </x:c>
      <x:c r="X50" s="2" t="b">
        <x:f>INDEX('Dated offers'!$N$7:$N$305,MATCH($Z50,'Dated offers'!$A$7:$A$305,0))</x:f>
        <x:v>0</x:v>
      </x:c>
      <x:c r="Y50" s="2" t="str">
        <x:f>INDEX('Dated offers'!$O$7:$O$305,MATCH($Z50,'Dated offers'!$A$7:$A$305,0))</x:f>
        <x:v>Unreserved inventory snapshot</x:v>
      </x:c>
      <x:c r="Z50" s="17" t="str">
        <x:v>OF0044</x:v>
      </x:c>
      <x:c r="AA50" s="2"/>
      <x:c r="AB50" s="2" t="str">
        <x:f>INDEX('Dated offers'!$Q$7:$Q$305,MATCH($Z50,'Dated offers'!$A$7:$A$305,0))</x:f>
        <x:v>https://www.digikey.com/en/products/detail/vishay-dale/CRCW040222R0FKED/1177815</x:v>
      </x:c>
    </x:row>
    <x:row r="51" ht="24" customHeight="1">
      <x:c r="A51" s="2" t="str">
        <x:v>25 boards / nominal</x:v>
      </x:c>
      <x:c r="B51" s="17" t="str">
        <x:v>CRCW04022K49FKED</x:v>
      </x:c>
      <x:c r="C51" s="18" t="n">
        <x:v>25</x:v>
      </x:c>
      <x:c r="D51" s="27" t="n">
        <x:v>0</x:v>
      </x:c>
      <x:c r="E51" s="18" t="n">
        <x:f>INDEX('Assembly BOM'!$C$7:$C$162,MATCH($B51,'Assembly BOM'!$A$7:$A$162,0))</x:f>
        <x:v>3</x:v>
      </x:c>
      <x:c r="F51" s="18" t="n">
        <x:f>C51*E51</x:f>
        <x:v>75</x:v>
      </x:c>
      <x:c r="G51" s="18" t="n">
        <x:f>ROUNDUP(F51*(1+D51),0)</x:f>
        <x:v>75</x:v>
      </x:c>
      <x:c r="H51" s="18" t="n">
        <x:f>INDEX('Dated offers'!$F$7:$F$305,MATCH($Z51,'Dated offers'!$A$7:$A$305,0))</x:f>
        <x:v>1</x:v>
      </x:c>
      <x:c r="I51" s="18" t="n">
        <x:f>INDEX('Dated offers'!$G$7:$G$305,MATCH($Z51,'Dated offers'!$A$7:$A$305,0))</x:f>
        <x:v>1</x:v>
      </x:c>
      <x:c r="J51" s="18" t="n">
        <x:f>CEILING(MAX(G51,H51),I51)</x:f>
        <x:v>75</x:v>
      </x:c>
      <x:c r="K51" s="18" t="n">
        <x:v>75</x:v>
      </x:c>
      <x:c r="L51" s="18" t="n">
        <x:f>INDEX('Dated offers'!$I$7:$I$305,MATCH($Z51,'Dated offers'!$A$7:$A$305,0))</x:f>
        <x:v>50</x:v>
      </x:c>
      <x:c r="M51" s="25" t="n">
        <x:f>INDEX('Dated offers'!$J$7:$J$305,MATCH($Z51,'Dated offers'!$A$7:$A$305,0))</x:f>
        <x:v>0.0192</x:v>
      </x:c>
      <x:c r="N51" s="25" t="n">
        <x:f>INDEX('Dated offers'!$K$7:$K$305,MATCH($Z51,'Dated offers'!$A$7:$A$305,0))</x:f>
        <x:v>0</x:v>
      </x:c>
      <x:c r="O51" s="25" t="n">
        <x:f>F51*M51</x:f>
        <x:v>1.44</x:v>
      </x:c>
      <x:c r="P51" s="25" t="n">
        <x:f>G51*M51</x:f>
        <x:v>1.44</x:v>
      </x:c>
      <x:c r="Q51" s="25" t="n">
        <x:f>K51*M51+N51</x:f>
        <x:v>1.44</x:v>
      </x:c>
      <x:c r="R51" s="18" t="n">
        <x:f>K51-G51</x:f>
        <x:v>0</x:v>
      </x:c>
      <x:c r="S51" s="18" t="n">
        <x:f>INDEX('Dated offers'!$H$7:$H$305,MATCH($Z51,'Dated offers'!$A$7:$A$305,0))</x:f>
        <x:v>261937</x:v>
      </x:c>
      <x:c r="T51" s="2" t="str">
        <x:f>IF(K51&lt;G51,"Order below requirement",IF(K51&lt;L51,"Below price tier",IF(ISNUMBER(S51),IF(K51&gt;S51,"Quantity exceeds snapshot","Within quantity snapshot"),"Stock not stated")))</x:f>
        <x:v>Within quantity snapshot</x:v>
      </x:c>
      <x:c r="U51" s="2" t="str">
        <x:f>INDEX('Dated offers'!$C$7:$C$305,MATCH($Z51,'Dated offers'!$A$7:$A$305,0))</x:f>
        <x:v>DigiKey</x:v>
      </x:c>
      <x:c r="V51" s="2" t="str">
        <x:f>INDEX('Dated offers'!$D$7:$D$305,MATCH($Z51,'Dated offers'!$A$7:$A$305,0))</x:f>
        <x:v>Not stated</x:v>
      </x:c>
      <x:c r="W51" s="24" t="n">
        <x:f>INDEX('Dated offers'!$E$7:$E$305,MATCH($Z51,'Dated offers'!$A$7:$A$305,0))</x:f>
        <x:v>46307.478072604164</x:v>
      </x:c>
      <x:c r="X51" s="2" t="b">
        <x:f>INDEX('Dated offers'!$N$7:$N$305,MATCH($Z51,'Dated offers'!$A$7:$A$305,0))</x:f>
        <x:v>0</x:v>
      </x:c>
      <x:c r="Y51" s="2" t="str">
        <x:f>INDEX('Dated offers'!$O$7:$O$305,MATCH($Z51,'Dated offers'!$A$7:$A$305,0))</x:f>
        <x:v>Unreserved inventory snapshot</x:v>
      </x:c>
      <x:c r="Z51" s="17" t="str">
        <x:v>OF0045</x:v>
      </x:c>
      <x:c r="AA51" s="2"/>
      <x:c r="AB51" s="2" t="str">
        <x:f>INDEX('Dated offers'!$Q$7:$Q$305,MATCH($Z51,'Dated offers'!$A$7:$A$305,0))</x:f>
        <x:v>https://www.digikey.com/en/products/detail/vishay-dale/CRCW04022K49FKED/1183166</x:v>
      </x:c>
    </x:row>
    <x:row r="52" ht="24" customHeight="1">
      <x:c r="A52" s="2" t="str">
        <x:v>25 boards / nominal</x:v>
      </x:c>
      <x:c r="B52" s="17" t="str">
        <x:v>CRCW0402499RFKED</x:v>
      </x:c>
      <x:c r="C52" s="18" t="n">
        <x:v>25</x:v>
      </x:c>
      <x:c r="D52" s="27" t="n">
        <x:v>0</x:v>
      </x:c>
      <x:c r="E52" s="18" t="n">
        <x:f>INDEX('Assembly BOM'!$C$7:$C$162,MATCH($B52,'Assembly BOM'!$A$7:$A$162,0))</x:f>
        <x:v>1</x:v>
      </x:c>
      <x:c r="F52" s="18" t="n">
        <x:f>C52*E52</x:f>
        <x:v>25</x:v>
      </x:c>
      <x:c r="G52" s="18" t="n">
        <x:f>ROUNDUP(F52*(1+D52),0)</x:f>
        <x:v>25</x:v>
      </x:c>
      <x:c r="H52" s="18" t="n">
        <x:f>INDEX('Dated offers'!$F$7:$F$305,MATCH($Z52,'Dated offers'!$A$7:$A$305,0))</x:f>
        <x:v>1</x:v>
      </x:c>
      <x:c r="I52" s="18" t="n">
        <x:f>INDEX('Dated offers'!$G$7:$G$305,MATCH($Z52,'Dated offers'!$A$7:$A$305,0))</x:f>
        <x:v>1</x:v>
      </x:c>
      <x:c r="J52" s="18" t="n">
        <x:f>CEILING(MAX(G52,H52),I52)</x:f>
        <x:v>25</x:v>
      </x:c>
      <x:c r="K52" s="18" t="n">
        <x:v>25</x:v>
      </x:c>
      <x:c r="L52" s="18" t="n">
        <x:f>INDEX('Dated offers'!$I$7:$I$305,MATCH($Z52,'Dated offers'!$A$7:$A$305,0))</x:f>
        <x:v>25</x:v>
      </x:c>
      <x:c r="M52" s="25" t="n">
        <x:f>INDEX('Dated offers'!$J$7:$J$305,MATCH($Z52,'Dated offers'!$A$7:$A$305,0))</x:f>
        <x:v>0.0236</x:v>
      </x:c>
      <x:c r="N52" s="25" t="n">
        <x:f>INDEX('Dated offers'!$K$7:$K$305,MATCH($Z52,'Dated offers'!$A$7:$A$305,0))</x:f>
        <x:v>0</x:v>
      </x:c>
      <x:c r="O52" s="25" t="n">
        <x:f>F52*M52</x:f>
        <x:v>0.59</x:v>
      </x:c>
      <x:c r="P52" s="25" t="n">
        <x:f>G52*M52</x:f>
        <x:v>0.59</x:v>
      </x:c>
      <x:c r="Q52" s="25" t="n">
        <x:f>K52*M52+N52</x:f>
        <x:v>0.59</x:v>
      </x:c>
      <x:c r="R52" s="18" t="n">
        <x:f>K52-G52</x:f>
        <x:v>0</x:v>
      </x:c>
      <x:c r="S52" s="18" t="n">
        <x:f>INDEX('Dated offers'!$H$7:$H$305,MATCH($Z52,'Dated offers'!$A$7:$A$305,0))</x:f>
        <x:v>538356</x:v>
      </x:c>
      <x:c r="T52" s="2" t="str">
        <x:f>IF(K52&lt;G52,"Order below requirement",IF(K52&lt;L52,"Below price tier",IF(ISNUMBER(S52),IF(K52&gt;S52,"Quantity exceeds snapshot","Within quantity snapshot"),"Stock not stated")))</x:f>
        <x:v>Within quantity snapshot</x:v>
      </x:c>
      <x:c r="U52" s="2" t="str">
        <x:f>INDEX('Dated offers'!$C$7:$C$305,MATCH($Z52,'Dated offers'!$A$7:$A$305,0))</x:f>
        <x:v>DigiKey</x:v>
      </x:c>
      <x:c r="V52" s="2" t="str">
        <x:f>INDEX('Dated offers'!$D$7:$D$305,MATCH($Z52,'Dated offers'!$A$7:$A$305,0))</x:f>
        <x:v>Not stated</x:v>
      </x:c>
      <x:c r="W52" s="24" t="n">
        <x:f>INDEX('Dated offers'!$E$7:$E$305,MATCH($Z52,'Dated offers'!$A$7:$A$305,0))</x:f>
        <x:v>46307.478072604164</x:v>
      </x:c>
      <x:c r="X52" s="2" t="b">
        <x:f>INDEX('Dated offers'!$N$7:$N$305,MATCH($Z52,'Dated offers'!$A$7:$A$305,0))</x:f>
        <x:v>0</x:v>
      </x:c>
      <x:c r="Y52" s="2" t="str">
        <x:f>INDEX('Dated offers'!$O$7:$O$305,MATCH($Z52,'Dated offers'!$A$7:$A$305,0))</x:f>
        <x:v>Unreserved inventory snapshot</x:v>
      </x:c>
      <x:c r="Z52" s="17" t="str">
        <x:v>OF0046</x:v>
      </x:c>
      <x:c r="AA52" s="2"/>
      <x:c r="AB52" s="2" t="str">
        <x:f>INDEX('Dated offers'!$Q$7:$Q$305,MATCH($Z52,'Dated offers'!$A$7:$A$305,0))</x:f>
        <x:v>https://www.digikey.com/en/products/detail/vishay-dale/CRCW0402499RFKED/1183088</x:v>
      </x:c>
    </x:row>
    <x:row r="53" ht="24" customHeight="1">
      <x:c r="A53" s="2" t="str">
        <x:v>25 boards / nominal</x:v>
      </x:c>
      <x:c r="B53" s="17" t="str">
        <x:v>CRCW04024K70FKED</x:v>
      </x:c>
      <x:c r="C53" s="18" t="n">
        <x:v>25</x:v>
      </x:c>
      <x:c r="D53" s="27" t="n">
        <x:v>0</x:v>
      </x:c>
      <x:c r="E53" s="18" t="n">
        <x:f>INDEX('Assembly BOM'!$C$7:$C$162,MATCH($B53,'Assembly BOM'!$A$7:$A$162,0))</x:f>
        <x:v>4</x:v>
      </x:c>
      <x:c r="F53" s="18" t="n">
        <x:f>C53*E53</x:f>
        <x:v>100</x:v>
      </x:c>
      <x:c r="G53" s="18" t="n">
        <x:f>ROUNDUP(F53*(1+D53),0)</x:f>
        <x:v>100</x:v>
      </x:c>
      <x:c r="H53" s="18" t="n">
        <x:f>INDEX('Dated offers'!$F$7:$F$305,MATCH($Z53,'Dated offers'!$A$7:$A$305,0))</x:f>
        <x:v>1</x:v>
      </x:c>
      <x:c r="I53" s="18" t="n">
        <x:f>INDEX('Dated offers'!$G$7:$G$305,MATCH($Z53,'Dated offers'!$A$7:$A$305,0))</x:f>
        <x:v>1</x:v>
      </x:c>
      <x:c r="J53" s="18" t="n">
        <x:f>CEILING(MAX(G53,H53),I53)</x:f>
        <x:v>100</x:v>
      </x:c>
      <x:c r="K53" s="18" t="n">
        <x:v>100</x:v>
      </x:c>
      <x:c r="L53" s="18" t="n">
        <x:f>INDEX('Dated offers'!$I$7:$I$305,MATCH($Z53,'Dated offers'!$A$7:$A$305,0))</x:f>
        <x:v>100</x:v>
      </x:c>
      <x:c r="M53" s="25" t="n">
        <x:f>INDEX('Dated offers'!$J$7:$J$305,MATCH($Z53,'Dated offers'!$A$7:$A$305,0))</x:f>
        <x:v>0.0157</x:v>
      </x:c>
      <x:c r="N53" s="25" t="n">
        <x:f>INDEX('Dated offers'!$K$7:$K$305,MATCH($Z53,'Dated offers'!$A$7:$A$305,0))</x:f>
        <x:v>0</x:v>
      </x:c>
      <x:c r="O53" s="25" t="n">
        <x:f>F53*M53</x:f>
        <x:v>1.5699999999999998</x:v>
      </x:c>
      <x:c r="P53" s="25" t="n">
        <x:f>G53*M53</x:f>
        <x:v>1.5699999999999998</x:v>
      </x:c>
      <x:c r="Q53" s="25" t="n">
        <x:f>K53*M53+N53</x:f>
        <x:v>1.5699999999999998</x:v>
      </x:c>
      <x:c r="R53" s="18" t="n">
        <x:f>K53-G53</x:f>
        <x:v>0</x:v>
      </x:c>
      <x:c r="S53" s="18" t="n">
        <x:f>INDEX('Dated offers'!$H$7:$H$305,MATCH($Z53,'Dated offers'!$A$7:$A$305,0))</x:f>
        <x:v>1653620</x:v>
      </x:c>
      <x:c r="T53" s="2" t="str">
        <x:f>IF(K53&lt;G53,"Order below requirement",IF(K53&lt;L53,"Below price tier",IF(ISNUMBER(S53),IF(K53&gt;S53,"Quantity exceeds snapshot","Within quantity snapshot"),"Stock not stated")))</x:f>
        <x:v>Within quantity snapshot</x:v>
      </x:c>
      <x:c r="U53" s="2" t="str">
        <x:f>INDEX('Dated offers'!$C$7:$C$305,MATCH($Z53,'Dated offers'!$A$7:$A$305,0))</x:f>
        <x:v>DigiKey</x:v>
      </x:c>
      <x:c r="V53" s="2" t="str">
        <x:f>INDEX('Dated offers'!$D$7:$D$305,MATCH($Z53,'Dated offers'!$A$7:$A$305,0))</x:f>
        <x:v>Not stated</x:v>
      </x:c>
      <x:c r="W53" s="24" t="n">
        <x:f>INDEX('Dated offers'!$E$7:$E$305,MATCH($Z53,'Dated offers'!$A$7:$A$305,0))</x:f>
        <x:v>46307.47807261574</x:v>
      </x:c>
      <x:c r="X53" s="2" t="b">
        <x:f>INDEX('Dated offers'!$N$7:$N$305,MATCH($Z53,'Dated offers'!$A$7:$A$305,0))</x:f>
        <x:v>0</x:v>
      </x:c>
      <x:c r="Y53" s="2" t="str">
        <x:f>INDEX('Dated offers'!$O$7:$O$305,MATCH($Z53,'Dated offers'!$A$7:$A$305,0))</x:f>
        <x:v>Unreserved inventory snapshot</x:v>
      </x:c>
      <x:c r="Z53" s="17" t="str">
        <x:v>OF0047</x:v>
      </x:c>
      <x:c r="AA53" s="2"/>
      <x:c r="AB53" s="2" t="str">
        <x:f>INDEX('Dated offers'!$Q$7:$Q$305,MATCH($Z53,'Dated offers'!$A$7:$A$305,0))</x:f>
        <x:v>https://www.digikey.com/en/products/detail/vishay-dale/CRCW04024K70FKED/1178083</x:v>
      </x:c>
    </x:row>
    <x:row r="54" ht="24" customHeight="1">
      <x:c r="A54" s="2" t="str">
        <x:v>25 boards / nominal</x:v>
      </x:c>
      <x:c r="B54" s="17" t="str">
        <x:v>CRCW0402510RFKED</x:v>
      </x:c>
      <x:c r="C54" s="18" t="n">
        <x:v>25</x:v>
      </x:c>
      <x:c r="D54" s="27" t="n">
        <x:v>0</x:v>
      </x:c>
      <x:c r="E54" s="18" t="n">
        <x:f>INDEX('Assembly BOM'!$C$7:$C$162,MATCH($B54,'Assembly BOM'!$A$7:$A$162,0))</x:f>
        <x:v>2</x:v>
      </x:c>
      <x:c r="F54" s="18" t="n">
        <x:f>C54*E54</x:f>
        <x:v>50</x:v>
      </x:c>
      <x:c r="G54" s="18" t="n">
        <x:f>ROUNDUP(F54*(1+D54),0)</x:f>
        <x:v>50</x:v>
      </x:c>
      <x:c r="H54" s="18" t="n">
        <x:f>INDEX('Dated offers'!$F$7:$F$305,MATCH($Z54,'Dated offers'!$A$7:$A$305,0))</x:f>
        <x:v>1</x:v>
      </x:c>
      <x:c r="I54" s="18" t="n">
        <x:f>INDEX('Dated offers'!$G$7:$G$305,MATCH($Z54,'Dated offers'!$A$7:$A$305,0))</x:f>
        <x:v>1</x:v>
      </x:c>
      <x:c r="J54" s="18" t="n">
        <x:f>CEILING(MAX(G54,H54),I54)</x:f>
        <x:v>50</x:v>
      </x:c>
      <x:c r="K54" s="18" t="n">
        <x:v>50</x:v>
      </x:c>
      <x:c r="L54" s="18" t="n">
        <x:f>INDEX('Dated offers'!$I$7:$I$305,MATCH($Z54,'Dated offers'!$A$7:$A$305,0))</x:f>
        <x:v>50</x:v>
      </x:c>
      <x:c r="M54" s="25" t="n">
        <x:f>INDEX('Dated offers'!$J$7:$J$305,MATCH($Z54,'Dated offers'!$A$7:$A$305,0))</x:f>
        <x:v>0.0202</x:v>
      </x:c>
      <x:c r="N54" s="25" t="n">
        <x:f>INDEX('Dated offers'!$K$7:$K$305,MATCH($Z54,'Dated offers'!$A$7:$A$305,0))</x:f>
        <x:v>0</x:v>
      </x:c>
      <x:c r="O54" s="25" t="n">
        <x:f>F54*M54</x:f>
        <x:v>1.01</x:v>
      </x:c>
      <x:c r="P54" s="25" t="n">
        <x:f>G54*M54</x:f>
        <x:v>1.01</x:v>
      </x:c>
      <x:c r="Q54" s="25" t="n">
        <x:f>K54*M54+N54</x:f>
        <x:v>1.01</x:v>
      </x:c>
      <x:c r="R54" s="18" t="n">
        <x:f>K54-G54</x:f>
        <x:v>0</x:v>
      </x:c>
      <x:c r="S54" s="18" t="n">
        <x:f>INDEX('Dated offers'!$H$7:$H$305,MATCH($Z54,'Dated offers'!$A$7:$A$305,0))</x:f>
        <x:v>234547</x:v>
      </x:c>
      <x:c r="T54" s="2" t="str">
        <x:f>IF(K54&lt;G54,"Order below requirement",IF(K54&lt;L54,"Below price tier",IF(ISNUMBER(S54),IF(K54&gt;S54,"Quantity exceeds snapshot","Within quantity snapshot"),"Stock not stated")))</x:f>
        <x:v>Within quantity snapshot</x:v>
      </x:c>
      <x:c r="U54" s="2" t="str">
        <x:f>INDEX('Dated offers'!$C$7:$C$305,MATCH($Z54,'Dated offers'!$A$7:$A$305,0))</x:f>
        <x:v>DigiKey</x:v>
      </x:c>
      <x:c r="V54" s="2" t="str">
        <x:f>INDEX('Dated offers'!$D$7:$D$305,MATCH($Z54,'Dated offers'!$A$7:$A$305,0))</x:f>
        <x:v>Not stated</x:v>
      </x:c>
      <x:c r="W54" s="24" t="n">
        <x:f>INDEX('Dated offers'!$E$7:$E$305,MATCH($Z54,'Dated offers'!$A$7:$A$305,0))</x:f>
        <x:v>46307.47807261574</x:v>
      </x:c>
      <x:c r="X54" s="2" t="b">
        <x:f>INDEX('Dated offers'!$N$7:$N$305,MATCH($Z54,'Dated offers'!$A$7:$A$305,0))</x:f>
        <x:v>0</x:v>
      </x:c>
      <x:c r="Y54" s="2" t="str">
        <x:f>INDEX('Dated offers'!$O$7:$O$305,MATCH($Z54,'Dated offers'!$A$7:$A$305,0))</x:f>
        <x:v>Unreserved inventory snapshot</x:v>
      </x:c>
      <x:c r="Z54" s="17" t="str">
        <x:v>OF0048</x:v>
      </x:c>
      <x:c r="AA54" s="2"/>
      <x:c r="AB54" s="2" t="str">
        <x:f>INDEX('Dated offers'!$Q$7:$Q$305,MATCH($Z54,'Dated offers'!$A$7:$A$305,0))</x:f>
        <x:v>https://www.digikey.com/en/products/detail/vishay-dale/CRCW0402510RFKED/1183089</x:v>
      </x:c>
    </x:row>
    <x:row r="55" ht="24" customHeight="1">
      <x:c r="A55" s="2" t="str">
        <x:v>25 boards / nominal</x:v>
      </x:c>
      <x:c r="B55" s="17" t="str">
        <x:v>CRCW04025K10FKED</x:v>
      </x:c>
      <x:c r="C55" s="18" t="n">
        <x:v>25</x:v>
      </x:c>
      <x:c r="D55" s="27" t="n">
        <x:v>0</x:v>
      </x:c>
      <x:c r="E55" s="18" t="n">
        <x:f>INDEX('Assembly BOM'!$C$7:$C$162,MATCH($B55,'Assembly BOM'!$A$7:$A$162,0))</x:f>
        <x:v>2</x:v>
      </x:c>
      <x:c r="F55" s="18" t="n">
        <x:f>C55*E55</x:f>
        <x:v>50</x:v>
      </x:c>
      <x:c r="G55" s="18" t="n">
        <x:f>ROUNDUP(F55*(1+D55),0)</x:f>
        <x:v>50</x:v>
      </x:c>
      <x:c r="H55" s="18" t="n">
        <x:f>INDEX('Dated offers'!$F$7:$F$305,MATCH($Z55,'Dated offers'!$A$7:$A$305,0))</x:f>
        <x:v>1</x:v>
      </x:c>
      <x:c r="I55" s="18" t="n">
        <x:f>INDEX('Dated offers'!$G$7:$G$305,MATCH($Z55,'Dated offers'!$A$7:$A$305,0))</x:f>
        <x:v>1</x:v>
      </x:c>
      <x:c r="J55" s="18" t="n">
        <x:f>CEILING(MAX(G55,H55),I55)</x:f>
        <x:v>50</x:v>
      </x:c>
      <x:c r="K55" s="18" t="n">
        <x:v>50</x:v>
      </x:c>
      <x:c r="L55" s="18" t="n">
        <x:f>INDEX('Dated offers'!$I$7:$I$305,MATCH($Z55,'Dated offers'!$A$7:$A$305,0))</x:f>
        <x:v>50</x:v>
      </x:c>
      <x:c r="M55" s="25" t="n">
        <x:f>INDEX('Dated offers'!$J$7:$J$305,MATCH($Z55,'Dated offers'!$A$7:$A$305,0))</x:f>
        <x:v>0.0192</x:v>
      </x:c>
      <x:c r="N55" s="25" t="n">
        <x:f>INDEX('Dated offers'!$K$7:$K$305,MATCH($Z55,'Dated offers'!$A$7:$A$305,0))</x:f>
        <x:v>0</x:v>
      </x:c>
      <x:c r="O55" s="25" t="n">
        <x:f>F55*M55</x:f>
        <x:v>0.96</x:v>
      </x:c>
      <x:c r="P55" s="25" t="n">
        <x:f>G55*M55</x:f>
        <x:v>0.96</x:v>
      </x:c>
      <x:c r="Q55" s="25" t="n">
        <x:f>K55*M55+N55</x:f>
        <x:v>0.96</x:v>
      </x:c>
      <x:c r="R55" s="18" t="n">
        <x:f>K55-G55</x:f>
        <x:v>0</x:v>
      </x:c>
      <x:c r="S55" s="18" t="n">
        <x:f>INDEX('Dated offers'!$H$7:$H$305,MATCH($Z55,'Dated offers'!$A$7:$A$305,0))</x:f>
        <x:v>134873</x:v>
      </x:c>
      <x:c r="T55" s="2" t="str">
        <x:f>IF(K55&lt;G55,"Order below requirement",IF(K55&lt;L55,"Below price tier",IF(ISNUMBER(S55),IF(K55&gt;S55,"Quantity exceeds snapshot","Within quantity snapshot"),"Stock not stated")))</x:f>
        <x:v>Within quantity snapshot</x:v>
      </x:c>
      <x:c r="U55" s="2" t="str">
        <x:f>INDEX('Dated offers'!$C$7:$C$305,MATCH($Z55,'Dated offers'!$A$7:$A$305,0))</x:f>
        <x:v>DigiKey</x:v>
      </x:c>
      <x:c r="V55" s="2" t="str">
        <x:f>INDEX('Dated offers'!$D$7:$D$305,MATCH($Z55,'Dated offers'!$A$7:$A$305,0))</x:f>
        <x:v>Not stated</x:v>
      </x:c>
      <x:c r="W55" s="24" t="n">
        <x:f>INDEX('Dated offers'!$E$7:$E$305,MATCH($Z55,'Dated offers'!$A$7:$A$305,0))</x:f>
        <x:v>46307.47807267361</x:v>
      </x:c>
      <x:c r="X55" s="2" t="b">
        <x:f>INDEX('Dated offers'!$N$7:$N$305,MATCH($Z55,'Dated offers'!$A$7:$A$305,0))</x:f>
        <x:v>0</x:v>
      </x:c>
      <x:c r="Y55" s="2" t="str">
        <x:f>INDEX('Dated offers'!$O$7:$O$305,MATCH($Z55,'Dated offers'!$A$7:$A$305,0))</x:f>
        <x:v>Unreserved inventory snapshot</x:v>
      </x:c>
      <x:c r="Z55" s="17" t="str">
        <x:v>OF0049</x:v>
      </x:c>
      <x:c r="AA55" s="2"/>
      <x:c r="AB55" s="2" t="str">
        <x:f>INDEX('Dated offers'!$Q$7:$Q$305,MATCH($Z55,'Dated offers'!$A$7:$A$305,0))</x:f>
        <x:v>https://www.digikey.com/en/products/detail/vishay-dale/CRCW04025K10FKED/1178087</x:v>
      </x:c>
    </x:row>
    <x:row r="56" ht="24" customHeight="1">
      <x:c r="A56" s="2" t="str">
        <x:v>25 boards / nominal</x:v>
      </x:c>
      <x:c r="B56" s="17" t="str">
        <x:v>CRCW080575R0FKEA</x:v>
      </x:c>
      <x:c r="C56" s="18" t="n">
        <x:v>25</x:v>
      </x:c>
      <x:c r="D56" s="27" t="n">
        <x:v>0</x:v>
      </x:c>
      <x:c r="E56" s="18" t="n">
        <x:f>INDEX('Assembly BOM'!$C$7:$C$162,MATCH($B56,'Assembly BOM'!$A$7:$A$162,0))</x:f>
        <x:v>4</x:v>
      </x:c>
      <x:c r="F56" s="18" t="n">
        <x:f>C56*E56</x:f>
        <x:v>100</x:v>
      </x:c>
      <x:c r="G56" s="18" t="n">
        <x:f>ROUNDUP(F56*(1+D56),0)</x:f>
        <x:v>100</x:v>
      </x:c>
      <x:c r="H56" s="18" t="n">
        <x:f>INDEX('Dated offers'!$F$7:$F$305,MATCH($Z56,'Dated offers'!$A$7:$A$305,0))</x:f>
        <x:v>1</x:v>
      </x:c>
      <x:c r="I56" s="18" t="n">
        <x:f>INDEX('Dated offers'!$G$7:$G$305,MATCH($Z56,'Dated offers'!$A$7:$A$305,0))</x:f>
        <x:v>1</x:v>
      </x:c>
      <x:c r="J56" s="18" t="n">
        <x:f>CEILING(MAX(G56,H56),I56)</x:f>
        <x:v>100</x:v>
      </x:c>
      <x:c r="K56" s="18" t="n">
        <x:v>100</x:v>
      </x:c>
      <x:c r="L56" s="18" t="n">
        <x:f>INDEX('Dated offers'!$I$7:$I$305,MATCH($Z56,'Dated offers'!$A$7:$A$305,0))</x:f>
        <x:v>100</x:v>
      </x:c>
      <x:c r="M56" s="25" t="n">
        <x:f>INDEX('Dated offers'!$J$7:$J$305,MATCH($Z56,'Dated offers'!$A$7:$A$305,0))</x:f>
        <x:v>0.0239</x:v>
      </x:c>
      <x:c r="N56" s="25" t="n">
        <x:f>INDEX('Dated offers'!$K$7:$K$305,MATCH($Z56,'Dated offers'!$A$7:$A$305,0))</x:f>
        <x:v>0</x:v>
      </x:c>
      <x:c r="O56" s="25" t="n">
        <x:f>F56*M56</x:f>
        <x:v>2.39</x:v>
      </x:c>
      <x:c r="P56" s="25" t="n">
        <x:f>G56*M56</x:f>
        <x:v>2.39</x:v>
      </x:c>
      <x:c r="Q56" s="25" t="n">
        <x:f>K56*M56+N56</x:f>
        <x:v>2.39</x:v>
      </x:c>
      <x:c r="R56" s="18" t="n">
        <x:f>K56-G56</x:f>
        <x:v>0</x:v>
      </x:c>
      <x:c r="S56" s="18" t="n">
        <x:f>INDEX('Dated offers'!$H$7:$H$305,MATCH($Z56,'Dated offers'!$A$7:$A$305,0))</x:f>
        <x:v>72605</x:v>
      </x:c>
      <x:c r="T56" s="2" t="str">
        <x:f>IF(K56&lt;G56,"Order below requirement",IF(K56&lt;L56,"Below price tier",IF(ISNUMBER(S56),IF(K56&gt;S56,"Quantity exceeds snapshot","Within quantity snapshot"),"Stock not stated")))</x:f>
        <x:v>Within quantity snapshot</x:v>
      </x:c>
      <x:c r="U56" s="2" t="str">
        <x:f>INDEX('Dated offers'!$C$7:$C$305,MATCH($Z56,'Dated offers'!$A$7:$A$305,0))</x:f>
        <x:v>DigiKey</x:v>
      </x:c>
      <x:c r="V56" s="2" t="str">
        <x:f>INDEX('Dated offers'!$D$7:$D$305,MATCH($Z56,'Dated offers'!$A$7:$A$305,0))</x:f>
        <x:v>Not stated</x:v>
      </x:c>
      <x:c r="W56" s="24" t="n">
        <x:f>INDEX('Dated offers'!$E$7:$E$305,MATCH($Z56,'Dated offers'!$A$7:$A$305,0))</x:f>
        <x:v>46307.47807261574</x:v>
      </x:c>
      <x:c r="X56" s="2" t="b">
        <x:f>INDEX('Dated offers'!$N$7:$N$305,MATCH($Z56,'Dated offers'!$A$7:$A$305,0))</x:f>
        <x:v>0</x:v>
      </x:c>
      <x:c r="Y56" s="2" t="str">
        <x:f>INDEX('Dated offers'!$O$7:$O$305,MATCH($Z56,'Dated offers'!$A$7:$A$305,0))</x:f>
        <x:v>Unreserved inventory snapshot</x:v>
      </x:c>
      <x:c r="Z56" s="17" t="str">
        <x:v>OF0050</x:v>
      </x:c>
      <x:c r="AA56" s="2"/>
      <x:c r="AB56" s="2" t="str">
        <x:f>INDEX('Dated offers'!$Q$7:$Q$305,MATCH($Z56,'Dated offers'!$A$7:$A$305,0))</x:f>
        <x:v>https://www.digikey.com/en/products/detail/vishay-dale/CRCW080575R0FKEA/1180655</x:v>
      </x:c>
    </x:row>
    <x:row r="57" ht="24" customHeight="1">
      <x:c r="A57" s="2" t="str">
        <x:v>25 boards / nominal</x:v>
      </x:c>
      <x:c r="B57" s="17" t="str">
        <x:v>CRCW12063K30FKEAHP</x:v>
      </x:c>
      <x:c r="C57" s="18" t="n">
        <x:v>25</x:v>
      </x:c>
      <x:c r="D57" s="27" t="n">
        <x:v>0</x:v>
      </x:c>
      <x:c r="E57" s="18" t="n">
        <x:f>INDEX('Assembly BOM'!$C$7:$C$162,MATCH($B57,'Assembly BOM'!$A$7:$A$162,0))</x:f>
        <x:v>1</x:v>
      </x:c>
      <x:c r="F57" s="18" t="n">
        <x:f>C57*E57</x:f>
        <x:v>25</x:v>
      </x:c>
      <x:c r="G57" s="18" t="n">
        <x:f>ROUNDUP(F57*(1+D57),0)</x:f>
        <x:v>25</x:v>
      </x:c>
      <x:c r="H57" s="18" t="n">
        <x:f>INDEX('Dated offers'!$F$7:$F$305,MATCH($Z57,'Dated offers'!$A$7:$A$305,0))</x:f>
        <x:v>1</x:v>
      </x:c>
      <x:c r="I57" s="18" t="n">
        <x:f>INDEX('Dated offers'!$G$7:$G$305,MATCH($Z57,'Dated offers'!$A$7:$A$305,0))</x:f>
        <x:v>1</x:v>
      </x:c>
      <x:c r="J57" s="18" t="n">
        <x:f>CEILING(MAX(G57,H57),I57)</x:f>
        <x:v>25</x:v>
      </x:c>
      <x:c r="K57" s="18" t="n">
        <x:v>25</x:v>
      </x:c>
      <x:c r="L57" s="18" t="n">
        <x:f>INDEX('Dated offers'!$I$7:$I$305,MATCH($Z57,'Dated offers'!$A$7:$A$305,0))</x:f>
        <x:v>25</x:v>
      </x:c>
      <x:c r="M57" s="25" t="n">
        <x:f>INDEX('Dated offers'!$J$7:$J$305,MATCH($Z57,'Dated offers'!$A$7:$A$305,0))</x:f>
        <x:v>0.1156</x:v>
      </x:c>
      <x:c r="N57" s="25" t="n">
        <x:f>INDEX('Dated offers'!$K$7:$K$305,MATCH($Z57,'Dated offers'!$A$7:$A$305,0))</x:f>
        <x:v>0</x:v>
      </x:c>
      <x:c r="O57" s="25" t="n">
        <x:f>F57*M57</x:f>
        <x:v>2.8899999999999997</x:v>
      </x:c>
      <x:c r="P57" s="25" t="n">
        <x:f>G57*M57</x:f>
        <x:v>2.8899999999999997</x:v>
      </x:c>
      <x:c r="Q57" s="25" t="n">
        <x:f>K57*M57+N57</x:f>
        <x:v>2.8899999999999997</x:v>
      </x:c>
      <x:c r="R57" s="18" t="n">
        <x:f>K57-G57</x:f>
        <x:v>0</x:v>
      </x:c>
      <x:c r="S57" s="18" t="n">
        <x:f>INDEX('Dated offers'!$H$7:$H$305,MATCH($Z57,'Dated offers'!$A$7:$A$305,0))</x:f>
        <x:v>42656</x:v>
      </x:c>
      <x:c r="T57" s="2" t="str">
        <x:f>IF(K57&lt;G57,"Order below requirement",IF(K57&lt;L57,"Below price tier",IF(ISNUMBER(S57),IF(K57&gt;S57,"Quantity exceeds snapshot","Within quantity snapshot"),"Stock not stated")))</x:f>
        <x:v>Within quantity snapshot</x:v>
      </x:c>
      <x:c r="U57" s="2" t="str">
        <x:f>INDEX('Dated offers'!$C$7:$C$305,MATCH($Z57,'Dated offers'!$A$7:$A$305,0))</x:f>
        <x:v>DigiKey</x:v>
      </x:c>
      <x:c r="V57" s="2" t="str">
        <x:f>INDEX('Dated offers'!$D$7:$D$305,MATCH($Z57,'Dated offers'!$A$7:$A$305,0))</x:f>
        <x:v>Not stated</x:v>
      </x:c>
      <x:c r="W57" s="24" t="n">
        <x:f>INDEX('Dated offers'!$E$7:$E$305,MATCH($Z57,'Dated offers'!$A$7:$A$305,0))</x:f>
        <x:v>46307.47807262732</x:v>
      </x:c>
      <x:c r="X57" s="2" t="b">
        <x:f>INDEX('Dated offers'!$N$7:$N$305,MATCH($Z57,'Dated offers'!$A$7:$A$305,0))</x:f>
        <x:v>0</x:v>
      </x:c>
      <x:c r="Y57" s="2" t="str">
        <x:f>INDEX('Dated offers'!$O$7:$O$305,MATCH($Z57,'Dated offers'!$A$7:$A$305,0))</x:f>
        <x:v>Unreserved inventory snapshot</x:v>
      </x:c>
      <x:c r="Z57" s="17" t="str">
        <x:v>OF0051</x:v>
      </x:c>
      <x:c r="AA57" s="2"/>
      <x:c r="AB57" s="2" t="str">
        <x:f>INDEX('Dated offers'!$Q$7:$Q$305,MATCH($Z57,'Dated offers'!$A$7:$A$305,0))</x:f>
        <x:v>https://www.digikey.com/en/products/detail/vishay-dale/CRCW12063K30FKEAHP/2227804</x:v>
      </x:c>
    </x:row>
    <x:row r="58" ht="24" customHeight="1">
      <x:c r="A58" s="2" t="str">
        <x:v>25 boards / nominal</x:v>
      </x:c>
      <x:c r="B58" s="17" t="str">
        <x:v>DABS2100-13</x:v>
      </x:c>
      <x:c r="C58" s="18" t="n">
        <x:v>25</x:v>
      </x:c>
      <x:c r="D58" s="27" t="n">
        <x:v>0</x:v>
      </x:c>
      <x:c r="E58" s="18" t="n">
        <x:f>INDEX('Assembly BOM'!$C$7:$C$162,MATCH($B58,'Assembly BOM'!$A$7:$A$162,0))</x:f>
        <x:v>2</x:v>
      </x:c>
      <x:c r="F58" s="18" t="n">
        <x:f>C58*E58</x:f>
        <x:v>50</x:v>
      </x:c>
      <x:c r="G58" s="18" t="n">
        <x:f>ROUNDUP(F58*(1+D58),0)</x:f>
        <x:v>50</x:v>
      </x:c>
      <x:c r="H58" s="18" t="n">
        <x:f>INDEX('Dated offers'!$F$7:$F$305,MATCH($Z58,'Dated offers'!$A$7:$A$305,0))</x:f>
        <x:v>1</x:v>
      </x:c>
      <x:c r="I58" s="18" t="n">
        <x:f>INDEX('Dated offers'!$G$7:$G$305,MATCH($Z58,'Dated offers'!$A$7:$A$305,0))</x:f>
        <x:v>1</x:v>
      </x:c>
      <x:c r="J58" s="18" t="n">
        <x:f>CEILING(MAX(G58,H58),I58)</x:f>
        <x:v>50</x:v>
      </x:c>
      <x:c r="K58" s="18" t="n">
        <x:v>50</x:v>
      </x:c>
      <x:c r="L58" s="18" t="n">
        <x:f>INDEX('Dated offers'!$I$7:$I$305,MATCH($Z58,'Dated offers'!$A$7:$A$305,0))</x:f>
        <x:v>50</x:v>
      </x:c>
      <x:c r="M58" s="25" t="n">
        <x:f>INDEX('Dated offers'!$J$7:$J$305,MATCH($Z58,'Dated offers'!$A$7:$A$305,0))</x:f>
        <x:v>0.4338</x:v>
      </x:c>
      <x:c r="N58" s="25" t="n">
        <x:f>INDEX('Dated offers'!$K$7:$K$305,MATCH($Z58,'Dated offers'!$A$7:$A$305,0))</x:f>
        <x:v>7</x:v>
      </x:c>
      <x:c r="O58" s="25" t="n">
        <x:f>F58*M58</x:f>
        <x:v>21.69</x:v>
      </x:c>
      <x:c r="P58" s="25" t="n">
        <x:f>G58*M58</x:f>
        <x:v>21.69</x:v>
      </x:c>
      <x:c r="Q58" s="25" t="n">
        <x:f>K58*M58+N58</x:f>
        <x:v>28.69</x:v>
      </x:c>
      <x:c r="R58" s="18" t="n">
        <x:f>K58-G58</x:f>
        <x:v>0</x:v>
      </x:c>
      <x:c r="S58" s="18" t="n">
        <x:f>INDEX('Dated offers'!$H$7:$H$305,MATCH($Z58,'Dated offers'!$A$7:$A$305,0))</x:f>
        <x:v>5560</x:v>
      </x:c>
      <x:c r="T58" s="2" t="str">
        <x:f>IF(K58&lt;G58,"Order below requirement",IF(K58&lt;L58,"Below price tier",IF(ISNUMBER(S58),IF(K58&gt;S58,"Quantity exceeds snapshot","Within quantity snapshot"),"Stock not stated")))</x:f>
        <x:v>Within quantity snapshot</x:v>
      </x:c>
      <x:c r="U58" s="2" t="str">
        <x:f>INDEX('Dated offers'!$C$7:$C$305,MATCH($Z58,'Dated offers'!$A$7:$A$305,0))</x:f>
        <x:v>DigiKey</x:v>
      </x:c>
      <x:c r="V58" s="2" t="str">
        <x:f>INDEX('Dated offers'!$D$7:$D$305,MATCH($Z58,'Dated offers'!$A$7:$A$305,0))</x:f>
        <x:v>Not stated</x:v>
      </x:c>
      <x:c r="W58" s="24" t="n">
        <x:f>INDEX('Dated offers'!$E$7:$E$305,MATCH($Z58,'Dated offers'!$A$7:$A$305,0))</x:f>
        <x:v>46307.47807261574</x:v>
      </x:c>
      <x:c r="X58" s="2" t="b">
        <x:f>INDEX('Dated offers'!$N$7:$N$305,MATCH($Z58,'Dated offers'!$A$7:$A$305,0))</x:f>
        <x:v>0</x:v>
      </x:c>
      <x:c r="Y58" s="2" t="str">
        <x:f>INDEX('Dated offers'!$O$7:$O$305,MATCH($Z58,'Dated offers'!$A$7:$A$305,0))</x:f>
        <x:v>Unreserved inventory snapshot</x:v>
      </x:c>
      <x:c r="Z58" s="17" t="str">
        <x:v>OF0052</x:v>
      </x:c>
      <x:c r="AA58" s="2"/>
      <x:c r="AB58" s="2" t="str">
        <x:f>INDEX('Dated offers'!$Q$7:$Q$305,MATCH($Z58,'Dated offers'!$A$7:$A$305,0))</x:f>
        <x:v>https://www.digikey.com/en/products/detail/diodes-incorporated/DABS2100-13/21823604</x:v>
      </x:c>
    </x:row>
    <x:row r="59" ht="24" customHeight="1">
      <x:c r="A59" s="2" t="str">
        <x:v>25 boards / nominal</x:v>
      </x:c>
      <x:c r="B59" s="17" t="str">
        <x:v>DLW5BTM102TQ2L</x:v>
      </x:c>
      <x:c r="C59" s="18" t="n">
        <x:v>25</x:v>
      </x:c>
      <x:c r="D59" s="27" t="n">
        <x:v>0</x:v>
      </x:c>
      <x:c r="E59" s="18" t="n">
        <x:f>INDEX('Assembly BOM'!$C$7:$C$162,MATCH($B59,'Assembly BOM'!$A$7:$A$162,0))</x:f>
        <x:v>1</x:v>
      </x:c>
      <x:c r="F59" s="18" t="n">
        <x:f>C59*E59</x:f>
        <x:v>25</x:v>
      </x:c>
      <x:c r="G59" s="18" t="n">
        <x:f>ROUNDUP(F59*(1+D59),0)</x:f>
        <x:v>25</x:v>
      </x:c>
      <x:c r="H59" s="18" t="n">
        <x:f>INDEX('Dated offers'!$F$7:$F$305,MATCH($Z59,'Dated offers'!$A$7:$A$305,0))</x:f>
        <x:v>1</x:v>
      </x:c>
      <x:c r="I59" s="18" t="n">
        <x:f>INDEX('Dated offers'!$G$7:$G$305,MATCH($Z59,'Dated offers'!$A$7:$A$305,0))</x:f>
        <x:v>1</x:v>
      </x:c>
      <x:c r="J59" s="18" t="n">
        <x:f>CEILING(MAX(G59,H59),I59)</x:f>
        <x:v>25</x:v>
      </x:c>
      <x:c r="K59" s="18" t="n">
        <x:v>25</x:v>
      </x:c>
      <x:c r="L59" s="18" t="n">
        <x:f>INDEX('Dated offers'!$I$7:$I$305,MATCH($Z59,'Dated offers'!$A$7:$A$305,0))</x:f>
        <x:v>25</x:v>
      </x:c>
      <x:c r="M59" s="25" t="n">
        <x:f>INDEX('Dated offers'!$J$7:$J$305,MATCH($Z59,'Dated offers'!$A$7:$A$305,0))</x:f>
        <x:v>0.7804</x:v>
      </x:c>
      <x:c r="N59" s="25" t="n">
        <x:f>INDEX('Dated offers'!$K$7:$K$305,MATCH($Z59,'Dated offers'!$A$7:$A$305,0))</x:f>
        <x:v>0</x:v>
      </x:c>
      <x:c r="O59" s="25" t="n">
        <x:f>F59*M59</x:f>
        <x:v>19.509999999999998</x:v>
      </x:c>
      <x:c r="P59" s="25" t="n">
        <x:f>G59*M59</x:f>
        <x:v>19.509999999999998</x:v>
      </x:c>
      <x:c r="Q59" s="25" t="n">
        <x:f>K59*M59+N59</x:f>
        <x:v>19.509999999999998</x:v>
      </x:c>
      <x:c r="R59" s="18" t="n">
        <x:f>K59-G59</x:f>
        <x:v>0</x:v>
      </x:c>
      <x:c r="S59" s="18" t="n">
        <x:f>INDEX('Dated offers'!$H$7:$H$305,MATCH($Z59,'Dated offers'!$A$7:$A$305,0))</x:f>
        <x:v>9875</x:v>
      </x:c>
      <x:c r="T59" s="2" t="str">
        <x:f>IF(K59&lt;G59,"Order below requirement",IF(K59&lt;L59,"Below price tier",IF(ISNUMBER(S59),IF(K59&gt;S59,"Quantity exceeds snapshot","Within quantity snapshot"),"Stock not stated")))</x:f>
        <x:v>Within quantity snapshot</x:v>
      </x:c>
      <x:c r="U59" s="2" t="str">
        <x:f>INDEX('Dated offers'!$C$7:$C$305,MATCH($Z59,'Dated offers'!$A$7:$A$305,0))</x:f>
        <x:v>DigiKey</x:v>
      </x:c>
      <x:c r="V59" s="2" t="str">
        <x:f>INDEX('Dated offers'!$D$7:$D$305,MATCH($Z59,'Dated offers'!$A$7:$A$305,0))</x:f>
        <x:v>Not stated</x:v>
      </x:c>
      <x:c r="W59" s="24" t="n">
        <x:f>INDEX('Dated offers'!$E$7:$E$305,MATCH($Z59,'Dated offers'!$A$7:$A$305,0))</x:f>
        <x:v>46307.47807261574</x:v>
      </x:c>
      <x:c r="X59" s="2" t="b">
        <x:f>INDEX('Dated offers'!$N$7:$N$305,MATCH($Z59,'Dated offers'!$A$7:$A$305,0))</x:f>
        <x:v>0</x:v>
      </x:c>
      <x:c r="Y59" s="2" t="str">
        <x:f>INDEX('Dated offers'!$O$7:$O$305,MATCH($Z59,'Dated offers'!$A$7:$A$305,0))</x:f>
        <x:v>Unreserved inventory snapshot</x:v>
      </x:c>
      <x:c r="Z59" s="17" t="str">
        <x:v>OF0053</x:v>
      </x:c>
      <x:c r="AA59" s="2"/>
      <x:c r="AB59" s="2" t="str">
        <x:f>INDEX('Dated offers'!$Q$7:$Q$305,MATCH($Z59,'Dated offers'!$A$7:$A$305,0))</x:f>
        <x:v>https://www.digikey.com/en/products/detail/murata-electronics/DLW5BTM102TQ2L/6606032</x:v>
      </x:c>
    </x:row>
    <x:row r="60" ht="24" customHeight="1">
      <x:c r="A60" s="2" t="str">
        <x:v>25 boards / nominal</x:v>
      </x:c>
      <x:c r="B60" s="17" t="str">
        <x:v>DMPH3010LK3-13</x:v>
      </x:c>
      <x:c r="C60" s="18" t="n">
        <x:v>25</x:v>
      </x:c>
      <x:c r="D60" s="27" t="n">
        <x:v>0</x:v>
      </x:c>
      <x:c r="E60" s="18" t="n">
        <x:f>INDEX('Assembly BOM'!$C$7:$C$162,MATCH($B60,'Assembly BOM'!$A$7:$A$162,0))</x:f>
        <x:v>1</x:v>
      </x:c>
      <x:c r="F60" s="18" t="n">
        <x:f>C60*E60</x:f>
        <x:v>25</x:v>
      </x:c>
      <x:c r="G60" s="18" t="n">
        <x:f>ROUNDUP(F60*(1+D60),0)</x:f>
        <x:v>25</x:v>
      </x:c>
      <x:c r="H60" s="18" t="n">
        <x:f>INDEX('Dated offers'!$F$7:$F$305,MATCH($Z60,'Dated offers'!$A$7:$A$305,0))</x:f>
        <x:v>1</x:v>
      </x:c>
      <x:c r="I60" s="18" t="n">
        <x:f>INDEX('Dated offers'!$G$7:$G$305,MATCH($Z60,'Dated offers'!$A$7:$A$305,0))</x:f>
        <x:v>1</x:v>
      </x:c>
      <x:c r="J60" s="18" t="n">
        <x:f>CEILING(MAX(G60,H60),I60)</x:f>
        <x:v>25</x:v>
      </x:c>
      <x:c r="K60" s="18" t="n">
        <x:v>25</x:v>
      </x:c>
      <x:c r="L60" s="18" t="n">
        <x:f>INDEX('Dated offers'!$I$7:$I$305,MATCH($Z60,'Dated offers'!$A$7:$A$305,0))</x:f>
        <x:v>25</x:v>
      </x:c>
      <x:c r="M60" s="25" t="n">
        <x:f>INDEX('Dated offers'!$J$7:$J$305,MATCH($Z60,'Dated offers'!$A$7:$A$305,0))</x:f>
        <x:v>0.8444</x:v>
      </x:c>
      <x:c r="N60" s="25" t="n">
        <x:f>INDEX('Dated offers'!$K$7:$K$305,MATCH($Z60,'Dated offers'!$A$7:$A$305,0))</x:f>
        <x:v>0</x:v>
      </x:c>
      <x:c r="O60" s="25" t="n">
        <x:f>F60*M60</x:f>
        <x:v>21.11</x:v>
      </x:c>
      <x:c r="P60" s="25" t="n">
        <x:f>G60*M60</x:f>
        <x:v>21.11</x:v>
      </x:c>
      <x:c r="Q60" s="25" t="n">
        <x:f>K60*M60+N60</x:f>
        <x:v>21.11</x:v>
      </x:c>
      <x:c r="R60" s="18" t="n">
        <x:f>K60-G60</x:f>
        <x:v>0</x:v>
      </x:c>
      <x:c r="S60" s="18" t="n">
        <x:f>INDEX('Dated offers'!$H$7:$H$305,MATCH($Z60,'Dated offers'!$A$7:$A$305,0))</x:f>
        <x:v>1530</x:v>
      </x:c>
      <x:c r="T60" s="2" t="str">
        <x:f>IF(K60&lt;G60,"Order below requirement",IF(K60&lt;L60,"Below price tier",IF(ISNUMBER(S60),IF(K60&gt;S60,"Quantity exceeds snapshot","Within quantity snapshot"),"Stock not stated")))</x:f>
        <x:v>Within quantity snapshot</x:v>
      </x:c>
      <x:c r="U60" s="2" t="str">
        <x:f>INDEX('Dated offers'!$C$7:$C$305,MATCH($Z60,'Dated offers'!$A$7:$A$305,0))</x:f>
        <x:v>DigiKey</x:v>
      </x:c>
      <x:c r="V60" s="2" t="str">
        <x:f>INDEX('Dated offers'!$D$7:$D$305,MATCH($Z60,'Dated offers'!$A$7:$A$305,0))</x:f>
        <x:v>Not stated</x:v>
      </x:c>
      <x:c r="W60" s="24" t="n">
        <x:f>INDEX('Dated offers'!$E$7:$E$305,MATCH($Z60,'Dated offers'!$A$7:$A$305,0))</x:f>
        <x:v>46307.47807255787</x:v>
      </x:c>
      <x:c r="X60" s="2" t="b">
        <x:f>INDEX('Dated offers'!$N$7:$N$305,MATCH($Z60,'Dated offers'!$A$7:$A$305,0))</x:f>
        <x:v>0</x:v>
      </x:c>
      <x:c r="Y60" s="2" t="str">
        <x:f>INDEX('Dated offers'!$O$7:$O$305,MATCH($Z60,'Dated offers'!$A$7:$A$305,0))</x:f>
        <x:v>Unreserved inventory snapshot</x:v>
      </x:c>
      <x:c r="Z60" s="17" t="str">
        <x:v>OF0054</x:v>
      </x:c>
      <x:c r="AA60" s="2"/>
      <x:c r="AB60" s="2" t="str">
        <x:f>INDEX('Dated offers'!$Q$7:$Q$305,MATCH($Z60,'Dated offers'!$A$7:$A$305,0))</x:f>
        <x:v>https://www.digikey.com/en/products/detail/diodes-incorporated/DMPH3010LK3-13/7352990</x:v>
      </x:c>
    </x:row>
    <x:row r="61" ht="24" customHeight="1">
      <x:c r="A61" s="2" t="str">
        <x:v>25 boards / nominal</x:v>
      </x:c>
      <x:c r="B61" s="17" t="str">
        <x:v>E22-900MM22S</x:v>
      </x:c>
      <x:c r="C61" s="18" t="n">
        <x:v>25</x:v>
      </x:c>
      <x:c r="D61" s="27" t="n">
        <x:v>0</x:v>
      </x:c>
      <x:c r="E61" s="18" t="n">
        <x:f>INDEX('Assembly BOM'!$C$7:$C$162,MATCH($B61,'Assembly BOM'!$A$7:$A$162,0))</x:f>
        <x:v>1</x:v>
      </x:c>
      <x:c r="F61" s="18" t="n">
        <x:f>C61*E61</x:f>
        <x:v>25</x:v>
      </x:c>
      <x:c r="G61" s="18" t="n">
        <x:f>ROUNDUP(F61*(1+D61),0)</x:f>
        <x:v>25</x:v>
      </x:c>
      <x:c r="H61" s="18" t="n">
        <x:f>INDEX('Dated offers'!$F$7:$F$305,MATCH($Z61,'Dated offers'!$A$7:$A$305,0))</x:f>
        <x:v>2</x:v>
      </x:c>
      <x:c r="I61" s="18" t="n">
        <x:f>INDEX('Dated offers'!$G$7:$G$305,MATCH($Z61,'Dated offers'!$A$7:$A$305,0))</x:f>
        <x:v>1</x:v>
      </x:c>
      <x:c r="J61" s="18" t="n">
        <x:f>CEILING(MAX(G61,H61),I61)</x:f>
        <x:v>25</x:v>
      </x:c>
      <x:c r="K61" s="18" t="n">
        <x:v>25</x:v>
      </x:c>
      <x:c r="L61" s="18" t="n">
        <x:f>INDEX('Dated offers'!$I$7:$I$305,MATCH($Z61,'Dated offers'!$A$7:$A$305,0))</x:f>
        <x:v>10</x:v>
      </x:c>
      <x:c r="M61" s="25" t="n">
        <x:f>INDEX('Dated offers'!$J$7:$J$305,MATCH($Z61,'Dated offers'!$A$7:$A$305,0))</x:f>
        <x:v>5.6207</x:v>
      </x:c>
      <x:c r="N61" s="25" t="n">
        <x:f>INDEX('Dated offers'!$K$7:$K$305,MATCH($Z61,'Dated offers'!$A$7:$A$305,0))</x:f>
        <x:v>0</x:v>
      </x:c>
      <x:c r="O61" s="25" t="n">
        <x:f>F61*M61</x:f>
        <x:v>140.5175</x:v>
      </x:c>
      <x:c r="P61" s="25" t="n">
        <x:f>G61*M61</x:f>
        <x:v>140.5175</x:v>
      </x:c>
      <x:c r="Q61" s="25" t="n">
        <x:f>K61*M61+N61</x:f>
        <x:v>140.5175</x:v>
      </x:c>
      <x:c r="R61" s="18" t="n">
        <x:f>K61-G61</x:f>
        <x:v>0</x:v>
      </x:c>
      <x:c r="S61" s="18" t="n">
        <x:f>INDEX('Dated offers'!$H$7:$H$305,MATCH($Z61,'Dated offers'!$A$7:$A$305,0))</x:f>
        <x:v>419</x:v>
      </x:c>
      <x:c r="T61" s="2" t="str">
        <x:f>IF(K61&lt;G61,"Order below requirement",IF(K61&lt;L61,"Below price tier",IF(ISNUMBER(S61),IF(K61&gt;S61,"Quantity exceeds snapshot","Within quantity snapshot"),"Stock not stated")))</x:f>
        <x:v>Within quantity snapshot</x:v>
      </x:c>
      <x:c r="U61" s="2" t="str">
        <x:f>INDEX('Dated offers'!$C$7:$C$305,MATCH($Z61,'Dated offers'!$A$7:$A$305,0))</x:f>
        <x:v>JLCPCB Parts</x:v>
      </x:c>
      <x:c r="V61" s="2" t="str">
        <x:f>INDEX('Dated offers'!$D$7:$D$305,MATCH($Z61,'Dated offers'!$A$7:$A$305,0))</x:f>
        <x:v>C5333985</x:v>
      </x:c>
      <x:c r="W61" s="24" t="n">
        <x:f>INDEX('Dated offers'!$E$7:$E$305,MATCH($Z61,'Dated offers'!$A$7:$A$305,0))</x:f>
        <x:v>46307.62535741898</x:v>
      </x:c>
      <x:c r="X61" s="2" t="b">
        <x:f>INDEX('Dated offers'!$N$7:$N$305,MATCH($Z61,'Dated offers'!$A$7:$A$305,0))</x:f>
        <x:v>1</x:v>
      </x:c>
      <x:c r="Y61" s="2" t="str">
        <x:f>INDEX('Dated offers'!$O$7:$O$305,MATCH($Z61,'Dated offers'!$A$7:$A$305,0))</x:f>
        <x:v>JLC PCBA allocation required</x:v>
      </x:c>
      <x:c r="Z61" s="17" t="str">
        <x:v>OF0055</x:v>
      </x:c>
      <x:c r="AA61" s="2"/>
      <x:c r="AB61" s="2" t="str">
        <x:f>INDEX('Dated offers'!$Q$7:$Q$305,MATCH($Z61,'Dated offers'!$A$7:$A$305,0))</x:f>
        <x:v>https://jlcpcb.com/partdetail/E22-900MM22S/C5333985</x:v>
      </x:c>
    </x:row>
    <x:row r="62" ht="24" customHeight="1">
      <x:c r="A62" s="2" t="str">
        <x:v>25 boards / nominal</x:v>
      </x:c>
      <x:c r="B62" s="17" t="str">
        <x:v>ESP32-S3FN8</x:v>
      </x:c>
      <x:c r="C62" s="18" t="n">
        <x:v>25</x:v>
      </x:c>
      <x:c r="D62" s="27" t="n">
        <x:v>0</x:v>
      </x:c>
      <x:c r="E62" s="18" t="n">
        <x:f>INDEX('Assembly BOM'!$C$7:$C$162,MATCH($B62,'Assembly BOM'!$A$7:$A$162,0))</x:f>
        <x:v>1</x:v>
      </x:c>
      <x:c r="F62" s="18" t="n">
        <x:f>C62*E62</x:f>
        <x:v>25</x:v>
      </x:c>
      <x:c r="G62" s="18" t="n">
        <x:f>ROUNDUP(F62*(1+D62),0)</x:f>
        <x:v>25</x:v>
      </x:c>
      <x:c r="H62" s="18" t="n">
        <x:f>INDEX('Dated offers'!$F$7:$F$305,MATCH($Z62,'Dated offers'!$A$7:$A$305,0))</x:f>
        <x:v>1</x:v>
      </x:c>
      <x:c r="I62" s="18" t="n">
        <x:f>INDEX('Dated offers'!$G$7:$G$305,MATCH($Z62,'Dated offers'!$A$7:$A$305,0))</x:f>
        <x:v>1</x:v>
      </x:c>
      <x:c r="J62" s="18" t="n">
        <x:f>CEILING(MAX(G62,H62),I62)</x:f>
        <x:v>25</x:v>
      </x:c>
      <x:c r="K62" s="18" t="n">
        <x:v>25</x:v>
      </x:c>
      <x:c r="L62" s="18" t="n">
        <x:f>INDEX('Dated offers'!$I$7:$I$305,MATCH($Z62,'Dated offers'!$A$7:$A$305,0))</x:f>
        <x:v>25</x:v>
      </x:c>
      <x:c r="M62" s="25" t="n">
        <x:f>INDEX('Dated offers'!$J$7:$J$305,MATCH($Z62,'Dated offers'!$A$7:$A$305,0))</x:f>
        <x:v>3.4076</x:v>
      </x:c>
      <x:c r="N62" s="25" t="n">
        <x:f>INDEX('Dated offers'!$K$7:$K$305,MATCH($Z62,'Dated offers'!$A$7:$A$305,0))</x:f>
        <x:v>0</x:v>
      </x:c>
      <x:c r="O62" s="25" t="n">
        <x:f>F62*M62</x:f>
        <x:v>85.19</x:v>
      </x:c>
      <x:c r="P62" s="25" t="n">
        <x:f>G62*M62</x:f>
        <x:v>85.19</x:v>
      </x:c>
      <x:c r="Q62" s="25" t="n">
        <x:f>K62*M62+N62</x:f>
        <x:v>85.19</x:v>
      </x:c>
      <x:c r="R62" s="18" t="n">
        <x:f>K62-G62</x:f>
        <x:v>0</x:v>
      </x:c>
      <x:c r="S62" s="18" t="n">
        <x:f>INDEX('Dated offers'!$H$7:$H$305,MATCH($Z62,'Dated offers'!$A$7:$A$305,0))</x:f>
        <x:v>4387</x:v>
      </x:c>
      <x:c r="T62" s="2" t="str">
        <x:f>IF(K62&lt;G62,"Order below requirement",IF(K62&lt;L62,"Below price tier",IF(ISNUMBER(S62),IF(K62&gt;S62,"Quantity exceeds snapshot","Within quantity snapshot"),"Stock not stated")))</x:f>
        <x:v>Within quantity snapshot</x:v>
      </x:c>
      <x:c r="U62" s="2" t="str">
        <x:f>INDEX('Dated offers'!$C$7:$C$305,MATCH($Z62,'Dated offers'!$A$7:$A$305,0))</x:f>
        <x:v>DigiKey</x:v>
      </x:c>
      <x:c r="V62" s="2" t="str">
        <x:f>INDEX('Dated offers'!$D$7:$D$305,MATCH($Z62,'Dated offers'!$A$7:$A$305,0))</x:f>
        <x:v>Not stated</x:v>
      </x:c>
      <x:c r="W62" s="24" t="n">
        <x:f>INDEX('Dated offers'!$E$7:$E$305,MATCH($Z62,'Dated offers'!$A$7:$A$305,0))</x:f>
        <x:v>46307.47807256944</x:v>
      </x:c>
      <x:c r="X62" s="2" t="b">
        <x:f>INDEX('Dated offers'!$N$7:$N$305,MATCH($Z62,'Dated offers'!$A$7:$A$305,0))</x:f>
        <x:v>0</x:v>
      </x:c>
      <x:c r="Y62" s="2" t="str">
        <x:f>INDEX('Dated offers'!$O$7:$O$305,MATCH($Z62,'Dated offers'!$A$7:$A$305,0))</x:f>
        <x:v>Unreserved inventory snapshot</x:v>
      </x:c>
      <x:c r="Z62" s="17" t="str">
        <x:v>OF0056</x:v>
      </x:c>
      <x:c r="AA62" s="2"/>
      <x:c r="AB62" s="2" t="str">
        <x:f>INDEX('Dated offers'!$Q$7:$Q$305,MATCH($Z62,'Dated offers'!$A$7:$A$305,0))</x:f>
        <x:v>https://www.digikey.com/en/products/detail/espressif-systems/ESP32-S3FN8/15822446</x:v>
      </x:c>
    </x:row>
    <x:row r="63" ht="24" customHeight="1">
      <x:c r="A63" s="2" t="str">
        <x:v>25 boards / nominal</x:v>
      </x:c>
      <x:c r="B63" s="17" t="str">
        <x:v>F1206HI4000V032TM</x:v>
      </x:c>
      <x:c r="C63" s="18" t="n">
        <x:v>25</x:v>
      </x:c>
      <x:c r="D63" s="27" t="n">
        <x:v>0</x:v>
      </x:c>
      <x:c r="E63" s="18" t="n">
        <x:f>INDEX('Assembly BOM'!$C$7:$C$162,MATCH($B63,'Assembly BOM'!$A$7:$A$162,0))</x:f>
        <x:v>1</x:v>
      </x:c>
      <x:c r="F63" s="18" t="n">
        <x:f>C63*E63</x:f>
        <x:v>25</x:v>
      </x:c>
      <x:c r="G63" s="18" t="n">
        <x:f>ROUNDUP(F63*(1+D63),0)</x:f>
        <x:v>25</x:v>
      </x:c>
      <x:c r="H63" s="18" t="n">
        <x:f>INDEX('Dated offers'!$F$7:$F$305,MATCH($Z63,'Dated offers'!$A$7:$A$305,0))</x:f>
        <x:v>5</x:v>
      </x:c>
      <x:c r="I63" s="18" t="n">
        <x:f>INDEX('Dated offers'!$G$7:$G$305,MATCH($Z63,'Dated offers'!$A$7:$A$305,0))</x:f>
        <x:v>5</x:v>
      </x:c>
      <x:c r="J63" s="18" t="n">
        <x:f>CEILING(MAX(G63,H63),I63)</x:f>
        <x:v>25</x:v>
      </x:c>
      <x:c r="K63" s="18" t="n">
        <x:v>25</x:v>
      </x:c>
      <x:c r="L63" s="18" t="n">
        <x:f>INDEX('Dated offers'!$I$7:$I$305,MATCH($Z63,'Dated offers'!$A$7:$A$305,0))</x:f>
        <x:v>5</x:v>
      </x:c>
      <x:c r="M63" s="25" t="n">
        <x:f>INDEX('Dated offers'!$J$7:$J$305,MATCH($Z63,'Dated offers'!$A$7:$A$305,0))</x:f>
        <x:v>0.289</x:v>
      </x:c>
      <x:c r="N63" s="25" t="n">
        <x:f>INDEX('Dated offers'!$K$7:$K$305,MATCH($Z63,'Dated offers'!$A$7:$A$305,0))</x:f>
        <x:v>0</x:v>
      </x:c>
      <x:c r="O63" s="25" t="n">
        <x:f>F63*M63</x:f>
        <x:v>7.225</x:v>
      </x:c>
      <x:c r="P63" s="25" t="n">
        <x:f>G63*M63</x:f>
        <x:v>7.225</x:v>
      </x:c>
      <x:c r="Q63" s="25" t="n">
        <x:f>K63*M63+N63</x:f>
        <x:v>7.225</x:v>
      </x:c>
      <x:c r="R63" s="18" t="n">
        <x:f>K63-G63</x:f>
        <x:v>0</x:v>
      </x:c>
      <x:c r="S63" s="18" t="n">
        <x:f>INDEX('Dated offers'!$H$7:$H$305,MATCH($Z63,'Dated offers'!$A$7:$A$305,0))</x:f>
        <x:v>6270</x:v>
      </x:c>
      <x:c r="T63" s="2" t="str">
        <x:f>IF(K63&lt;G63,"Order below requirement",IF(K63&lt;L63,"Below price tier",IF(ISNUMBER(S63),IF(K63&gt;S63,"Quantity exceeds snapshot","Within quantity snapshot"),"Stock not stated")))</x:f>
        <x:v>Within quantity snapshot</x:v>
      </x:c>
      <x:c r="U63" s="2" t="str">
        <x:f>INDEX('Dated offers'!$C$7:$C$305,MATCH($Z63,'Dated offers'!$A$7:$A$305,0))</x:f>
        <x:v>LCSC</x:v>
      </x:c>
      <x:c r="V63" s="2" t="str">
        <x:f>INDEX('Dated offers'!$D$7:$D$305,MATCH($Z63,'Dated offers'!$A$7:$A$305,0))</x:f>
        <x:v>C246771</x:v>
      </x:c>
      <x:c r="W63" s="24" t="n">
        <x:f>INDEX('Dated offers'!$E$7:$E$305,MATCH($Z63,'Dated offers'!$A$7:$A$305,0))</x:f>
        <x:v>46307.44742240741</x:v>
      </x:c>
      <x:c r="X63" s="2" t="b">
        <x:f>INDEX('Dated offers'!$N$7:$N$305,MATCH($Z63,'Dated offers'!$A$7:$A$305,0))</x:f>
        <x:v>0</x:v>
      </x:c>
      <x:c r="Y63" s="2" t="str">
        <x:f>INDEX('Dated offers'!$O$7:$O$305,MATCH($Z63,'Dated offers'!$A$7:$A$305,0))</x:f>
        <x:v>Unreserved inventory snapshot</x:v>
      </x:c>
      <x:c r="Z63" s="17" t="str">
        <x:v>OF0057</x:v>
      </x:c>
      <x:c r="AA63" s="2"/>
      <x:c r="AB63" s="2" t="str">
        <x:f>INDEX('Dated offers'!$Q$7:$Q$305,MATCH($Z63,'Dated offers'!$A$7:$A$305,0))</x:f>
        <x:v>https://www.lcsc.com/product-detail/C246771.html</x:v>
      </x:c>
    </x:row>
    <x:row r="64" ht="24" customHeight="1">
      <x:c r="A64" s="2" t="str">
        <x:v>25 boards / nominal</x:v>
      </x:c>
      <x:c r="B64" s="17" t="str">
        <x:v>FSUSB42UMX</x:v>
      </x:c>
      <x:c r="C64" s="18" t="n">
        <x:v>25</x:v>
      </x:c>
      <x:c r="D64" s="27" t="n">
        <x:v>0</x:v>
      </x:c>
      <x:c r="E64" s="18" t="n">
        <x:f>INDEX('Assembly BOM'!$C$7:$C$162,MATCH($B64,'Assembly BOM'!$A$7:$A$162,0))</x:f>
        <x:v>1</x:v>
      </x:c>
      <x:c r="F64" s="18" t="n">
        <x:f>C64*E64</x:f>
        <x:v>25</x:v>
      </x:c>
      <x:c r="G64" s="18" t="n">
        <x:f>ROUNDUP(F64*(1+D64),0)</x:f>
        <x:v>25</x:v>
      </x:c>
      <x:c r="H64" s="18" t="n">
        <x:f>INDEX('Dated offers'!$F$7:$F$305,MATCH($Z64,'Dated offers'!$A$7:$A$305,0))</x:f>
        <x:v>1</x:v>
      </x:c>
      <x:c r="I64" s="18" t="n">
        <x:f>INDEX('Dated offers'!$G$7:$G$305,MATCH($Z64,'Dated offers'!$A$7:$A$305,0))</x:f>
        <x:v>1</x:v>
      </x:c>
      <x:c r="J64" s="18" t="n">
        <x:f>CEILING(MAX(G64,H64),I64)</x:f>
        <x:v>25</x:v>
      </x:c>
      <x:c r="K64" s="18" t="n">
        <x:v>25</x:v>
      </x:c>
      <x:c r="L64" s="18" t="n">
        <x:f>INDEX('Dated offers'!$I$7:$I$305,MATCH($Z64,'Dated offers'!$A$7:$A$305,0))</x:f>
        <x:v>10</x:v>
      </x:c>
      <x:c r="M64" s="25" t="n">
        <x:f>INDEX('Dated offers'!$J$7:$J$305,MATCH($Z64,'Dated offers'!$A$7:$A$305,0))</x:f>
        <x:v>0.3453</x:v>
      </x:c>
      <x:c r="N64" s="25" t="n">
        <x:f>INDEX('Dated offers'!$K$7:$K$305,MATCH($Z64,'Dated offers'!$A$7:$A$305,0))</x:f>
        <x:v>0</x:v>
      </x:c>
      <x:c r="O64" s="25" t="n">
        <x:f>F64*M64</x:f>
        <x:v>8.6325</x:v>
      </x:c>
      <x:c r="P64" s="25" t="n">
        <x:f>G64*M64</x:f>
        <x:v>8.6325</x:v>
      </x:c>
      <x:c r="Q64" s="25" t="n">
        <x:f>K64*M64+N64</x:f>
        <x:v>8.6325</x:v>
      </x:c>
      <x:c r="R64" s="18" t="n">
        <x:f>K64-G64</x:f>
        <x:v>0</x:v>
      </x:c>
      <x:c r="S64" s="18" t="n">
        <x:f>INDEX('Dated offers'!$H$7:$H$305,MATCH($Z64,'Dated offers'!$A$7:$A$305,0))</x:f>
        <x:v>20301</x:v>
      </x:c>
      <x:c r="T64" s="2" t="str">
        <x:f>IF(K64&lt;G64,"Order below requirement",IF(K64&lt;L64,"Below price tier",IF(ISNUMBER(S64),IF(K64&gt;S64,"Quantity exceeds snapshot","Within quantity snapshot"),"Stock not stated")))</x:f>
        <x:v>Within quantity snapshot</x:v>
      </x:c>
      <x:c r="U64" s="2" t="str">
        <x:f>INDEX('Dated offers'!$C$7:$C$305,MATCH($Z64,'Dated offers'!$A$7:$A$305,0))</x:f>
        <x:v>LCSC</x:v>
      </x:c>
      <x:c r="V64" s="2" t="str">
        <x:f>INDEX('Dated offers'!$D$7:$D$305,MATCH($Z64,'Dated offers'!$A$7:$A$305,0))</x:f>
        <x:v>C11145</x:v>
      </x:c>
      <x:c r="W64" s="24" t="n">
        <x:f>INDEX('Dated offers'!$E$7:$E$305,MATCH($Z64,'Dated offers'!$A$7:$A$305,0))</x:f>
        <x:v>46307.447422847225</x:v>
      </x:c>
      <x:c r="X64" s="2" t="b">
        <x:f>INDEX('Dated offers'!$N$7:$N$305,MATCH($Z64,'Dated offers'!$A$7:$A$305,0))</x:f>
        <x:v>0</x:v>
      </x:c>
      <x:c r="Y64" s="2" t="str">
        <x:f>INDEX('Dated offers'!$O$7:$O$305,MATCH($Z64,'Dated offers'!$A$7:$A$305,0))</x:f>
        <x:v>Unreserved inventory snapshot</x:v>
      </x:c>
      <x:c r="Z64" s="17" t="str">
        <x:v>OF0058</x:v>
      </x:c>
      <x:c r="AA64" s="2"/>
      <x:c r="AB64" s="2" t="str">
        <x:f>INDEX('Dated offers'!$Q$7:$Q$305,MATCH($Z64,'Dated offers'!$A$7:$A$305,0))</x:f>
        <x:v>https://www.lcsc.com/product-detail/C11145.html</x:v>
      </x:c>
    </x:row>
    <x:row r="65" ht="24" customHeight="1">
      <x:c r="A65" s="2" t="str">
        <x:v>25 boards / nominal</x:v>
      </x:c>
      <x:c r="B65" s="17" t="str">
        <x:v>GRM1555C1H270JA01D</x:v>
      </x:c>
      <x:c r="C65" s="18" t="n">
        <x:v>25</x:v>
      </x:c>
      <x:c r="D65" s="27" t="n">
        <x:v>0</x:v>
      </x:c>
      <x:c r="E65" s="18" t="n">
        <x:f>INDEX('Assembly BOM'!$C$7:$C$162,MATCH($B65,'Assembly BOM'!$A$7:$A$162,0))</x:f>
        <x:v>2</x:v>
      </x:c>
      <x:c r="F65" s="18" t="n">
        <x:f>C65*E65</x:f>
        <x:v>50</x:v>
      </x:c>
      <x:c r="G65" s="18" t="n">
        <x:f>ROUNDUP(F65*(1+D65),0)</x:f>
        <x:v>50</x:v>
      </x:c>
      <x:c r="H65" s="18" t="n">
        <x:f>INDEX('Dated offers'!$F$7:$F$305,MATCH($Z65,'Dated offers'!$A$7:$A$305,0))</x:f>
        <x:v>1</x:v>
      </x:c>
      <x:c r="I65" s="18" t="n">
        <x:f>INDEX('Dated offers'!$G$7:$G$305,MATCH($Z65,'Dated offers'!$A$7:$A$305,0))</x:f>
        <x:v>1</x:v>
      </x:c>
      <x:c r="J65" s="18" t="n">
        <x:f>CEILING(MAX(G65,H65),I65)</x:f>
        <x:v>50</x:v>
      </x:c>
      <x:c r="K65" s="18" t="n">
        <x:v>50</x:v>
      </x:c>
      <x:c r="L65" s="18" t="n">
        <x:f>INDEX('Dated offers'!$I$7:$I$305,MATCH($Z65,'Dated offers'!$A$7:$A$305,0))</x:f>
        <x:v>50</x:v>
      </x:c>
      <x:c r="M65" s="25" t="n">
        <x:f>INDEX('Dated offers'!$J$7:$J$305,MATCH($Z65,'Dated offers'!$A$7:$A$305,0))</x:f>
        <x:v>0.014</x:v>
      </x:c>
      <x:c r="N65" s="25" t="n">
        <x:f>INDEX('Dated offers'!$K$7:$K$305,MATCH($Z65,'Dated offers'!$A$7:$A$305,0))</x:f>
        <x:v>0</x:v>
      </x:c>
      <x:c r="O65" s="25" t="n">
        <x:f>F65*M65</x:f>
        <x:v>0.7000000000000001</x:v>
      </x:c>
      <x:c r="P65" s="25" t="n">
        <x:f>G65*M65</x:f>
        <x:v>0.7000000000000001</x:v>
      </x:c>
      <x:c r="Q65" s="25" t="n">
        <x:f>K65*M65+N65</x:f>
        <x:v>0.7000000000000001</x:v>
      </x:c>
      <x:c r="R65" s="18" t="n">
        <x:f>K65-G65</x:f>
        <x:v>0</x:v>
      </x:c>
      <x:c r="S65" s="18" t="n">
        <x:f>INDEX('Dated offers'!$H$7:$H$305,MATCH($Z65,'Dated offers'!$A$7:$A$305,0))</x:f>
        <x:v>4471424</x:v>
      </x:c>
      <x:c r="T65" s="2" t="str">
        <x:f>IF(K65&lt;G65,"Order below requirement",IF(K65&lt;L65,"Below price tier",IF(ISNUMBER(S65),IF(K65&gt;S65,"Quantity exceeds snapshot","Within quantity snapshot"),"Stock not stated")))</x:f>
        <x:v>Within quantity snapshot</x:v>
      </x:c>
      <x:c r="U65" s="2" t="str">
        <x:f>INDEX('Dated offers'!$C$7:$C$305,MATCH($Z65,'Dated offers'!$A$7:$A$305,0))</x:f>
        <x:v>DigiKey</x:v>
      </x:c>
      <x:c r="V65" s="2" t="str">
        <x:f>INDEX('Dated offers'!$D$7:$D$305,MATCH($Z65,'Dated offers'!$A$7:$A$305,0))</x:f>
        <x:v>Not stated</x:v>
      </x:c>
      <x:c r="W65" s="24" t="n">
        <x:f>INDEX('Dated offers'!$E$7:$E$305,MATCH($Z65,'Dated offers'!$A$7:$A$305,0))</x:f>
        <x:v>46307.47807256944</x:v>
      </x:c>
      <x:c r="X65" s="2" t="b">
        <x:f>INDEX('Dated offers'!$N$7:$N$305,MATCH($Z65,'Dated offers'!$A$7:$A$305,0))</x:f>
        <x:v>0</x:v>
      </x:c>
      <x:c r="Y65" s="2" t="str">
        <x:f>INDEX('Dated offers'!$O$7:$O$305,MATCH($Z65,'Dated offers'!$A$7:$A$305,0))</x:f>
        <x:v>Unreserved inventory snapshot</x:v>
      </x:c>
      <x:c r="Z65" s="17" t="str">
        <x:v>OF0059</x:v>
      </x:c>
      <x:c r="AA65" s="2"/>
      <x:c r="AB65" s="2" t="str">
        <x:f>INDEX('Dated offers'!$Q$7:$Q$305,MATCH($Z65,'Dated offers'!$A$7:$A$305,0))</x:f>
        <x:v>https://www.digikey.com/en/products/detail/murata-electronics/GRM1555C1H270JA01D/3175188</x:v>
      </x:c>
    </x:row>
    <x:row r="66" ht="24" customHeight="1">
      <x:c r="A66" s="2" t="str">
        <x:v>25 boards / nominal</x:v>
      </x:c>
      <x:c r="B66" s="17" t="str">
        <x:v>GRM155R71C104KA88D</x:v>
      </x:c>
      <x:c r="C66" s="18" t="n">
        <x:v>25</x:v>
      </x:c>
      <x:c r="D66" s="27" t="n">
        <x:v>0</x:v>
      </x:c>
      <x:c r="E66" s="18" t="n">
        <x:f>INDEX('Assembly BOM'!$C$7:$C$162,MATCH($B66,'Assembly BOM'!$A$7:$A$162,0))</x:f>
        <x:v>5</x:v>
      </x:c>
      <x:c r="F66" s="18" t="n">
        <x:f>C66*E66</x:f>
        <x:v>125</x:v>
      </x:c>
      <x:c r="G66" s="18" t="n">
        <x:f>ROUNDUP(F66*(1+D66),0)</x:f>
        <x:v>125</x:v>
      </x:c>
      <x:c r="H66" s="18" t="n">
        <x:f>INDEX('Dated offers'!$F$7:$F$305,MATCH($Z66,'Dated offers'!$A$7:$A$305,0))</x:f>
        <x:v>100</x:v>
      </x:c>
      <x:c r="I66" s="18" t="n">
        <x:f>INDEX('Dated offers'!$G$7:$G$305,MATCH($Z66,'Dated offers'!$A$7:$A$305,0))</x:f>
        <x:v>100</x:v>
      </x:c>
      <x:c r="J66" s="18" t="n">
        <x:f>CEILING(MAX(G66,H66),I66)</x:f>
        <x:v>200</x:v>
      </x:c>
      <x:c r="K66" s="18" t="n">
        <x:v>200</x:v>
      </x:c>
      <x:c r="L66" s="18" t="n">
        <x:f>INDEX('Dated offers'!$I$7:$I$305,MATCH($Z66,'Dated offers'!$A$7:$A$305,0))</x:f>
        <x:v>100</x:v>
      </x:c>
      <x:c r="M66" s="25" t="n">
        <x:f>INDEX('Dated offers'!$J$7:$J$305,MATCH($Z66,'Dated offers'!$A$7:$A$305,0))</x:f>
        <x:v>0.0052</x:v>
      </x:c>
      <x:c r="N66" s="25" t="n">
        <x:f>INDEX('Dated offers'!$K$7:$K$305,MATCH($Z66,'Dated offers'!$A$7:$A$305,0))</x:f>
        <x:v>0</x:v>
      </x:c>
      <x:c r="O66" s="25" t="n">
        <x:f>F66*M66</x:f>
        <x:v>0.65</x:v>
      </x:c>
      <x:c r="P66" s="25" t="n">
        <x:f>G66*M66</x:f>
        <x:v>0.65</x:v>
      </x:c>
      <x:c r="Q66" s="25" t="n">
        <x:f>K66*M66+N66</x:f>
        <x:v>1.04</x:v>
      </x:c>
      <x:c r="R66" s="18" t="n">
        <x:f>K66-G66</x:f>
        <x:v>75</x:v>
      </x:c>
      <x:c r="S66" s="18" t="n">
        <x:f>INDEX('Dated offers'!$H$7:$H$305,MATCH($Z66,'Dated offers'!$A$7:$A$305,0))</x:f>
        <x:v>957800</x:v>
      </x:c>
      <x:c r="T66" s="2" t="str">
        <x:f>IF(K66&lt;G66,"Order below requirement",IF(K66&lt;L66,"Below price tier",IF(ISNUMBER(S66),IF(K66&gt;S66,"Quantity exceeds snapshot","Within quantity snapshot"),"Stock not stated")))</x:f>
        <x:v>Within quantity snapshot</x:v>
      </x:c>
      <x:c r="U66" s="2" t="str">
        <x:f>INDEX('Dated offers'!$C$7:$C$305,MATCH($Z66,'Dated offers'!$A$7:$A$305,0))</x:f>
        <x:v>LCSC</x:v>
      </x:c>
      <x:c r="V66" s="2" t="str">
        <x:f>INDEX('Dated offers'!$D$7:$D$305,MATCH($Z66,'Dated offers'!$A$7:$A$305,0))</x:f>
        <x:v>C71629</x:v>
      </x:c>
      <x:c r="W66" s="24" t="n">
        <x:f>INDEX('Dated offers'!$E$7:$E$305,MATCH($Z66,'Dated offers'!$A$7:$A$305,0))</x:f>
        <x:v>46307.44742510417</x:v>
      </x:c>
      <x:c r="X66" s="2" t="b">
        <x:f>INDEX('Dated offers'!$N$7:$N$305,MATCH($Z66,'Dated offers'!$A$7:$A$305,0))</x:f>
        <x:v>0</x:v>
      </x:c>
      <x:c r="Y66" s="2" t="str">
        <x:f>INDEX('Dated offers'!$O$7:$O$305,MATCH($Z66,'Dated offers'!$A$7:$A$305,0))</x:f>
        <x:v>Unreserved inventory snapshot</x:v>
      </x:c>
      <x:c r="Z66" s="17" t="str">
        <x:v>OF0060</x:v>
      </x:c>
      <x:c r="AA66" s="2"/>
      <x:c r="AB66" s="2" t="str">
        <x:f>INDEX('Dated offers'!$Q$7:$Q$305,MATCH($Z66,'Dated offers'!$A$7:$A$305,0))</x:f>
        <x:v>https://www.lcsc.com/product-detail/C71629.html</x:v>
      </x:c>
    </x:row>
    <x:row r="67" ht="24" customHeight="1">
      <x:c r="A67" s="2" t="str">
        <x:v>25 boards / nominal</x:v>
      </x:c>
      <x:c r="B67" s="17" t="str">
        <x:v>GRM155R71E222KA01D</x:v>
      </x:c>
      <x:c r="C67" s="18" t="n">
        <x:v>25</x:v>
      </x:c>
      <x:c r="D67" s="27" t="n">
        <x:v>0</x:v>
      </x:c>
      <x:c r="E67" s="18" t="n">
        <x:f>INDEX('Assembly BOM'!$C$7:$C$162,MATCH($B67,'Assembly BOM'!$A$7:$A$162,0))</x:f>
        <x:v>3</x:v>
      </x:c>
      <x:c r="F67" s="18" t="n">
        <x:f>C67*E67</x:f>
        <x:v>75</x:v>
      </x:c>
      <x:c r="G67" s="18" t="n">
        <x:f>ROUNDUP(F67*(1+D67),0)</x:f>
        <x:v>75</x:v>
      </x:c>
      <x:c r="H67" s="18" t="n">
        <x:f>INDEX('Dated offers'!$F$7:$F$305,MATCH($Z67,'Dated offers'!$A$7:$A$305,0))</x:f>
        <x:v>1</x:v>
      </x:c>
      <x:c r="I67" s="18" t="n">
        <x:f>INDEX('Dated offers'!$G$7:$G$305,MATCH($Z67,'Dated offers'!$A$7:$A$305,0))</x:f>
        <x:v>1</x:v>
      </x:c>
      <x:c r="J67" s="18" t="n">
        <x:f>CEILING(MAX(G67,H67),I67)</x:f>
        <x:v>75</x:v>
      </x:c>
      <x:c r="K67" s="18" t="n">
        <x:v>75</x:v>
      </x:c>
      <x:c r="L67" s="18" t="n">
        <x:f>INDEX('Dated offers'!$I$7:$I$305,MATCH($Z67,'Dated offers'!$A$7:$A$305,0))</x:f>
        <x:v>50</x:v>
      </x:c>
      <x:c r="M67" s="25" t="n">
        <x:f>INDEX('Dated offers'!$J$7:$J$305,MATCH($Z67,'Dated offers'!$A$7:$A$305,0))</x:f>
        <x:v>0.0134</x:v>
      </x:c>
      <x:c r="N67" s="25" t="n">
        <x:f>INDEX('Dated offers'!$K$7:$K$305,MATCH($Z67,'Dated offers'!$A$7:$A$305,0))</x:f>
        <x:v>0</x:v>
      </x:c>
      <x:c r="O67" s="25" t="n">
        <x:f>F67*M67</x:f>
        <x:v>1.0050000000000001</x:v>
      </x:c>
      <x:c r="P67" s="25" t="n">
        <x:f>G67*M67</x:f>
        <x:v>1.0050000000000001</x:v>
      </x:c>
      <x:c r="Q67" s="25" t="n">
        <x:f>K67*M67+N67</x:f>
        <x:v>1.0050000000000001</x:v>
      </x:c>
      <x:c r="R67" s="18" t="n">
        <x:f>K67-G67</x:f>
        <x:v>0</x:v>
      </x:c>
      <x:c r="S67" s="18" t="n">
        <x:f>INDEX('Dated offers'!$H$7:$H$305,MATCH($Z67,'Dated offers'!$A$7:$A$305,0))</x:f>
        <x:v>85441</x:v>
      </x:c>
      <x:c r="T67" s="2" t="str">
        <x:f>IF(K67&lt;G67,"Order below requirement",IF(K67&lt;L67,"Below price tier",IF(ISNUMBER(S67),IF(K67&gt;S67,"Quantity exceeds snapshot","Within quantity snapshot"),"Stock not stated")))</x:f>
        <x:v>Within quantity snapshot</x:v>
      </x:c>
      <x:c r="U67" s="2" t="str">
        <x:f>INDEX('Dated offers'!$C$7:$C$305,MATCH($Z67,'Dated offers'!$A$7:$A$305,0))</x:f>
        <x:v>DigiKey</x:v>
      </x:c>
      <x:c r="V67" s="2" t="str">
        <x:f>INDEX('Dated offers'!$D$7:$D$305,MATCH($Z67,'Dated offers'!$A$7:$A$305,0))</x:f>
        <x:v>Not stated</x:v>
      </x:c>
      <x:c r="W67" s="24" t="n">
        <x:f>INDEX('Dated offers'!$E$7:$E$305,MATCH($Z67,'Dated offers'!$A$7:$A$305,0))</x:f>
        <x:v>46307.47807256944</x:v>
      </x:c>
      <x:c r="X67" s="2" t="b">
        <x:f>INDEX('Dated offers'!$N$7:$N$305,MATCH($Z67,'Dated offers'!$A$7:$A$305,0))</x:f>
        <x:v>0</x:v>
      </x:c>
      <x:c r="Y67" s="2" t="str">
        <x:f>INDEX('Dated offers'!$O$7:$O$305,MATCH($Z67,'Dated offers'!$A$7:$A$305,0))</x:f>
        <x:v>Unreserved inventory snapshot</x:v>
      </x:c>
      <x:c r="Z67" s="17" t="str">
        <x:v>OF0061</x:v>
      </x:c>
      <x:c r="AA67" s="2"/>
      <x:c r="AB67" s="2" t="str">
        <x:f>INDEX('Dated offers'!$Q$7:$Q$305,MATCH($Z67,'Dated offers'!$A$7:$A$305,0))</x:f>
        <x:v>https://www.digikey.com/en/products/detail/murata-electronics/GRM155R71E222KA01D/2175226</x:v>
      </x:c>
    </x:row>
    <x:row r="68" ht="24" customHeight="1">
      <x:c r="A68" s="2" t="str">
        <x:v>25 boards / nominal</x:v>
      </x:c>
      <x:c r="B68" s="17" t="str">
        <x:v>GRM188R72A104KA35D</x:v>
      </x:c>
      <x:c r="C68" s="18" t="n">
        <x:v>25</x:v>
      </x:c>
      <x:c r="D68" s="27" t="n">
        <x:v>0</x:v>
      </x:c>
      <x:c r="E68" s="18" t="n">
        <x:f>INDEX('Assembly BOM'!$C$7:$C$162,MATCH($B68,'Assembly BOM'!$A$7:$A$162,0))</x:f>
        <x:v>3</x:v>
      </x:c>
      <x:c r="F68" s="18" t="n">
        <x:f>C68*E68</x:f>
        <x:v>75</x:v>
      </x:c>
      <x:c r="G68" s="18" t="n">
        <x:f>ROUNDUP(F68*(1+D68),0)</x:f>
        <x:v>75</x:v>
      </x:c>
      <x:c r="H68" s="18" t="n">
        <x:f>INDEX('Dated offers'!$F$7:$F$305,MATCH($Z68,'Dated offers'!$A$7:$A$305,0))</x:f>
        <x:v>1</x:v>
      </x:c>
      <x:c r="I68" s="18" t="n">
        <x:f>INDEX('Dated offers'!$G$7:$G$305,MATCH($Z68,'Dated offers'!$A$7:$A$305,0))</x:f>
        <x:v>1</x:v>
      </x:c>
      <x:c r="J68" s="18" t="n">
        <x:f>CEILING(MAX(G68,H68),I68)</x:f>
        <x:v>75</x:v>
      </x:c>
      <x:c r="K68" s="18" t="n">
        <x:v>75</x:v>
      </x:c>
      <x:c r="L68" s="18" t="n">
        <x:f>INDEX('Dated offers'!$I$7:$I$305,MATCH($Z68,'Dated offers'!$A$7:$A$305,0))</x:f>
        <x:v>50</x:v>
      </x:c>
      <x:c r="M68" s="25" t="n">
        <x:f>INDEX('Dated offers'!$J$7:$J$305,MATCH($Z68,'Dated offers'!$A$7:$A$305,0))</x:f>
        <x:v>0.0612</x:v>
      </x:c>
      <x:c r="N68" s="25" t="n">
        <x:f>INDEX('Dated offers'!$K$7:$K$305,MATCH($Z68,'Dated offers'!$A$7:$A$305,0))</x:f>
        <x:v>0</x:v>
      </x:c>
      <x:c r="O68" s="25" t="n">
        <x:f>F68*M68</x:f>
        <x:v>4.59</x:v>
      </x:c>
      <x:c r="P68" s="25" t="n">
        <x:f>G68*M68</x:f>
        <x:v>4.59</x:v>
      </x:c>
      <x:c r="Q68" s="25" t="n">
        <x:f>K68*M68+N68</x:f>
        <x:v>4.59</x:v>
      </x:c>
      <x:c r="R68" s="18" t="n">
        <x:f>K68-G68</x:f>
        <x:v>0</x:v>
      </x:c>
      <x:c r="S68" s="18" t="n">
        <x:f>INDEX('Dated offers'!$H$7:$H$305,MATCH($Z68,'Dated offers'!$A$7:$A$305,0))</x:f>
        <x:v>404101</x:v>
      </x:c>
      <x:c r="T68" s="2" t="str">
        <x:f>IF(K68&lt;G68,"Order below requirement",IF(K68&lt;L68,"Below price tier",IF(ISNUMBER(S68),IF(K68&gt;S68,"Quantity exceeds snapshot","Within quantity snapshot"),"Stock not stated")))</x:f>
        <x:v>Within quantity snapshot</x:v>
      </x:c>
      <x:c r="U68" s="2" t="str">
        <x:f>INDEX('Dated offers'!$C$7:$C$305,MATCH($Z68,'Dated offers'!$A$7:$A$305,0))</x:f>
        <x:v>DigiKey</x:v>
      </x:c>
      <x:c r="V68" s="2" t="str">
        <x:f>INDEX('Dated offers'!$D$7:$D$305,MATCH($Z68,'Dated offers'!$A$7:$A$305,0))</x:f>
        <x:v>Exact GRM188R72A104KA35D Cut Tape</x:v>
      </x:c>
      <x:c r="W68" s="24" t="n">
        <x:f>INDEX('Dated offers'!$E$7:$E$305,MATCH($Z68,'Dated offers'!$A$7:$A$305,0))</x:f>
        <x:v>46307.7145725</x:v>
      </x:c>
      <x:c r="X68" s="2" t="b">
        <x:f>INDEX('Dated offers'!$N$7:$N$305,MATCH($Z68,'Dated offers'!$A$7:$A$305,0))</x:f>
        <x:v>0</x:v>
      </x:c>
      <x:c r="Y68" s="2" t="str">
        <x:f>INDEX('Dated offers'!$O$7:$O$305,MATCH($Z68,'Dated offers'!$A$7:$A$305,0))</x:f>
        <x:v>Unreserved inventory snapshot</x:v>
      </x:c>
      <x:c r="Z68" s="17" t="str">
        <x:v>OF0062</x:v>
      </x:c>
      <x:c r="AA68" s="2"/>
      <x:c r="AB68" s="2" t="str">
        <x:f>INDEX('Dated offers'!$Q$7:$Q$305,MATCH($Z68,'Dated offers'!$A$7:$A$305,0))</x:f>
        <x:v>https://www.digikey.com/en/products/detail/murata-electronics/GRM188R72A104KA35D/702826</x:v>
      </x:c>
    </x:row>
    <x:row r="69" ht="24" customHeight="1">
      <x:c r="A69" s="2" t="str">
        <x:v>25 boards / nominal</x:v>
      </x:c>
      <x:c r="B69" s="17" t="str">
        <x:v>GRM31C5C1H224JE02L</x:v>
      </x:c>
      <x:c r="C69" s="18" t="n">
        <x:v>25</x:v>
      </x:c>
      <x:c r="D69" s="27" t="n">
        <x:v>0</x:v>
      </x:c>
      <x:c r="E69" s="18" t="n">
        <x:f>INDEX('Assembly BOM'!$C$7:$C$162,MATCH($B69,'Assembly BOM'!$A$7:$A$162,0))</x:f>
        <x:v>1</x:v>
      </x:c>
      <x:c r="F69" s="18" t="n">
        <x:f>C69*E69</x:f>
        <x:v>25</x:v>
      </x:c>
      <x:c r="G69" s="18" t="n">
        <x:f>ROUNDUP(F69*(1+D69),0)</x:f>
        <x:v>25</x:v>
      </x:c>
      <x:c r="H69" s="18" t="n">
        <x:f>INDEX('Dated offers'!$F$7:$F$305,MATCH($Z69,'Dated offers'!$A$7:$A$305,0))</x:f>
        <x:v>5</x:v>
      </x:c>
      <x:c r="I69" s="18" t="n">
        <x:f>INDEX('Dated offers'!$G$7:$G$305,MATCH($Z69,'Dated offers'!$A$7:$A$305,0))</x:f>
        <x:v>5</x:v>
      </x:c>
      <x:c r="J69" s="18" t="n">
        <x:f>CEILING(MAX(G69,H69),I69)</x:f>
        <x:v>25</x:v>
      </x:c>
      <x:c r="K69" s="18" t="n">
        <x:v>25</x:v>
      </x:c>
      <x:c r="L69" s="18" t="n">
        <x:f>INDEX('Dated offers'!$I$7:$I$305,MATCH($Z69,'Dated offers'!$A$7:$A$305,0))</x:f>
        <x:v>5</x:v>
      </x:c>
      <x:c r="M69" s="25" t="n">
        <x:f>INDEX('Dated offers'!$J$7:$J$305,MATCH($Z69,'Dated offers'!$A$7:$A$305,0))</x:f>
        <x:v>0.3493</x:v>
      </x:c>
      <x:c r="N69" s="25" t="n">
        <x:f>INDEX('Dated offers'!$K$7:$K$305,MATCH($Z69,'Dated offers'!$A$7:$A$305,0))</x:f>
        <x:v>0</x:v>
      </x:c>
      <x:c r="O69" s="25" t="n">
        <x:f>F69*M69</x:f>
        <x:v>8.7325</x:v>
      </x:c>
      <x:c r="P69" s="25" t="n">
        <x:f>G69*M69</x:f>
        <x:v>8.7325</x:v>
      </x:c>
      <x:c r="Q69" s="25" t="n">
        <x:f>K69*M69+N69</x:f>
        <x:v>8.7325</x:v>
      </x:c>
      <x:c r="R69" s="18" t="n">
        <x:f>K69-G69</x:f>
        <x:v>0</x:v>
      </x:c>
      <x:c r="S69" s="18" t="n">
        <x:f>INDEX('Dated offers'!$H$7:$H$305,MATCH($Z69,'Dated offers'!$A$7:$A$305,0))</x:f>
        <x:v>68865</x:v>
      </x:c>
      <x:c r="T69" s="2" t="str">
        <x:f>IF(K69&lt;G69,"Order below requirement",IF(K69&lt;L69,"Below price tier",IF(ISNUMBER(S69),IF(K69&gt;S69,"Quantity exceeds snapshot","Within quantity snapshot"),"Stock not stated")))</x:f>
        <x:v>Within quantity snapshot</x:v>
      </x:c>
      <x:c r="U69" s="2" t="str">
        <x:f>INDEX('Dated offers'!$C$7:$C$305,MATCH($Z69,'Dated offers'!$A$7:$A$305,0))</x:f>
        <x:v>LCSC</x:v>
      </x:c>
      <x:c r="V69" s="2" t="str">
        <x:f>INDEX('Dated offers'!$D$7:$D$305,MATCH($Z69,'Dated offers'!$A$7:$A$305,0))</x:f>
        <x:v>C464977</x:v>
      </x:c>
      <x:c r="W69" s="24" t="n">
        <x:f>INDEX('Dated offers'!$E$7:$E$305,MATCH($Z69,'Dated offers'!$A$7:$A$305,0))</x:f>
        <x:v>46307.619585625</x:v>
      </x:c>
      <x:c r="X69" s="2" t="b">
        <x:f>INDEX('Dated offers'!$N$7:$N$305,MATCH($Z69,'Dated offers'!$A$7:$A$305,0))</x:f>
        <x:v>0</x:v>
      </x:c>
      <x:c r="Y69" s="2" t="str">
        <x:f>INDEX('Dated offers'!$O$7:$O$305,MATCH($Z69,'Dated offers'!$A$7:$A$305,0))</x:f>
        <x:v>Unreserved inventory snapshot</x:v>
      </x:c>
      <x:c r="Z69" s="17" t="str">
        <x:v>OF0063</x:v>
      </x:c>
      <x:c r="AA69" s="2"/>
      <x:c r="AB69" s="2" t="str">
        <x:f>INDEX('Dated offers'!$Q$7:$Q$305,MATCH($Z69,'Dated offers'!$A$7:$A$305,0))</x:f>
        <x:v>https://www.lcsc.com/product-detail/C464977.html</x:v>
      </x:c>
    </x:row>
    <x:row r="70" ht="24" customHeight="1">
      <x:c r="A70" s="2" t="str">
        <x:v>25 boards / nominal</x:v>
      </x:c>
      <x:c r="B70" s="17" t="str">
        <x:v>GRM31C5C2A683JA01L</x:v>
      </x:c>
      <x:c r="C70" s="18" t="n">
        <x:v>25</x:v>
      </x:c>
      <x:c r="D70" s="27" t="n">
        <x:v>0</x:v>
      </x:c>
      <x:c r="E70" s="18" t="n">
        <x:f>INDEX('Assembly BOM'!$C$7:$C$162,MATCH($B70,'Assembly BOM'!$A$7:$A$162,0))</x:f>
        <x:v>1</x:v>
      </x:c>
      <x:c r="F70" s="18" t="n">
        <x:f>C70*E70</x:f>
        <x:v>25</x:v>
      </x:c>
      <x:c r="G70" s="18" t="n">
        <x:f>ROUNDUP(F70*(1+D70),0)</x:f>
        <x:v>25</x:v>
      </x:c>
      <x:c r="H70" s="18" t="n">
        <x:f>INDEX('Dated offers'!$F$7:$F$305,MATCH($Z70,'Dated offers'!$A$7:$A$305,0))</x:f>
        <x:v>1</x:v>
      </x:c>
      <x:c r="I70" s="18" t="n">
        <x:f>INDEX('Dated offers'!$G$7:$G$305,MATCH($Z70,'Dated offers'!$A$7:$A$305,0))</x:f>
        <x:v>1</x:v>
      </x:c>
      <x:c r="J70" s="18" t="n">
        <x:f>CEILING(MAX(G70,H70),I70)</x:f>
        <x:v>25</x:v>
      </x:c>
      <x:c r="K70" s="18" t="n">
        <x:v>25</x:v>
      </x:c>
      <x:c r="L70" s="18" t="n">
        <x:f>INDEX('Dated offers'!$I$7:$I$305,MATCH($Z70,'Dated offers'!$A$7:$A$305,0))</x:f>
        <x:v>10</x:v>
      </x:c>
      <x:c r="M70" s="25" t="n">
        <x:f>INDEX('Dated offers'!$J$7:$J$305,MATCH($Z70,'Dated offers'!$A$7:$A$305,0))</x:f>
        <x:v>0.309</x:v>
      </x:c>
      <x:c r="N70" s="25" t="n">
        <x:f>INDEX('Dated offers'!$K$7:$K$305,MATCH($Z70,'Dated offers'!$A$7:$A$305,0))</x:f>
        <x:v>0</x:v>
      </x:c>
      <x:c r="O70" s="25" t="n">
        <x:f>F70*M70</x:f>
        <x:v>7.725</x:v>
      </x:c>
      <x:c r="P70" s="25" t="n">
        <x:f>G70*M70</x:f>
        <x:v>7.725</x:v>
      </x:c>
      <x:c r="Q70" s="25" t="n">
        <x:f>K70*M70+N70</x:f>
        <x:v>7.725</x:v>
      </x:c>
      <x:c r="R70" s="18" t="n">
        <x:f>K70-G70</x:f>
        <x:v>0</x:v>
      </x:c>
      <x:c r="S70" s="18" t="n">
        <x:f>INDEX('Dated offers'!$H$7:$H$305,MATCH($Z70,'Dated offers'!$A$7:$A$305,0))</x:f>
        <x:v>22417</x:v>
      </x:c>
      <x:c r="T70" s="2" t="str">
        <x:f>IF(K70&lt;G70,"Order below requirement",IF(K70&lt;L70,"Below price tier",IF(ISNUMBER(S70),IF(K70&gt;S70,"Quantity exceeds snapshot","Within quantity snapshot"),"Stock not stated")))</x:f>
        <x:v>Within quantity snapshot</x:v>
      </x:c>
      <x:c r="U70" s="2" t="str">
        <x:f>INDEX('Dated offers'!$C$7:$C$305,MATCH($Z70,'Dated offers'!$A$7:$A$305,0))</x:f>
        <x:v>DigiKey</x:v>
      </x:c>
      <x:c r="V70" s="2" t="str">
        <x:f>INDEX('Dated offers'!$D$7:$D$305,MATCH($Z70,'Dated offers'!$A$7:$A$305,0))</x:f>
        <x:v>Not stated</x:v>
      </x:c>
      <x:c r="W70" s="24" t="n">
        <x:f>INDEX('Dated offers'!$E$7:$E$305,MATCH($Z70,'Dated offers'!$A$7:$A$305,0))</x:f>
        <x:v>46307.47807262732</x:v>
      </x:c>
      <x:c r="X70" s="2" t="b">
        <x:f>INDEX('Dated offers'!$N$7:$N$305,MATCH($Z70,'Dated offers'!$A$7:$A$305,0))</x:f>
        <x:v>0</x:v>
      </x:c>
      <x:c r="Y70" s="2" t="str">
        <x:f>INDEX('Dated offers'!$O$7:$O$305,MATCH($Z70,'Dated offers'!$A$7:$A$305,0))</x:f>
        <x:v>Unreserved inventory snapshot</x:v>
      </x:c>
      <x:c r="Z70" s="17" t="str">
        <x:v>OF0064</x:v>
      </x:c>
      <x:c r="AA70" s="2"/>
      <x:c r="AB70" s="2" t="str">
        <x:f>INDEX('Dated offers'!$Q$7:$Q$305,MATCH($Z70,'Dated offers'!$A$7:$A$305,0))</x:f>
        <x:v>https://www.digikey.com/en/products/detail/murata-electronics/GRM31C5C2A683JA01L/10704119</x:v>
      </x:c>
    </x:row>
    <x:row r="71" ht="24" customHeight="1">
      <x:c r="A71" s="2" t="str">
        <x:v>25 boards / nominal</x:v>
      </x:c>
      <x:c r="B71" s="17" t="str">
        <x:v>H2414QR</x:v>
      </x:c>
      <x:c r="C71" s="18" t="n">
        <x:v>25</x:v>
      </x:c>
      <x:c r="D71" s="27" t="n">
        <x:v>0</x:v>
      </x:c>
      <x:c r="E71" s="18" t="n">
        <x:f>INDEX('Assembly BOM'!$C$7:$C$162,MATCH($B71,'Assembly BOM'!$A$7:$A$162,0))</x:f>
        <x:v>1</x:v>
      </x:c>
      <x:c r="F71" s="18" t="n">
        <x:f>C71*E71</x:f>
        <x:v>25</x:v>
      </x:c>
      <x:c r="G71" s="18" t="n">
        <x:f>ROUNDUP(F71*(1+D71),0)</x:f>
        <x:v>25</x:v>
      </x:c>
      <x:c r="H71" s="18" t="n">
        <x:f>INDEX('Dated offers'!$F$7:$F$305,MATCH($Z71,'Dated offers'!$A$7:$A$305,0))</x:f>
        <x:v>1</x:v>
      </x:c>
      <x:c r="I71" s="18" t="n">
        <x:f>INDEX('Dated offers'!$G$7:$G$305,MATCH($Z71,'Dated offers'!$A$7:$A$305,0))</x:f>
        <x:v>1</x:v>
      </x:c>
      <x:c r="J71" s="18" t="n">
        <x:f>CEILING(MAX(G71,H71),I71)</x:f>
        <x:v>25</x:v>
      </x:c>
      <x:c r="K71" s="18" t="n">
        <x:v>25</x:v>
      </x:c>
      <x:c r="L71" s="18" t="n">
        <x:f>INDEX('Dated offers'!$I$7:$I$305,MATCH($Z71,'Dated offers'!$A$7:$A$305,0))</x:f>
        <x:v>10</x:v>
      </x:c>
      <x:c r="M71" s="25" t="n">
        <x:f>INDEX('Dated offers'!$J$7:$J$305,MATCH($Z71,'Dated offers'!$A$7:$A$305,0))</x:f>
        <x:v>0.7315</x:v>
      </x:c>
      <x:c r="N71" s="25" t="n">
        <x:f>INDEX('Dated offers'!$K$7:$K$305,MATCH($Z71,'Dated offers'!$A$7:$A$305,0))</x:f>
        <x:v>0</x:v>
      </x:c>
      <x:c r="O71" s="25" t="n">
        <x:f>F71*M71</x:f>
        <x:v>18.2875</x:v>
      </x:c>
      <x:c r="P71" s="25" t="n">
        <x:f>G71*M71</x:f>
        <x:v>18.2875</x:v>
      </x:c>
      <x:c r="Q71" s="25" t="n">
        <x:f>K71*M71+N71</x:f>
        <x:v>18.2875</x:v>
      </x:c>
      <x:c r="R71" s="18" t="n">
        <x:f>K71-G71</x:f>
        <x:v>0</x:v>
      </x:c>
      <x:c r="S71" s="18" t="n">
        <x:f>INDEX('Dated offers'!$H$7:$H$305,MATCH($Z71,'Dated offers'!$A$7:$A$305,0))</x:f>
        <x:v>606</x:v>
      </x:c>
      <x:c r="T71" s="2" t="str">
        <x:f>IF(K71&lt;G71,"Order below requirement",IF(K71&lt;L71,"Below price tier",IF(ISNUMBER(S71),IF(K71&gt;S71,"Quantity exceeds snapshot","Within quantity snapshot"),"Stock not stated")))</x:f>
        <x:v>Within quantity snapshot</x:v>
      </x:c>
      <x:c r="U71" s="2" t="str">
        <x:f>INDEX('Dated offers'!$C$7:$C$305,MATCH($Z71,'Dated offers'!$A$7:$A$305,0))</x:f>
        <x:v>LCSC</x:v>
      </x:c>
      <x:c r="V71" s="2" t="str">
        <x:f>INDEX('Dated offers'!$D$7:$D$305,MATCH($Z71,'Dated offers'!$A$7:$A$305,0))</x:f>
        <x:v>C4155001</x:v>
      </x:c>
      <x:c r="W71" s="24" t="n">
        <x:f>INDEX('Dated offers'!$E$7:$E$305,MATCH($Z71,'Dated offers'!$A$7:$A$305,0))</x:f>
        <x:v>46307.447437002316</x:v>
      </x:c>
      <x:c r="X71" s="2" t="b">
        <x:f>INDEX('Dated offers'!$N$7:$N$305,MATCH($Z71,'Dated offers'!$A$7:$A$305,0))</x:f>
        <x:v>0</x:v>
      </x:c>
      <x:c r="Y71" s="2" t="str">
        <x:f>INDEX('Dated offers'!$O$7:$O$305,MATCH($Z71,'Dated offers'!$A$7:$A$305,0))</x:f>
        <x:v>Unreserved inventory snapshot</x:v>
      </x:c>
      <x:c r="Z71" s="17" t="str">
        <x:v>OF0065</x:v>
      </x:c>
      <x:c r="AA71" s="2"/>
      <x:c r="AB71" s="2" t="str">
        <x:f>INDEX('Dated offers'!$Q$7:$Q$305,MATCH($Z71,'Dated offers'!$A$7:$A$305,0))</x:f>
        <x:v>https://www.lcsc.com/product-detail/C4155001.html</x:v>
      </x:c>
    </x:row>
    <x:row r="72" ht="24" customHeight="1">
      <x:c r="A72" s="2" t="str">
        <x:v>25 boards / nominal</x:v>
      </x:c>
      <x:c r="B72" s="17" t="str">
        <x:v>KGM05ACG1H150FH</x:v>
      </x:c>
      <x:c r="C72" s="18" t="n">
        <x:v>25</x:v>
      </x:c>
      <x:c r="D72" s="27" t="n">
        <x:v>0</x:v>
      </x:c>
      <x:c r="E72" s="18" t="n">
        <x:f>INDEX('Assembly BOM'!$C$7:$C$162,MATCH($B72,'Assembly BOM'!$A$7:$A$162,0))</x:f>
        <x:v>2</x:v>
      </x:c>
      <x:c r="F72" s="18" t="n">
        <x:f>C72*E72</x:f>
        <x:v>50</x:v>
      </x:c>
      <x:c r="G72" s="18" t="n">
        <x:f>ROUNDUP(F72*(1+D72),0)</x:f>
        <x:v>50</x:v>
      </x:c>
      <x:c r="H72" s="18" t="n">
        <x:f>INDEX('Dated offers'!$F$7:$F$305,MATCH($Z72,'Dated offers'!$A$7:$A$305,0))</x:f>
        <x:v>1</x:v>
      </x:c>
      <x:c r="I72" s="18" t="n">
        <x:f>INDEX('Dated offers'!$G$7:$G$305,MATCH($Z72,'Dated offers'!$A$7:$A$305,0))</x:f>
        <x:v>1</x:v>
      </x:c>
      <x:c r="J72" s="18" t="n">
        <x:f>CEILING(MAX(G72,H72),I72)</x:f>
        <x:v>50</x:v>
      </x:c>
      <x:c r="K72" s="18" t="n">
        <x:v>50</x:v>
      </x:c>
      <x:c r="L72" s="18" t="n">
        <x:f>INDEX('Dated offers'!$I$7:$I$305,MATCH($Z72,'Dated offers'!$A$7:$A$305,0))</x:f>
        <x:v>50</x:v>
      </x:c>
      <x:c r="M72" s="25" t="n">
        <x:f>INDEX('Dated offers'!$J$7:$J$305,MATCH($Z72,'Dated offers'!$A$7:$A$305,0))</x:f>
        <x:v>0.3206</x:v>
      </x:c>
      <x:c r="N72" s="25" t="n">
        <x:f>INDEX('Dated offers'!$K$7:$K$305,MATCH($Z72,'Dated offers'!$A$7:$A$305,0))</x:f>
        <x:v>0</x:v>
      </x:c>
      <x:c r="O72" s="25" t="n">
        <x:f>F72*M72</x:f>
        <x:v>16.03</x:v>
      </x:c>
      <x:c r="P72" s="25" t="n">
        <x:f>G72*M72</x:f>
        <x:v>16.03</x:v>
      </x:c>
      <x:c r="Q72" s="25" t="n">
        <x:f>K72*M72+N72</x:f>
        <x:v>16.03</x:v>
      </x:c>
      <x:c r="R72" s="18" t="n">
        <x:f>K72-G72</x:f>
        <x:v>0</x:v>
      </x:c>
      <x:c r="S72" s="18" t="n">
        <x:f>INDEX('Dated offers'!$H$7:$H$305,MATCH($Z72,'Dated offers'!$A$7:$A$305,0))</x:f>
        <x:v>36414</x:v>
      </x:c>
      <x:c r="T72" s="2" t="str">
        <x:f>IF(K72&lt;G72,"Order below requirement",IF(K72&lt;L72,"Below price tier",IF(ISNUMBER(S72),IF(K72&gt;S72,"Quantity exceeds snapshot","Within quantity snapshot"),"Stock not stated")))</x:f>
        <x:v>Within quantity snapshot</x:v>
      </x:c>
      <x:c r="U72" s="2" t="str">
        <x:f>INDEX('Dated offers'!$C$7:$C$305,MATCH($Z72,'Dated offers'!$A$7:$A$305,0))</x:f>
        <x:v>DigiKey</x:v>
      </x:c>
      <x:c r="V72" s="2" t="str">
        <x:f>INDEX('Dated offers'!$D$7:$D$305,MATCH($Z72,'Dated offers'!$A$7:$A$305,0))</x:f>
        <x:v>Not stated</x:v>
      </x:c>
      <x:c r="W72" s="24" t="n">
        <x:f>INDEX('Dated offers'!$E$7:$E$305,MATCH($Z72,'Dated offers'!$A$7:$A$305,0))</x:f>
        <x:v>46307.47807253472</x:v>
      </x:c>
      <x:c r="X72" s="2" t="b">
        <x:f>INDEX('Dated offers'!$N$7:$N$305,MATCH($Z72,'Dated offers'!$A$7:$A$305,0))</x:f>
        <x:v>0</x:v>
      </x:c>
      <x:c r="Y72" s="2" t="str">
        <x:f>INDEX('Dated offers'!$O$7:$O$305,MATCH($Z72,'Dated offers'!$A$7:$A$305,0))</x:f>
        <x:v>Unreserved inventory snapshot</x:v>
      </x:c>
      <x:c r="Z72" s="17" t="str">
        <x:v>OF0066</x:v>
      </x:c>
      <x:c r="AA72" s="2"/>
      <x:c r="AB72" s="2" t="str">
        <x:f>INDEX('Dated offers'!$Q$7:$Q$305,MATCH($Z72,'Dated offers'!$A$7:$A$305,0))</x:f>
        <x:v>https://www.digikey.com/en/products/detail/kyocera-avx/KGM05ACG1H150FH/1597388</x:v>
      </x:c>
    </x:row>
    <x:row r="73" ht="24" customHeight="1">
      <x:c r="A73" s="2" t="str">
        <x:v>25 boards / nominal</x:v>
      </x:c>
      <x:c r="B73" s="17" t="str">
        <x:v>L4CL1206LR050DNR-A</x:v>
      </x:c>
      <x:c r="C73" s="18" t="n">
        <x:v>25</x:v>
      </x:c>
      <x:c r="D73" s="27" t="n">
        <x:v>0</x:v>
      </x:c>
      <x:c r="E73" s="18" t="n">
        <x:f>INDEX('Assembly BOM'!$C$7:$C$162,MATCH($B73,'Assembly BOM'!$A$7:$A$162,0))</x:f>
        <x:v>1</x:v>
      </x:c>
      <x:c r="F73" s="18" t="n">
        <x:f>C73*E73</x:f>
        <x:v>25</x:v>
      </x:c>
      <x:c r="G73" s="18" t="n">
        <x:f>ROUNDUP(F73*(1+D73),0)</x:f>
        <x:v>25</x:v>
      </x:c>
      <x:c r="H73" s="18" t="n">
        <x:f>INDEX('Dated offers'!$F$7:$F$305,MATCH($Z73,'Dated offers'!$A$7:$A$305,0))</x:f>
        <x:v>1</x:v>
      </x:c>
      <x:c r="I73" s="18" t="n">
        <x:f>INDEX('Dated offers'!$G$7:$G$305,MATCH($Z73,'Dated offers'!$A$7:$A$305,0))</x:f>
        <x:v>1</x:v>
      </x:c>
      <x:c r="J73" s="18" t="n">
        <x:f>CEILING(MAX(G73,H73),I73)</x:f>
        <x:v>25</x:v>
      </x:c>
      <x:c r="K73" s="18" t="n">
        <x:v>25</x:v>
      </x:c>
      <x:c r="L73" s="18" t="n">
        <x:f>INDEX('Dated offers'!$I$7:$I$305,MATCH($Z73,'Dated offers'!$A$7:$A$305,0))</x:f>
        <x:v>25</x:v>
      </x:c>
      <x:c r="M73" s="25" t="n">
        <x:f>INDEX('Dated offers'!$J$7:$J$305,MATCH($Z73,'Dated offers'!$A$7:$A$305,0))</x:f>
        <x:v>0.8912</x:v>
      </x:c>
      <x:c r="N73" s="25" t="n">
        <x:f>INDEX('Dated offers'!$K$7:$K$305,MATCH($Z73,'Dated offers'!$A$7:$A$305,0))</x:f>
        <x:v>0</x:v>
      </x:c>
      <x:c r="O73" s="25" t="n">
        <x:f>F73*M73</x:f>
        <x:v>22.28</x:v>
      </x:c>
      <x:c r="P73" s="25" t="n">
        <x:f>G73*M73</x:f>
        <x:v>22.28</x:v>
      </x:c>
      <x:c r="Q73" s="25" t="n">
        <x:f>K73*M73+N73</x:f>
        <x:v>22.28</x:v>
      </x:c>
      <x:c r="R73" s="18" t="n">
        <x:f>K73-G73</x:f>
        <x:v>0</x:v>
      </x:c>
      <x:c r="S73" s="18" t="n">
        <x:f>INDEX('Dated offers'!$H$7:$H$305,MATCH($Z73,'Dated offers'!$A$7:$A$305,0))</x:f>
        <x:v>4377</x:v>
      </x:c>
      <x:c r="T73" s="2" t="str">
        <x:f>IF(K73&lt;G73,"Order below requirement",IF(K73&lt;L73,"Below price tier",IF(ISNUMBER(S73),IF(K73&gt;S73,"Quantity exceeds snapshot","Within quantity snapshot"),"Stock not stated")))</x:f>
        <x:v>Within quantity snapshot</x:v>
      </x:c>
      <x:c r="U73" s="2" t="str">
        <x:f>INDEX('Dated offers'!$C$7:$C$305,MATCH($Z73,'Dated offers'!$A$7:$A$305,0))</x:f>
        <x:v>DigiKey</x:v>
      </x:c>
      <x:c r="V73" s="2" t="str">
        <x:f>INDEX('Dated offers'!$D$7:$D$305,MATCH($Z73,'Dated offers'!$A$7:$A$305,0))</x:f>
        <x:v>Not stated</x:v>
      </x:c>
      <x:c r="W73" s="24" t="n">
        <x:f>INDEX('Dated offers'!$E$7:$E$305,MATCH($Z73,'Dated offers'!$A$7:$A$305,0))</x:f>
        <x:v>46307.47807273148</x:v>
      </x:c>
      <x:c r="X73" s="2" t="b">
        <x:f>INDEX('Dated offers'!$N$7:$N$305,MATCH($Z73,'Dated offers'!$A$7:$A$305,0))</x:f>
        <x:v>0</x:v>
      </x:c>
      <x:c r="Y73" s="2" t="str">
        <x:f>INDEX('Dated offers'!$O$7:$O$305,MATCH($Z73,'Dated offers'!$A$7:$A$305,0))</x:f>
        <x:v>Unreserved inventory snapshot</x:v>
      </x:c>
      <x:c r="Z73" s="17" t="str">
        <x:v>OF0067</x:v>
      </x:c>
      <x:c r="AA73" s="2"/>
      <x:c r="AB73" s="2" t="str">
        <x:f>INDEX('Dated offers'!$Q$7:$Q$305,MATCH($Z73,'Dated offers'!$A$7:$A$305,0))</x:f>
        <x:v>https://www.digikey.com/en/products/detail/littelfuse-inc/L4CL1206LR050DNR-A/21737223</x:v>
      </x:c>
    </x:row>
    <x:row r="74" ht="24" customHeight="1">
      <x:c r="A74" s="2" t="str">
        <x:v>25 boards / nominal</x:v>
      </x:c>
      <x:c r="B74" s="17" t="str">
        <x:v>LQW15AN24NH00D</x:v>
      </x:c>
      <x:c r="C74" s="18" t="n">
        <x:v>25</x:v>
      </x:c>
      <x:c r="D74" s="27" t="n">
        <x:v>0</x:v>
      </x:c>
      <x:c r="E74" s="18" t="n">
        <x:f>INDEX('Assembly BOM'!$C$7:$C$162,MATCH($B74,'Assembly BOM'!$A$7:$A$162,0))</x:f>
        <x:v>1</x:v>
      </x:c>
      <x:c r="F74" s="18" t="n">
        <x:f>C74*E74</x:f>
        <x:v>25</x:v>
      </x:c>
      <x:c r="G74" s="18" t="n">
        <x:f>ROUNDUP(F74*(1+D74),0)</x:f>
        <x:v>25</x:v>
      </x:c>
      <x:c r="H74" s="18" t="n">
        <x:f>INDEX('Dated offers'!$F$7:$F$305,MATCH($Z74,'Dated offers'!$A$7:$A$305,0))</x:f>
        <x:v>1</x:v>
      </x:c>
      <x:c r="I74" s="18" t="n">
        <x:f>INDEX('Dated offers'!$G$7:$G$305,MATCH($Z74,'Dated offers'!$A$7:$A$305,0))</x:f>
        <x:v>1</x:v>
      </x:c>
      <x:c r="J74" s="18" t="n">
        <x:f>CEILING(MAX(G74,H74),I74)</x:f>
        <x:v>25</x:v>
      </x:c>
      <x:c r="K74" s="18" t="n">
        <x:v>25</x:v>
      </x:c>
      <x:c r="L74" s="18" t="n">
        <x:f>INDEX('Dated offers'!$I$7:$I$305,MATCH($Z74,'Dated offers'!$A$7:$A$305,0))</x:f>
        <x:v>10</x:v>
      </x:c>
      <x:c r="M74" s="25" t="n">
        <x:f>INDEX('Dated offers'!$J$7:$J$305,MATCH($Z74,'Dated offers'!$A$7:$A$305,0))</x:f>
        <x:v>0.092</x:v>
      </x:c>
      <x:c r="N74" s="25" t="n">
        <x:f>INDEX('Dated offers'!$K$7:$K$305,MATCH($Z74,'Dated offers'!$A$7:$A$305,0))</x:f>
        <x:v>0</x:v>
      </x:c>
      <x:c r="O74" s="25" t="n">
        <x:f>F74*M74</x:f>
        <x:v>2.3</x:v>
      </x:c>
      <x:c r="P74" s="25" t="n">
        <x:f>G74*M74</x:f>
        <x:v>2.3</x:v>
      </x:c>
      <x:c r="Q74" s="25" t="n">
        <x:f>K74*M74+N74</x:f>
        <x:v>2.3</x:v>
      </x:c>
      <x:c r="R74" s="18" t="n">
        <x:f>K74-G74</x:f>
        <x:v>0</x:v>
      </x:c>
      <x:c r="S74" s="18" t="n">
        <x:f>INDEX('Dated offers'!$H$7:$H$305,MATCH($Z74,'Dated offers'!$A$7:$A$305,0))</x:f>
        <x:v>11410</x:v>
      </x:c>
      <x:c r="T74" s="2" t="str">
        <x:f>IF(K74&lt;G74,"Order below requirement",IF(K74&lt;L74,"Below price tier",IF(ISNUMBER(S74),IF(K74&gt;S74,"Quantity exceeds snapshot","Within quantity snapshot"),"Stock not stated")))</x:f>
        <x:v>Within quantity snapshot</x:v>
      </x:c>
      <x:c r="U74" s="2" t="str">
        <x:f>INDEX('Dated offers'!$C$7:$C$305,MATCH($Z74,'Dated offers'!$A$7:$A$305,0))</x:f>
        <x:v>DigiKey</x:v>
      </x:c>
      <x:c r="V74" s="2" t="str">
        <x:f>INDEX('Dated offers'!$D$7:$D$305,MATCH($Z74,'Dated offers'!$A$7:$A$305,0))</x:f>
        <x:v>Not stated</x:v>
      </x:c>
      <x:c r="W74" s="24" t="n">
        <x:f>INDEX('Dated offers'!$E$7:$E$305,MATCH($Z74,'Dated offers'!$A$7:$A$305,0))</x:f>
        <x:v>46307.47807253472</x:v>
      </x:c>
      <x:c r="X74" s="2" t="b">
        <x:f>INDEX('Dated offers'!$N$7:$N$305,MATCH($Z74,'Dated offers'!$A$7:$A$305,0))</x:f>
        <x:v>0</x:v>
      </x:c>
      <x:c r="Y74" s="2" t="str">
        <x:f>INDEX('Dated offers'!$O$7:$O$305,MATCH($Z74,'Dated offers'!$A$7:$A$305,0))</x:f>
        <x:v>Unreserved inventory snapshot</x:v>
      </x:c>
      <x:c r="Z74" s="17" t="str">
        <x:v>OF0068</x:v>
      </x:c>
      <x:c r="AA74" s="2"/>
      <x:c r="AB74" s="2" t="str">
        <x:f>INDEX('Dated offers'!$Q$7:$Q$305,MATCH($Z74,'Dated offers'!$A$7:$A$305,0))</x:f>
        <x:v>https://www.digikey.com/en/products/detail/murata-electronics/LQW15AN24NH00D/700017</x:v>
      </x:c>
    </x:row>
    <x:row r="75" ht="24" customHeight="1">
      <x:c r="A75" s="2" t="str">
        <x:v>25 boards / nominal</x:v>
      </x:c>
      <x:c r="B75" s="17" t="str">
        <x:v>LTST-C190KGKT</x:v>
      </x:c>
      <x:c r="C75" s="18" t="n">
        <x:v>25</x:v>
      </x:c>
      <x:c r="D75" s="27" t="n">
        <x:v>0</x:v>
      </x:c>
      <x:c r="E75" s="18" t="n">
        <x:f>INDEX('Assembly BOM'!$C$7:$C$162,MATCH($B75,'Assembly BOM'!$A$7:$A$162,0))</x:f>
        <x:v>2</x:v>
      </x:c>
      <x:c r="F75" s="18" t="n">
        <x:f>C75*E75</x:f>
        <x:v>50</x:v>
      </x:c>
      <x:c r="G75" s="18" t="n">
        <x:f>ROUNDUP(F75*(1+D75),0)</x:f>
        <x:v>50</x:v>
      </x:c>
      <x:c r="H75" s="18" t="n">
        <x:f>INDEX('Dated offers'!$F$7:$F$305,MATCH($Z75,'Dated offers'!$A$7:$A$305,0))</x:f>
        <x:v>50</x:v>
      </x:c>
      <x:c r="I75" s="18" t="n">
        <x:f>INDEX('Dated offers'!$G$7:$G$305,MATCH($Z75,'Dated offers'!$A$7:$A$305,0))</x:f>
        <x:v>50</x:v>
      </x:c>
      <x:c r="J75" s="18" t="n">
        <x:f>CEILING(MAX(G75,H75),I75)</x:f>
        <x:v>50</x:v>
      </x:c>
      <x:c r="K75" s="18" t="n">
        <x:v>50</x:v>
      </x:c>
      <x:c r="L75" s="18" t="n">
        <x:f>INDEX('Dated offers'!$I$7:$I$305,MATCH($Z75,'Dated offers'!$A$7:$A$305,0))</x:f>
        <x:v>50</x:v>
      </x:c>
      <x:c r="M75" s="25" t="n">
        <x:f>INDEX('Dated offers'!$J$7:$J$305,MATCH($Z75,'Dated offers'!$A$7:$A$305,0))</x:f>
        <x:v>0.0168</x:v>
      </x:c>
      <x:c r="N75" s="25" t="n">
        <x:f>INDEX('Dated offers'!$K$7:$K$305,MATCH($Z75,'Dated offers'!$A$7:$A$305,0))</x:f>
        <x:v>0</x:v>
      </x:c>
      <x:c r="O75" s="25" t="n">
        <x:f>F75*M75</x:f>
        <x:v>0.84</x:v>
      </x:c>
      <x:c r="P75" s="25" t="n">
        <x:f>G75*M75</x:f>
        <x:v>0.84</x:v>
      </x:c>
      <x:c r="Q75" s="25" t="n">
        <x:f>K75*M75+N75</x:f>
        <x:v>0.84</x:v>
      </x:c>
      <x:c r="R75" s="18" t="n">
        <x:f>K75-G75</x:f>
        <x:v>0</x:v>
      </x:c>
      <x:c r="S75" s="18" t="n">
        <x:f>INDEX('Dated offers'!$H$7:$H$305,MATCH($Z75,'Dated offers'!$A$7:$A$305,0))</x:f>
        <x:v>280550</x:v>
      </x:c>
      <x:c r="T75" s="2" t="str">
        <x:f>IF(K75&lt;G75,"Order below requirement",IF(K75&lt;L75,"Below price tier",IF(ISNUMBER(S75),IF(K75&gt;S75,"Quantity exceeds snapshot","Within quantity snapshot"),"Stock not stated")))</x:f>
        <x:v>Within quantity snapshot</x:v>
      </x:c>
      <x:c r="U75" s="2" t="str">
        <x:f>INDEX('Dated offers'!$C$7:$C$305,MATCH($Z75,'Dated offers'!$A$7:$A$305,0))</x:f>
        <x:v>LCSC</x:v>
      </x:c>
      <x:c r="V75" s="2" t="str">
        <x:f>INDEX('Dated offers'!$D$7:$D$305,MATCH($Z75,'Dated offers'!$A$7:$A$305,0))</x:f>
        <x:v>C125094</x:v>
      </x:c>
      <x:c r="W75" s="24" t="n">
        <x:f>INDEX('Dated offers'!$E$7:$E$305,MATCH($Z75,'Dated offers'!$A$7:$A$305,0))</x:f>
        <x:v>46307.44744065972</x:v>
      </x:c>
      <x:c r="X75" s="2" t="b">
        <x:f>INDEX('Dated offers'!$N$7:$N$305,MATCH($Z75,'Dated offers'!$A$7:$A$305,0))</x:f>
        <x:v>0</x:v>
      </x:c>
      <x:c r="Y75" s="2" t="str">
        <x:f>INDEX('Dated offers'!$O$7:$O$305,MATCH($Z75,'Dated offers'!$A$7:$A$305,0))</x:f>
        <x:v>Unreserved inventory snapshot</x:v>
      </x:c>
      <x:c r="Z75" s="17" t="str">
        <x:v>OF0069</x:v>
      </x:c>
      <x:c r="AA75" s="2"/>
      <x:c r="AB75" s="2" t="str">
        <x:f>INDEX('Dated offers'!$Q$7:$Q$305,MATCH($Z75,'Dated offers'!$A$7:$A$305,0))</x:f>
        <x:v>https://www.lcsc.com/product-detail/C125094.html</x:v>
      </x:c>
    </x:row>
    <x:row r="76" ht="24" customHeight="1">
      <x:c r="A76" s="2" t="str">
        <x:v>25 boards / nominal</x:v>
      </x:c>
      <x:c r="B76" s="17" t="str">
        <x:v>LTST-C190KSKT</x:v>
      </x:c>
      <x:c r="C76" s="18" t="n">
        <x:v>25</x:v>
      </x:c>
      <x:c r="D76" s="27" t="n">
        <x:v>0</x:v>
      </x:c>
      <x:c r="E76" s="18" t="n">
        <x:f>INDEX('Assembly BOM'!$C$7:$C$162,MATCH($B76,'Assembly BOM'!$A$7:$A$162,0))</x:f>
        <x:v>1</x:v>
      </x:c>
      <x:c r="F76" s="18" t="n">
        <x:f>C76*E76</x:f>
        <x:v>25</x:v>
      </x:c>
      <x:c r="G76" s="18" t="n">
        <x:f>ROUNDUP(F76*(1+D76),0)</x:f>
        <x:v>25</x:v>
      </x:c>
      <x:c r="H76" s="18" t="n">
        <x:f>INDEX('Dated offers'!$F$7:$F$305,MATCH($Z76,'Dated offers'!$A$7:$A$305,0))</x:f>
        <x:v>20</x:v>
      </x:c>
      <x:c r="I76" s="18" t="n">
        <x:f>INDEX('Dated offers'!$G$7:$G$305,MATCH($Z76,'Dated offers'!$A$7:$A$305,0))</x:f>
        <x:v>20</x:v>
      </x:c>
      <x:c r="J76" s="18" t="n">
        <x:f>CEILING(MAX(G76,H76),I76)</x:f>
        <x:v>40</x:v>
      </x:c>
      <x:c r="K76" s="18" t="n">
        <x:v>40</x:v>
      </x:c>
      <x:c r="L76" s="18" t="n">
        <x:f>INDEX('Dated offers'!$I$7:$I$305,MATCH($Z76,'Dated offers'!$A$7:$A$305,0))</x:f>
        <x:v>20</x:v>
      </x:c>
      <x:c r="M76" s="25" t="n">
        <x:f>INDEX('Dated offers'!$J$7:$J$305,MATCH($Z76,'Dated offers'!$A$7:$A$305,0))</x:f>
        <x:v>0.0235</x:v>
      </x:c>
      <x:c r="N76" s="25" t="n">
        <x:f>INDEX('Dated offers'!$K$7:$K$305,MATCH($Z76,'Dated offers'!$A$7:$A$305,0))</x:f>
        <x:v>0</x:v>
      </x:c>
      <x:c r="O76" s="25" t="n">
        <x:f>F76*M76</x:f>
        <x:v>0.5875</x:v>
      </x:c>
      <x:c r="P76" s="25" t="n">
        <x:f>G76*M76</x:f>
        <x:v>0.5875</x:v>
      </x:c>
      <x:c r="Q76" s="25" t="n">
        <x:f>K76*M76+N76</x:f>
        <x:v>0.94</x:v>
      </x:c>
      <x:c r="R76" s="18" t="n">
        <x:f>K76-G76</x:f>
        <x:v>15</x:v>
      </x:c>
      <x:c r="S76" s="18" t="n">
        <x:f>INDEX('Dated offers'!$H$7:$H$305,MATCH($Z76,'Dated offers'!$A$7:$A$305,0))</x:f>
        <x:v>100880</x:v>
      </x:c>
      <x:c r="T76" s="2" t="str">
        <x:f>IF(K76&lt;G76,"Order below requirement",IF(K76&lt;L76,"Below price tier",IF(ISNUMBER(S76),IF(K76&gt;S76,"Quantity exceeds snapshot","Within quantity snapshot"),"Stock not stated")))</x:f>
        <x:v>Within quantity snapshot</x:v>
      </x:c>
      <x:c r="U76" s="2" t="str">
        <x:f>INDEX('Dated offers'!$C$7:$C$305,MATCH($Z76,'Dated offers'!$A$7:$A$305,0))</x:f>
        <x:v>LCSC</x:v>
      </x:c>
      <x:c r="V76" s="2" t="str">
        <x:f>INDEX('Dated offers'!$D$7:$D$305,MATCH($Z76,'Dated offers'!$A$7:$A$305,0))</x:f>
        <x:v>C125095</x:v>
      </x:c>
      <x:c r="W76" s="24" t="n">
        <x:f>INDEX('Dated offers'!$E$7:$E$305,MATCH($Z76,'Dated offers'!$A$7:$A$305,0))</x:f>
        <x:v>46307.44744263889</x:v>
      </x:c>
      <x:c r="X76" s="2" t="b">
        <x:f>INDEX('Dated offers'!$N$7:$N$305,MATCH($Z76,'Dated offers'!$A$7:$A$305,0))</x:f>
        <x:v>0</x:v>
      </x:c>
      <x:c r="Y76" s="2" t="str">
        <x:f>INDEX('Dated offers'!$O$7:$O$305,MATCH($Z76,'Dated offers'!$A$7:$A$305,0))</x:f>
        <x:v>Unreserved inventory snapshot</x:v>
      </x:c>
      <x:c r="Z76" s="17" t="str">
        <x:v>OF0070</x:v>
      </x:c>
      <x:c r="AA76" s="2"/>
      <x:c r="AB76" s="2" t="str">
        <x:f>INDEX('Dated offers'!$Q$7:$Q$305,MATCH($Z76,'Dated offers'!$A$7:$A$305,0))</x:f>
        <x:v>https://www.lcsc.com/product-detail/C125095.html</x:v>
      </x:c>
    </x:row>
    <x:row r="77" ht="24" customHeight="1">
      <x:c r="A77" s="2" t="str">
        <x:v>25 boards / nominal</x:v>
      </x:c>
      <x:c r="B77" s="17" t="str">
        <x:v>MMSZ5240B-7-F</x:v>
      </x:c>
      <x:c r="C77" s="18" t="n">
        <x:v>25</x:v>
      </x:c>
      <x:c r="D77" s="27" t="n">
        <x:v>0</x:v>
      </x:c>
      <x:c r="E77" s="18" t="n">
        <x:f>INDEX('Assembly BOM'!$C$7:$C$162,MATCH($B77,'Assembly BOM'!$A$7:$A$162,0))</x:f>
        <x:v>1</x:v>
      </x:c>
      <x:c r="F77" s="18" t="n">
        <x:f>C77*E77</x:f>
        <x:v>25</x:v>
      </x:c>
      <x:c r="G77" s="18" t="n">
        <x:f>ROUNDUP(F77*(1+D77),0)</x:f>
        <x:v>25</x:v>
      </x:c>
      <x:c r="H77" s="18" t="n">
        <x:f>INDEX('Dated offers'!$F$7:$F$305,MATCH($Z77,'Dated offers'!$A$7:$A$305,0))</x:f>
        <x:v>1</x:v>
      </x:c>
      <x:c r="I77" s="18" t="n">
        <x:f>INDEX('Dated offers'!$G$7:$G$305,MATCH($Z77,'Dated offers'!$A$7:$A$305,0))</x:f>
        <x:v>1</x:v>
      </x:c>
      <x:c r="J77" s="18" t="n">
        <x:f>CEILING(MAX(G77,H77),I77)</x:f>
        <x:v>25</x:v>
      </x:c>
      <x:c r="K77" s="18" t="n">
        <x:v>25</x:v>
      </x:c>
      <x:c r="L77" s="18" t="n">
        <x:f>INDEX('Dated offers'!$I$7:$I$305,MATCH($Z77,'Dated offers'!$A$7:$A$305,0))</x:f>
        <x:v>25</x:v>
      </x:c>
      <x:c r="M77" s="25" t="n">
        <x:f>INDEX('Dated offers'!$J$7:$J$305,MATCH($Z77,'Dated offers'!$A$7:$A$305,0))</x:f>
        <x:v>0.1048</x:v>
      </x:c>
      <x:c r="N77" s="25" t="n">
        <x:f>INDEX('Dated offers'!$K$7:$K$305,MATCH($Z77,'Dated offers'!$A$7:$A$305,0))</x:f>
        <x:v>0</x:v>
      </x:c>
      <x:c r="O77" s="25" t="n">
        <x:f>F77*M77</x:f>
        <x:v>2.62</x:v>
      </x:c>
      <x:c r="P77" s="25" t="n">
        <x:f>G77*M77</x:f>
        <x:v>2.62</x:v>
      </x:c>
      <x:c r="Q77" s="25" t="n">
        <x:f>K77*M77+N77</x:f>
        <x:v>2.62</x:v>
      </x:c>
      <x:c r="R77" s="18" t="n">
        <x:f>K77-G77</x:f>
        <x:v>0</x:v>
      </x:c>
      <x:c r="S77" s="18" t="n">
        <x:f>INDEX('Dated offers'!$H$7:$H$305,MATCH($Z77,'Dated offers'!$A$7:$A$305,0))</x:f>
        <x:v>4023</x:v>
      </x:c>
      <x:c r="T77" s="2" t="str">
        <x:f>IF(K77&lt;G77,"Order below requirement",IF(K77&lt;L77,"Below price tier",IF(ISNUMBER(S77),IF(K77&gt;S77,"Quantity exceeds snapshot","Within quantity snapshot"),"Stock not stated")))</x:f>
        <x:v>Within quantity snapshot</x:v>
      </x:c>
      <x:c r="U77" s="2" t="str">
        <x:f>INDEX('Dated offers'!$C$7:$C$305,MATCH($Z77,'Dated offers'!$A$7:$A$305,0))</x:f>
        <x:v>DigiKey</x:v>
      </x:c>
      <x:c r="V77" s="2" t="str">
        <x:f>INDEX('Dated offers'!$D$7:$D$305,MATCH($Z77,'Dated offers'!$A$7:$A$305,0))</x:f>
        <x:v>Not stated</x:v>
      </x:c>
      <x:c r="W77" s="24" t="n">
        <x:f>INDEX('Dated offers'!$E$7:$E$305,MATCH($Z77,'Dated offers'!$A$7:$A$305,0))</x:f>
        <x:v>46307.47807266204</x:v>
      </x:c>
      <x:c r="X77" s="2" t="b">
        <x:f>INDEX('Dated offers'!$N$7:$N$305,MATCH($Z77,'Dated offers'!$A$7:$A$305,0))</x:f>
        <x:v>0</x:v>
      </x:c>
      <x:c r="Y77" s="2" t="str">
        <x:f>INDEX('Dated offers'!$O$7:$O$305,MATCH($Z77,'Dated offers'!$A$7:$A$305,0))</x:f>
        <x:v>Unreserved inventory snapshot</x:v>
      </x:c>
      <x:c r="Z77" s="17" t="str">
        <x:v>OF0071</x:v>
      </x:c>
      <x:c r="AA77" s="2"/>
      <x:c r="AB77" s="2" t="str">
        <x:f>INDEX('Dated offers'!$Q$7:$Q$305,MATCH($Z77,'Dated offers'!$A$7:$A$305,0))</x:f>
        <x:v>https://www.digikey.com/en/products/detail/diodes-incorporated/MMSZ5240B-7-F/814369</x:v>
      </x:c>
    </x:row>
    <x:row r="78" ht="24" customHeight="1">
      <x:c r="A78" s="2" t="str">
        <x:v>25 boards / nominal</x:v>
      </x:c>
      <x:c r="B78" s="17" t="str">
        <x:v>MP2329GG-P</x:v>
      </x:c>
      <x:c r="C78" s="18" t="n">
        <x:v>25</x:v>
      </x:c>
      <x:c r="D78" s="27" t="n">
        <x:v>0</x:v>
      </x:c>
      <x:c r="E78" s="18" t="n">
        <x:f>INDEX('Assembly BOM'!$C$7:$C$162,MATCH($B78,'Assembly BOM'!$A$7:$A$162,0))</x:f>
        <x:v>1</x:v>
      </x:c>
      <x:c r="F78" s="18" t="n">
        <x:f>C78*E78</x:f>
        <x:v>25</x:v>
      </x:c>
      <x:c r="G78" s="18" t="n">
        <x:f>ROUNDUP(F78*(1+D78),0)</x:f>
        <x:v>25</x:v>
      </x:c>
      <x:c r="H78" s="18" t="n">
        <x:f>INDEX('Dated offers'!$F$7:$F$305,MATCH($Z78,'Dated offers'!$A$7:$A$305,0))</x:f>
        <x:v>1</x:v>
      </x:c>
      <x:c r="I78" s="18" t="n">
        <x:f>INDEX('Dated offers'!$G$7:$G$305,MATCH($Z78,'Dated offers'!$A$7:$A$305,0))</x:f>
        <x:v>1</x:v>
      </x:c>
      <x:c r="J78" s="18" t="n">
        <x:f>CEILING(MAX(G78,H78),I78)</x:f>
        <x:v>25</x:v>
      </x:c>
      <x:c r="K78" s="18" t="n">
        <x:v>25</x:v>
      </x:c>
      <x:c r="L78" s="18" t="n">
        <x:f>INDEX('Dated offers'!$I$7:$I$305,MATCH($Z78,'Dated offers'!$A$7:$A$305,0))</x:f>
        <x:v>10</x:v>
      </x:c>
      <x:c r="M78" s="25" t="n">
        <x:f>INDEX('Dated offers'!$J$7:$J$305,MATCH($Z78,'Dated offers'!$A$7:$A$305,0))</x:f>
        <x:v>1.41</x:v>
      </x:c>
      <x:c r="N78" s="25" t="n">
        <x:f>INDEX('Dated offers'!$K$7:$K$305,MATCH($Z78,'Dated offers'!$A$7:$A$305,0))</x:f>
        <x:v>0</x:v>
      </x:c>
      <x:c r="O78" s="25" t="n">
        <x:f>F78*M78</x:f>
        <x:v>35.25</x:v>
      </x:c>
      <x:c r="P78" s="25" t="n">
        <x:f>G78*M78</x:f>
        <x:v>35.25</x:v>
      </x:c>
      <x:c r="Q78" s="25" t="n">
        <x:f>K78*M78+N78</x:f>
        <x:v>35.25</x:v>
      </x:c>
      <x:c r="R78" s="18" t="n">
        <x:f>K78-G78</x:f>
        <x:v>0</x:v>
      </x:c>
      <x:c r="S78" s="18" t="n">
        <x:f>INDEX('Dated offers'!$H$7:$H$305,MATCH($Z78,'Dated offers'!$A$7:$A$305,0))</x:f>
        <x:v>11638</x:v>
      </x:c>
      <x:c r="T78" s="2" t="str">
        <x:f>IF(K78&lt;G78,"Order below requirement",IF(K78&lt;L78,"Below price tier",IF(ISNUMBER(S78),IF(K78&gt;S78,"Quantity exceeds snapshot","Within quantity snapshot"),"Stock not stated")))</x:f>
        <x:v>Within quantity snapshot</x:v>
      </x:c>
      <x:c r="U78" s="2" t="str">
        <x:f>INDEX('Dated offers'!$C$7:$C$305,MATCH($Z78,'Dated offers'!$A$7:$A$305,0))</x:f>
        <x:v>MPS direct</x:v>
      </x:c>
      <x:c r="V78" s="2" t="str">
        <x:f>INDEX('Dated offers'!$D$7:$D$305,MATCH($Z78,'Dated offers'!$A$7:$A$305,0))</x:f>
        <x:v>MP2329GG-P or primary same-die GG-Z reel alias</x:v>
      </x:c>
      <x:c r="W78" s="24" t="n">
        <x:f>INDEX('Dated offers'!$E$7:$E$305,MATCH($Z78,'Dated offers'!$A$7:$A$305,0))</x:f>
        <x:v>46307</x:v>
      </x:c>
      <x:c r="X78" s="2" t="b">
        <x:f>INDEX('Dated offers'!$N$7:$N$305,MATCH($Z78,'Dated offers'!$A$7:$A$305,0))</x:f>
        <x:v>0</x:v>
      </x:c>
      <x:c r="Y78" s="2" t="str">
        <x:f>INDEX('Dated offers'!$O$7:$O$305,MATCH($Z78,'Dated offers'!$A$7:$A$305,0))</x:f>
        <x:v>Scheduled MPS availability / supplier acceptance</x:v>
      </x:c>
      <x:c r="Z78" s="17" t="str">
        <x:v>OF0072</x:v>
      </x:c>
      <x:c r="AA78" s="2"/>
      <x:c r="AB78" s="2" t="str">
        <x:f>INDEX('Dated offers'!$Q$7:$Q$305,MATCH($Z78,'Dated offers'!$A$7:$A$305,0))</x:f>
        <x:v>https://www.monolithicpower.com/en/products/power-management/mp2329.html</x:v>
      </x:c>
    </x:row>
    <x:row r="79" ht="24" customHeight="1">
      <x:c r="A79" s="2" t="str">
        <x:v>25 boards / nominal</x:v>
      </x:c>
      <x:c r="B79" s="17" t="str">
        <x:v>MP4583GQVE-Z</x:v>
      </x:c>
      <x:c r="C79" s="18" t="n">
        <x:v>25</x:v>
      </x:c>
      <x:c r="D79" s="27" t="n">
        <x:v>0</x:v>
      </x:c>
      <x:c r="E79" s="18" t="n">
        <x:f>INDEX('Assembly BOM'!$C$7:$C$162,MATCH($B79,'Assembly BOM'!$A$7:$A$162,0))</x:f>
        <x:v>1</x:v>
      </x:c>
      <x:c r="F79" s="18" t="n">
        <x:f>C79*E79</x:f>
        <x:v>25</x:v>
      </x:c>
      <x:c r="G79" s="18" t="n">
        <x:f>ROUNDUP(F79*(1+D79),0)</x:f>
        <x:v>25</x:v>
      </x:c>
      <x:c r="H79" s="18" t="n">
        <x:f>INDEX('Dated offers'!$F$7:$F$305,MATCH($Z79,'Dated offers'!$A$7:$A$305,0))</x:f>
        <x:v>1</x:v>
      </x:c>
      <x:c r="I79" s="18" t="n">
        <x:f>INDEX('Dated offers'!$G$7:$G$305,MATCH($Z79,'Dated offers'!$A$7:$A$305,0))</x:f>
        <x:v>1</x:v>
      </x:c>
      <x:c r="J79" s="18" t="n">
        <x:f>CEILING(MAX(G79,H79),I79)</x:f>
        <x:v>25</x:v>
      </x:c>
      <x:c r="K79" s="18" t="n">
        <x:v>25</x:v>
      </x:c>
      <x:c r="L79" s="18" t="n">
        <x:f>INDEX('Dated offers'!$I$7:$I$305,MATCH($Z79,'Dated offers'!$A$7:$A$305,0))</x:f>
        <x:v>10</x:v>
      </x:c>
      <x:c r="M79" s="25" t="n">
        <x:f>INDEX('Dated offers'!$J$7:$J$305,MATCH($Z79,'Dated offers'!$A$7:$A$305,0))</x:f>
        <x:v>2.09</x:v>
      </x:c>
      <x:c r="N79" s="25" t="n">
        <x:f>INDEX('Dated offers'!$K$7:$K$305,MATCH($Z79,'Dated offers'!$A$7:$A$305,0))</x:f>
        <x:v>0</x:v>
      </x:c>
      <x:c r="O79" s="25" t="n">
        <x:f>F79*M79</x:f>
        <x:v>52.25</x:v>
      </x:c>
      <x:c r="P79" s="25" t="n">
        <x:f>G79*M79</x:f>
        <x:v>52.25</x:v>
      </x:c>
      <x:c r="Q79" s="25" t="n">
        <x:f>K79*M79+N79</x:f>
        <x:v>52.25</x:v>
      </x:c>
      <x:c r="R79" s="18" t="n">
        <x:f>K79-G79</x:f>
        <x:v>0</x:v>
      </x:c>
      <x:c r="S79" s="18" t="n">
        <x:f>INDEX('Dated offers'!$H$7:$H$305,MATCH($Z79,'Dated offers'!$A$7:$A$305,0))</x:f>
        <x:v>100</x:v>
      </x:c>
      <x:c r="T79" s="2" t="str">
        <x:f>IF(K79&lt;G79,"Order below requirement",IF(K79&lt;L79,"Below price tier",IF(ISNUMBER(S79),IF(K79&gt;S79,"Quantity exceeds snapshot","Within quantity snapshot"),"Stock not stated")))</x:f>
        <x:v>Within quantity snapshot</x:v>
      </x:c>
      <x:c r="U79" s="2" t="str">
        <x:f>INDEX('Dated offers'!$C$7:$C$305,MATCH($Z79,'Dated offers'!$A$7:$A$305,0))</x:f>
        <x:v>MPS direct</x:v>
      </x:c>
      <x:c r="V79" s="2" t="str">
        <x:f>INDEX('Dated offers'!$D$7:$D$305,MATCH($Z79,'Dated offers'!$A$7:$A$305,0))</x:f>
        <x:v>MP4583GQVE-Z</x:v>
      </x:c>
      <x:c r="W79" s="24" t="n">
        <x:f>INDEX('Dated offers'!$E$7:$E$305,MATCH($Z79,'Dated offers'!$A$7:$A$305,0))</x:f>
        <x:v>46307.475412395834</x:v>
      </x:c>
      <x:c r="X79" s="2" t="b">
        <x:f>INDEX('Dated offers'!$N$7:$N$305,MATCH($Z79,'Dated offers'!$A$7:$A$305,0))</x:f>
        <x:v>0</x:v>
      </x:c>
      <x:c r="Y79" s="2" t="str">
        <x:f>INDEX('Dated offers'!$O$7:$O$305,MATCH($Z79,'Dated offers'!$A$7:$A$305,0))</x:f>
        <x:v>MPS company inventory/limit must cover lot</x:v>
      </x:c>
      <x:c r="Z79" s="17" t="str">
        <x:v>OF0073</x:v>
      </x:c>
      <x:c r="AA79" s="2"/>
      <x:c r="AB79" s="2" t="str">
        <x:f>INDEX('Dated offers'!$Q$7:$Q$305,MATCH($Z79,'Dated offers'!$A$7:$A$305,0))</x:f>
        <x:v>https://www.monolithicpower.com/en/products/mp4583.html</x:v>
      </x:c>
    </x:row>
    <x:row r="80" ht="24" customHeight="1">
      <x:c r="A80" s="2" t="str">
        <x:v>25 boards / nominal</x:v>
      </x:c>
      <x:c r="B80" s="17" t="str">
        <x:v>NCA9536DQJ</x:v>
      </x:c>
      <x:c r="C80" s="18" t="n">
        <x:v>25</x:v>
      </x:c>
      <x:c r="D80" s="27" t="n">
        <x:v>0</x:v>
      </x:c>
      <x:c r="E80" s="18" t="n">
        <x:f>INDEX('Assembly BOM'!$C$7:$C$162,MATCH($B80,'Assembly BOM'!$A$7:$A$162,0))</x:f>
        <x:v>1</x:v>
      </x:c>
      <x:c r="F80" s="18" t="n">
        <x:f>C80*E80</x:f>
        <x:v>25</x:v>
      </x:c>
      <x:c r="G80" s="18" t="n">
        <x:f>ROUNDUP(F80*(1+D80),0)</x:f>
        <x:v>25</x:v>
      </x:c>
      <x:c r="H80" s="18" t="n">
        <x:f>INDEX('Dated offers'!$F$7:$F$305,MATCH($Z80,'Dated offers'!$A$7:$A$305,0))</x:f>
        <x:v>1</x:v>
      </x:c>
      <x:c r="I80" s="18" t="n">
        <x:f>INDEX('Dated offers'!$G$7:$G$305,MATCH($Z80,'Dated offers'!$A$7:$A$305,0))</x:f>
        <x:v>1</x:v>
      </x:c>
      <x:c r="J80" s="18" t="n">
        <x:f>CEILING(MAX(G80,H80),I80)</x:f>
        <x:v>25</x:v>
      </x:c>
      <x:c r="K80" s="18" t="n">
        <x:v>25</x:v>
      </x:c>
      <x:c r="L80" s="18" t="n">
        <x:f>INDEX('Dated offers'!$I$7:$I$305,MATCH($Z80,'Dated offers'!$A$7:$A$305,0))</x:f>
        <x:v>25</x:v>
      </x:c>
      <x:c r="M80" s="25" t="n">
        <x:f>INDEX('Dated offers'!$J$7:$J$305,MATCH($Z80,'Dated offers'!$A$7:$A$305,0))</x:f>
        <x:v>0.5168</x:v>
      </x:c>
      <x:c r="N80" s="25" t="n">
        <x:f>INDEX('Dated offers'!$K$7:$K$305,MATCH($Z80,'Dated offers'!$A$7:$A$305,0))</x:f>
        <x:v>0</x:v>
      </x:c>
      <x:c r="O80" s="25" t="n">
        <x:f>F80*M80</x:f>
        <x:v>12.920000000000002</x:v>
      </x:c>
      <x:c r="P80" s="25" t="n">
        <x:f>G80*M80</x:f>
        <x:v>12.920000000000002</x:v>
      </x:c>
      <x:c r="Q80" s="25" t="n">
        <x:f>K80*M80+N80</x:f>
        <x:v>12.920000000000002</x:v>
      </x:c>
      <x:c r="R80" s="18" t="n">
        <x:f>K80-G80</x:f>
        <x:v>0</x:v>
      </x:c>
      <x:c r="S80" s="18" t="n">
        <x:f>INDEX('Dated offers'!$H$7:$H$305,MATCH($Z80,'Dated offers'!$A$7:$A$305,0))</x:f>
        <x:v>648</x:v>
      </x:c>
      <x:c r="T80" s="2" t="str">
        <x:f>IF(K80&lt;G80,"Order below requirement",IF(K80&lt;L80,"Below price tier",IF(ISNUMBER(S80),IF(K80&gt;S80,"Quantity exceeds snapshot","Within quantity snapshot"),"Stock not stated")))</x:f>
        <x:v>Within quantity snapshot</x:v>
      </x:c>
      <x:c r="U80" s="2" t="str">
        <x:f>INDEX('Dated offers'!$C$7:$C$305,MATCH($Z80,'Dated offers'!$A$7:$A$305,0))</x:f>
        <x:v>DigiKey</x:v>
      </x:c>
      <x:c r="V80" s="2" t="str">
        <x:f>INDEX('Dated offers'!$D$7:$D$305,MATCH($Z80,'Dated offers'!$A$7:$A$305,0))</x:f>
        <x:v>1727-NCA9536DQJCT-ND</x:v>
      </x:c>
      <x:c r="W80" s="24" t="n">
        <x:f>INDEX('Dated offers'!$E$7:$E$305,MATCH($Z80,'Dated offers'!$A$7:$A$305,0))</x:f>
        <x:v>46307.733225972224</x:v>
      </x:c>
      <x:c r="X80" s="2" t="b">
        <x:f>INDEX('Dated offers'!$N$7:$N$305,MATCH($Z80,'Dated offers'!$A$7:$A$305,0))</x:f>
        <x:v>0</x:v>
      </x:c>
      <x:c r="Y80" s="2" t="str">
        <x:f>INDEX('Dated offers'!$O$7:$O$305,MATCH($Z80,'Dated offers'!$A$7:$A$305,0))</x:f>
        <x:v>Unreserved inventory snapshot</x:v>
      </x:c>
      <x:c r="Z80" s="17" t="str">
        <x:v>OF0074</x:v>
      </x:c>
      <x:c r="AA80" s="2"/>
      <x:c r="AB80" s="2" t="str">
        <x:f>INDEX('Dated offers'!$Q$7:$Q$305,MATCH($Z80,'Dated offers'!$A$7:$A$305,0))</x:f>
        <x:v>https://www.digikey.com/en/products/detail/nexperia-usa-inc/NCA9536DQJ/29535394</x:v>
      </x:c>
    </x:row>
    <x:row r="81" ht="24" customHeight="1">
      <x:c r="A81" s="2" t="str">
        <x:v>25 boards / nominal</x:v>
      </x:c>
      <x:c r="B81" s="17" t="str">
        <x:v>NX3008NBK,215</x:v>
      </x:c>
      <x:c r="C81" s="18" t="n">
        <x:v>25</x:v>
      </x:c>
      <x:c r="D81" s="27" t="n">
        <x:v>0</x:v>
      </x:c>
      <x:c r="E81" s="18" t="n">
        <x:f>INDEX('Assembly BOM'!$C$7:$C$162,MATCH($B81,'Assembly BOM'!$A$7:$A$162,0))</x:f>
        <x:v>3</x:v>
      </x:c>
      <x:c r="F81" s="18" t="n">
        <x:f>C81*E81</x:f>
        <x:v>75</x:v>
      </x:c>
      <x:c r="G81" s="18" t="n">
        <x:f>ROUNDUP(F81*(1+D81),0)</x:f>
        <x:v>75</x:v>
      </x:c>
      <x:c r="H81" s="18" t="n">
        <x:f>INDEX('Dated offers'!$F$7:$F$305,MATCH($Z81,'Dated offers'!$A$7:$A$305,0))</x:f>
        <x:v>1</x:v>
      </x:c>
      <x:c r="I81" s="18" t="n">
        <x:f>INDEX('Dated offers'!$G$7:$G$305,MATCH($Z81,'Dated offers'!$A$7:$A$305,0))</x:f>
        <x:v>1</x:v>
      </x:c>
      <x:c r="J81" s="18" t="n">
        <x:f>CEILING(MAX(G81,H81),I81)</x:f>
        <x:v>75</x:v>
      </x:c>
      <x:c r="K81" s="18" t="n">
        <x:v>75</x:v>
      </x:c>
      <x:c r="L81" s="18" t="n">
        <x:f>INDEX('Dated offers'!$I$7:$I$305,MATCH($Z81,'Dated offers'!$A$7:$A$305,0))</x:f>
        <x:v>50</x:v>
      </x:c>
      <x:c r="M81" s="25" t="n">
        <x:f>INDEX('Dated offers'!$J$7:$J$305,MATCH($Z81,'Dated offers'!$A$7:$A$305,0))</x:f>
        <x:v>0.0916</x:v>
      </x:c>
      <x:c r="N81" s="25" t="n">
        <x:f>INDEX('Dated offers'!$K$7:$K$305,MATCH($Z81,'Dated offers'!$A$7:$A$305,0))</x:f>
        <x:v>0</x:v>
      </x:c>
      <x:c r="O81" s="25" t="n">
        <x:f>F81*M81</x:f>
        <x:v>6.87</x:v>
      </x:c>
      <x:c r="P81" s="25" t="n">
        <x:f>G81*M81</x:f>
        <x:v>6.87</x:v>
      </x:c>
      <x:c r="Q81" s="25" t="n">
        <x:f>K81*M81+N81</x:f>
        <x:v>6.87</x:v>
      </x:c>
      <x:c r="R81" s="18" t="n">
        <x:f>K81-G81</x:f>
        <x:v>0</x:v>
      </x:c>
      <x:c r="S81" s="18" t="n">
        <x:f>INDEX('Dated offers'!$H$7:$H$305,MATCH($Z81,'Dated offers'!$A$7:$A$305,0))</x:f>
        <x:v>3387</x:v>
      </x:c>
      <x:c r="T81" s="2" t="str">
        <x:f>IF(K81&lt;G81,"Order below requirement",IF(K81&lt;L81,"Below price tier",IF(ISNUMBER(S81),IF(K81&gt;S81,"Quantity exceeds snapshot","Within quantity snapshot"),"Stock not stated")))</x:f>
        <x:v>Within quantity snapshot</x:v>
      </x:c>
      <x:c r="U81" s="2" t="str">
        <x:f>INDEX('Dated offers'!$C$7:$C$305,MATCH($Z81,'Dated offers'!$A$7:$A$305,0))</x:f>
        <x:v>DigiKey</x:v>
      </x:c>
      <x:c r="V81" s="2" t="str">
        <x:f>INDEX('Dated offers'!$D$7:$D$305,MATCH($Z81,'Dated offers'!$A$7:$A$305,0))</x:f>
        <x:v>Not stated</x:v>
      </x:c>
      <x:c r="W81" s="24" t="n">
        <x:f>INDEX('Dated offers'!$E$7:$E$305,MATCH($Z81,'Dated offers'!$A$7:$A$305,0))</x:f>
        <x:v>46307.47807267361</x:v>
      </x:c>
      <x:c r="X81" s="2" t="b">
        <x:f>INDEX('Dated offers'!$N$7:$N$305,MATCH($Z81,'Dated offers'!$A$7:$A$305,0))</x:f>
        <x:v>0</x:v>
      </x:c>
      <x:c r="Y81" s="2" t="str">
        <x:f>INDEX('Dated offers'!$O$7:$O$305,MATCH($Z81,'Dated offers'!$A$7:$A$305,0))</x:f>
        <x:v>Unreserved inventory snapshot</x:v>
      </x:c>
      <x:c r="Z81" s="17" t="str">
        <x:v>OF0075</x:v>
      </x:c>
      <x:c r="AA81" s="2"/>
      <x:c r="AB81" s="2" t="str">
        <x:f>INDEX('Dated offers'!$Q$7:$Q$305,MATCH($Z81,'Dated offers'!$A$7:$A$305,0))</x:f>
        <x:v>https://www.digikey.com/en/products/detail/nexperia-usa-inc/NX3008NBK-215/2779967</x:v>
      </x:c>
    </x:row>
    <x:row r="82" ht="24" customHeight="1">
      <x:c r="A82" s="2" t="str">
        <x:v>25 boards / nominal</x:v>
      </x:c>
      <x:c r="B82" s="17" t="str">
        <x:v>PSMN015-100YLX</x:v>
      </x:c>
      <x:c r="C82" s="18" t="n">
        <x:v>25</x:v>
      </x:c>
      <x:c r="D82" s="27" t="n">
        <x:v>0</x:v>
      </x:c>
      <x:c r="E82" s="18" t="n">
        <x:f>INDEX('Assembly BOM'!$C$7:$C$162,MATCH($B82,'Assembly BOM'!$A$7:$A$162,0))</x:f>
        <x:v>1</x:v>
      </x:c>
      <x:c r="F82" s="18" t="n">
        <x:f>C82*E82</x:f>
        <x:v>25</x:v>
      </x:c>
      <x:c r="G82" s="18" t="n">
        <x:f>ROUNDUP(F82*(1+D82),0)</x:f>
        <x:v>25</x:v>
      </x:c>
      <x:c r="H82" s="18" t="n">
        <x:f>INDEX('Dated offers'!$F$7:$F$305,MATCH($Z82,'Dated offers'!$A$7:$A$305,0))</x:f>
        <x:v>1</x:v>
      </x:c>
      <x:c r="I82" s="18" t="n">
        <x:f>INDEX('Dated offers'!$G$7:$G$305,MATCH($Z82,'Dated offers'!$A$7:$A$305,0))</x:f>
        <x:v>1</x:v>
      </x:c>
      <x:c r="J82" s="18" t="n">
        <x:f>CEILING(MAX(G82,H82),I82)</x:f>
        <x:v>25</x:v>
      </x:c>
      <x:c r="K82" s="18" t="n">
        <x:v>25</x:v>
      </x:c>
      <x:c r="L82" s="18" t="n">
        <x:f>INDEX('Dated offers'!$I$7:$I$305,MATCH($Z82,'Dated offers'!$A$7:$A$305,0))</x:f>
        <x:v>10</x:v>
      </x:c>
      <x:c r="M82" s="25" t="n">
        <x:f>INDEX('Dated offers'!$J$7:$J$305,MATCH($Z82,'Dated offers'!$A$7:$A$305,0))</x:f>
        <x:v>1.237</x:v>
      </x:c>
      <x:c r="N82" s="25" t="n">
        <x:f>INDEX('Dated offers'!$K$7:$K$305,MATCH($Z82,'Dated offers'!$A$7:$A$305,0))</x:f>
        <x:v>0</x:v>
      </x:c>
      <x:c r="O82" s="25" t="n">
        <x:f>F82*M82</x:f>
        <x:v>30.925000000000004</x:v>
      </x:c>
      <x:c r="P82" s="25" t="n">
        <x:f>G82*M82</x:f>
        <x:v>30.925000000000004</x:v>
      </x:c>
      <x:c r="Q82" s="25" t="n">
        <x:f>K82*M82+N82</x:f>
        <x:v>30.925000000000004</x:v>
      </x:c>
      <x:c r="R82" s="18" t="n">
        <x:f>K82-G82</x:f>
        <x:v>0</x:v>
      </x:c>
      <x:c r="S82" s="18" t="n">
        <x:f>INDEX('Dated offers'!$H$7:$H$305,MATCH($Z82,'Dated offers'!$A$7:$A$305,0))</x:f>
        <x:v>825</x:v>
      </x:c>
      <x:c r="T82" s="2" t="str">
        <x:f>IF(K82&lt;G82,"Order below requirement",IF(K82&lt;L82,"Below price tier",IF(ISNUMBER(S82),IF(K82&gt;S82,"Quantity exceeds snapshot","Within quantity snapshot"),"Stock not stated")))</x:f>
        <x:v>Within quantity snapshot</x:v>
      </x:c>
      <x:c r="U82" s="2" t="str">
        <x:f>INDEX('Dated offers'!$C$7:$C$305,MATCH($Z82,'Dated offers'!$A$7:$A$305,0))</x:f>
        <x:v>DigiKey</x:v>
      </x:c>
      <x:c r="V82" s="2" t="str">
        <x:f>INDEX('Dated offers'!$D$7:$D$305,MATCH($Z82,'Dated offers'!$A$7:$A$305,0))</x:f>
        <x:v>Not stated</x:v>
      </x:c>
      <x:c r="W82" s="24" t="n">
        <x:f>INDEX('Dated offers'!$E$7:$E$305,MATCH($Z82,'Dated offers'!$A$7:$A$305,0))</x:f>
        <x:v>46307.4780725463</x:v>
      </x:c>
      <x:c r="X82" s="2" t="b">
        <x:f>INDEX('Dated offers'!$N$7:$N$305,MATCH($Z82,'Dated offers'!$A$7:$A$305,0))</x:f>
        <x:v>0</x:v>
      </x:c>
      <x:c r="Y82" s="2" t="str">
        <x:f>INDEX('Dated offers'!$O$7:$O$305,MATCH($Z82,'Dated offers'!$A$7:$A$305,0))</x:f>
        <x:v>Unreserved inventory snapshot</x:v>
      </x:c>
      <x:c r="Z82" s="17" t="str">
        <x:v>OF0076</x:v>
      </x:c>
      <x:c r="AA82" s="2"/>
      <x:c r="AB82" s="2" t="str">
        <x:f>INDEX('Dated offers'!$Q$7:$Q$305,MATCH($Z82,'Dated offers'!$A$7:$A$305,0))</x:f>
        <x:v>https://www.digikey.com/en/products/detail/nexperia-usa-inc/PSMN015-100YLX/5981419</x:v>
      </x:c>
    </x:row>
    <x:row r="83" ht="24" customHeight="1">
      <x:c r="A83" s="2" t="str">
        <x:v>25 boards / nominal</x:v>
      </x:c>
      <x:c r="B83" s="17" t="str">
        <x:v>RC0402FR-07130KL</x:v>
      </x:c>
      <x:c r="C83" s="18" t="n">
        <x:v>25</x:v>
      </x:c>
      <x:c r="D83" s="27" t="n">
        <x:v>0</x:v>
      </x:c>
      <x:c r="E83" s="18" t="n">
        <x:f>INDEX('Assembly BOM'!$C$7:$C$162,MATCH($B83,'Assembly BOM'!$A$7:$A$162,0))</x:f>
        <x:v>1</x:v>
      </x:c>
      <x:c r="F83" s="18" t="n">
        <x:f>C83*E83</x:f>
        <x:v>25</x:v>
      </x:c>
      <x:c r="G83" s="18" t="n">
        <x:f>ROUNDUP(F83*(1+D83),0)</x:f>
        <x:v>25</x:v>
      </x:c>
      <x:c r="H83" s="18" t="n">
        <x:f>INDEX('Dated offers'!$F$7:$F$305,MATCH($Z83,'Dated offers'!$A$7:$A$305,0))</x:f>
        <x:v>100</x:v>
      </x:c>
      <x:c r="I83" s="18" t="n">
        <x:f>INDEX('Dated offers'!$G$7:$G$305,MATCH($Z83,'Dated offers'!$A$7:$A$305,0))</x:f>
        <x:v>100</x:v>
      </x:c>
      <x:c r="J83" s="18" t="n">
        <x:f>CEILING(MAX(G83,H83),I83)</x:f>
        <x:v>100</x:v>
      </x:c>
      <x:c r="K83" s="18" t="n">
        <x:v>100</x:v>
      </x:c>
      <x:c r="L83" s="18" t="n">
        <x:f>INDEX('Dated offers'!$I$7:$I$305,MATCH($Z83,'Dated offers'!$A$7:$A$305,0))</x:f>
        <x:v>100</x:v>
      </x:c>
      <x:c r="M83" s="25" t="n">
        <x:f>INDEX('Dated offers'!$J$7:$J$305,MATCH($Z83,'Dated offers'!$A$7:$A$305,0))</x:f>
        <x:v>0.0032</x:v>
      </x:c>
      <x:c r="N83" s="25" t="n">
        <x:f>INDEX('Dated offers'!$K$7:$K$305,MATCH($Z83,'Dated offers'!$A$7:$A$305,0))</x:f>
        <x:v>0</x:v>
      </x:c>
      <x:c r="O83" s="25" t="n">
        <x:f>F83*M83</x:f>
        <x:v>0.08</x:v>
      </x:c>
      <x:c r="P83" s="25" t="n">
        <x:f>G83*M83</x:f>
        <x:v>0.08</x:v>
      </x:c>
      <x:c r="Q83" s="25" t="n">
        <x:f>K83*M83+N83</x:f>
        <x:v>0.32</x:v>
      </x:c>
      <x:c r="R83" s="18" t="n">
        <x:f>K83-G83</x:f>
        <x:v>75</x:v>
      </x:c>
      <x:c r="S83" s="18" t="n">
        <x:f>INDEX('Dated offers'!$H$7:$H$305,MATCH($Z83,'Dated offers'!$A$7:$A$305,0))</x:f>
        <x:v>902900</x:v>
      </x:c>
      <x:c r="T83" s="2" t="str">
        <x:f>IF(K83&lt;G83,"Order below requirement",IF(K83&lt;L83,"Below price tier",IF(ISNUMBER(S83),IF(K83&gt;S83,"Quantity exceeds snapshot","Within quantity snapshot"),"Stock not stated")))</x:f>
        <x:v>Within quantity snapshot</x:v>
      </x:c>
      <x:c r="U83" s="2" t="str">
        <x:f>INDEX('Dated offers'!$C$7:$C$305,MATCH($Z83,'Dated offers'!$A$7:$A$305,0))</x:f>
        <x:v>LCSC</x:v>
      </x:c>
      <x:c r="V83" s="2" t="str">
        <x:f>INDEX('Dated offers'!$D$7:$D$305,MATCH($Z83,'Dated offers'!$A$7:$A$305,0))</x:f>
        <x:v>C93946</x:v>
      </x:c>
      <x:c r="W83" s="24" t="n">
        <x:f>INDEX('Dated offers'!$E$7:$E$305,MATCH($Z83,'Dated offers'!$A$7:$A$305,0))</x:f>
        <x:v>46307.44744263889</x:v>
      </x:c>
      <x:c r="X83" s="2" t="b">
        <x:f>INDEX('Dated offers'!$N$7:$N$305,MATCH($Z83,'Dated offers'!$A$7:$A$305,0))</x:f>
        <x:v>0</x:v>
      </x:c>
      <x:c r="Y83" s="2" t="str">
        <x:f>INDEX('Dated offers'!$O$7:$O$305,MATCH($Z83,'Dated offers'!$A$7:$A$305,0))</x:f>
        <x:v>Unreserved inventory snapshot</x:v>
      </x:c>
      <x:c r="Z83" s="17" t="str">
        <x:v>OF0077</x:v>
      </x:c>
      <x:c r="AA83" s="2"/>
      <x:c r="AB83" s="2" t="str">
        <x:f>INDEX('Dated offers'!$Q$7:$Q$305,MATCH($Z83,'Dated offers'!$A$7:$A$305,0))</x:f>
        <x:v>https://www.lcsc.com/product-detail/C93946.html</x:v>
      </x:c>
    </x:row>
    <x:row r="84" ht="24" customHeight="1">
      <x:c r="A84" s="2" t="str">
        <x:v>25 boards / nominal</x:v>
      </x:c>
      <x:c r="B84" s="17" t="str">
        <x:v>RC0402FR-071K8L</x:v>
      </x:c>
      <x:c r="C84" s="18" t="n">
        <x:v>25</x:v>
      </x:c>
      <x:c r="D84" s="27" t="n">
        <x:v>0</x:v>
      </x:c>
      <x:c r="E84" s="18" t="n">
        <x:f>INDEX('Assembly BOM'!$C$7:$C$162,MATCH($B84,'Assembly BOM'!$A$7:$A$162,0))</x:f>
        <x:v>1</x:v>
      </x:c>
      <x:c r="F84" s="18" t="n">
        <x:f>C84*E84</x:f>
        <x:v>25</x:v>
      </x:c>
      <x:c r="G84" s="18" t="n">
        <x:f>ROUNDUP(F84*(1+D84),0)</x:f>
        <x:v>25</x:v>
      </x:c>
      <x:c r="H84" s="18" t="n">
        <x:f>INDEX('Dated offers'!$F$7:$F$305,MATCH($Z84,'Dated offers'!$A$7:$A$305,0))</x:f>
        <x:v>100</x:v>
      </x:c>
      <x:c r="I84" s="18" t="n">
        <x:f>INDEX('Dated offers'!$G$7:$G$305,MATCH($Z84,'Dated offers'!$A$7:$A$305,0))</x:f>
        <x:v>100</x:v>
      </x:c>
      <x:c r="J84" s="18" t="n">
        <x:f>CEILING(MAX(G84,H84),I84)</x:f>
        <x:v>100</x:v>
      </x:c>
      <x:c r="K84" s="18" t="n">
        <x:v>100</x:v>
      </x:c>
      <x:c r="L84" s="18" t="n">
        <x:f>INDEX('Dated offers'!$I$7:$I$305,MATCH($Z84,'Dated offers'!$A$7:$A$305,0))</x:f>
        <x:v>100</x:v>
      </x:c>
      <x:c r="M84" s="25" t="n">
        <x:f>INDEX('Dated offers'!$J$7:$J$305,MATCH($Z84,'Dated offers'!$A$7:$A$305,0))</x:f>
        <x:v>0.0034</x:v>
      </x:c>
      <x:c r="N84" s="25" t="n">
        <x:f>INDEX('Dated offers'!$K$7:$K$305,MATCH($Z84,'Dated offers'!$A$7:$A$305,0))</x:f>
        <x:v>0</x:v>
      </x:c>
      <x:c r="O84" s="25" t="n">
        <x:f>F84*M84</x:f>
        <x:v>0.08499999999999999</x:v>
      </x:c>
      <x:c r="P84" s="25" t="n">
        <x:f>G84*M84</x:f>
        <x:v>0.08499999999999999</x:v>
      </x:c>
      <x:c r="Q84" s="25" t="n">
        <x:f>K84*M84+N84</x:f>
        <x:v>0.33999999999999997</x:v>
      </x:c>
      <x:c r="R84" s="18" t="n">
        <x:f>K84-G84</x:f>
        <x:v>75</x:v>
      </x:c>
      <x:c r="S84" s="18" t="n">
        <x:f>INDEX('Dated offers'!$H$7:$H$305,MATCH($Z84,'Dated offers'!$A$7:$A$305,0))</x:f>
        <x:v>128100</x:v>
      </x:c>
      <x:c r="T84" s="2" t="str">
        <x:f>IF(K84&lt;G84,"Order below requirement",IF(K84&lt;L84,"Below price tier",IF(ISNUMBER(S84),IF(K84&gt;S84,"Quantity exceeds snapshot","Within quantity snapshot"),"Stock not stated")))</x:f>
        <x:v>Within quantity snapshot</x:v>
      </x:c>
      <x:c r="U84" s="2" t="str">
        <x:f>INDEX('Dated offers'!$C$7:$C$305,MATCH($Z84,'Dated offers'!$A$7:$A$305,0))</x:f>
        <x:v>LCSC</x:v>
      </x:c>
      <x:c r="V84" s="2" t="str">
        <x:f>INDEX('Dated offers'!$D$7:$D$305,MATCH($Z84,'Dated offers'!$A$7:$A$305,0))</x:f>
        <x:v>C163481</x:v>
      </x:c>
      <x:c r="W84" s="24" t="n">
        <x:f>INDEX('Dated offers'!$E$7:$E$305,MATCH($Z84,'Dated offers'!$A$7:$A$305,0))</x:f>
        <x:v>46307.447445798614</x:v>
      </x:c>
      <x:c r="X84" s="2" t="b">
        <x:f>INDEX('Dated offers'!$N$7:$N$305,MATCH($Z84,'Dated offers'!$A$7:$A$305,0))</x:f>
        <x:v>0</x:v>
      </x:c>
      <x:c r="Y84" s="2" t="str">
        <x:f>INDEX('Dated offers'!$O$7:$O$305,MATCH($Z84,'Dated offers'!$A$7:$A$305,0))</x:f>
        <x:v>Unreserved inventory snapshot</x:v>
      </x:c>
      <x:c r="Z84" s="17" t="str">
        <x:v>OF0078</x:v>
      </x:c>
      <x:c r="AA84" s="2"/>
      <x:c r="AB84" s="2" t="str">
        <x:f>INDEX('Dated offers'!$Q$7:$Q$305,MATCH($Z84,'Dated offers'!$A$7:$A$305,0))</x:f>
        <x:v>https://www.lcsc.com/product-detail/C163481.html</x:v>
      </x:c>
    </x:row>
    <x:row r="85" ht="24" customHeight="1">
      <x:c r="A85" s="2" t="str">
        <x:v>25 boards / nominal</x:v>
      </x:c>
      <x:c r="B85" s="17" t="str">
        <x:v>RC0402FR-07240RL</x:v>
      </x:c>
      <x:c r="C85" s="18" t="n">
        <x:v>25</x:v>
      </x:c>
      <x:c r="D85" s="27" t="n">
        <x:v>0</x:v>
      </x:c>
      <x:c r="E85" s="18" t="n">
        <x:f>INDEX('Assembly BOM'!$C$7:$C$162,MATCH($B85,'Assembly BOM'!$A$7:$A$162,0))</x:f>
        <x:v>1</x:v>
      </x:c>
      <x:c r="F85" s="18" t="n">
        <x:f>C85*E85</x:f>
        <x:v>25</x:v>
      </x:c>
      <x:c r="G85" s="18" t="n">
        <x:f>ROUNDUP(F85*(1+D85),0)</x:f>
        <x:v>25</x:v>
      </x:c>
      <x:c r="H85" s="18" t="n">
        <x:f>INDEX('Dated offers'!$F$7:$F$305,MATCH($Z85,'Dated offers'!$A$7:$A$305,0))</x:f>
        <x:v>1</x:v>
      </x:c>
      <x:c r="I85" s="18" t="n">
        <x:f>INDEX('Dated offers'!$G$7:$G$305,MATCH($Z85,'Dated offers'!$A$7:$A$305,0))</x:f>
        <x:v>1</x:v>
      </x:c>
      <x:c r="J85" s="18" t="n">
        <x:f>CEILING(MAX(G85,H85),I85)</x:f>
        <x:v>25</x:v>
      </x:c>
      <x:c r="K85" s="18" t="n">
        <x:v>25</x:v>
      </x:c>
      <x:c r="L85" s="18" t="n">
        <x:f>INDEX('Dated offers'!$I$7:$I$305,MATCH($Z85,'Dated offers'!$A$7:$A$305,0))</x:f>
        <x:v>25</x:v>
      </x:c>
      <x:c r="M85" s="25" t="n">
        <x:f>INDEX('Dated offers'!$J$7:$J$305,MATCH($Z85,'Dated offers'!$A$7:$A$305,0))</x:f>
        <x:v>0.0152</x:v>
      </x:c>
      <x:c r="N85" s="25" t="n">
        <x:f>INDEX('Dated offers'!$K$7:$K$305,MATCH($Z85,'Dated offers'!$A$7:$A$305,0))</x:f>
        <x:v>0</x:v>
      </x:c>
      <x:c r="O85" s="25" t="n">
        <x:f>F85*M85</x:f>
        <x:v>0.38</x:v>
      </x:c>
      <x:c r="P85" s="25" t="n">
        <x:f>G85*M85</x:f>
        <x:v>0.38</x:v>
      </x:c>
      <x:c r="Q85" s="25" t="n">
        <x:f>K85*M85+N85</x:f>
        <x:v>0.38</x:v>
      </x:c>
      <x:c r="R85" s="18" t="n">
        <x:f>K85-G85</x:f>
        <x:v>0</x:v>
      </x:c>
      <x:c r="S85" s="18" t="n">
        <x:f>INDEX('Dated offers'!$H$7:$H$305,MATCH($Z85,'Dated offers'!$A$7:$A$305,0))</x:f>
        <x:v>880015</x:v>
      </x:c>
      <x:c r="T85" s="2" t="str">
        <x:f>IF(K85&lt;G85,"Order below requirement",IF(K85&lt;L85,"Below price tier",IF(ISNUMBER(S85),IF(K85&gt;S85,"Quantity exceeds snapshot","Within quantity snapshot"),"Stock not stated")))</x:f>
        <x:v>Within quantity snapshot</x:v>
      </x:c>
      <x:c r="U85" s="2" t="str">
        <x:f>INDEX('Dated offers'!$C$7:$C$305,MATCH($Z85,'Dated offers'!$A$7:$A$305,0))</x:f>
        <x:v>DigiKey</x:v>
      </x:c>
      <x:c r="V85" s="2" t="str">
        <x:f>INDEX('Dated offers'!$D$7:$D$305,MATCH($Z85,'Dated offers'!$A$7:$A$305,0))</x:f>
        <x:v>Not stated</x:v>
      </x:c>
      <x:c r="W85" s="24" t="n">
        <x:f>INDEX('Dated offers'!$E$7:$E$305,MATCH($Z85,'Dated offers'!$A$7:$A$305,0))</x:f>
        <x:v>46307.47807267361</x:v>
      </x:c>
      <x:c r="X85" s="2" t="b">
        <x:f>INDEX('Dated offers'!$N$7:$N$305,MATCH($Z85,'Dated offers'!$A$7:$A$305,0))</x:f>
        <x:v>0</x:v>
      </x:c>
      <x:c r="Y85" s="2" t="str">
        <x:f>INDEX('Dated offers'!$O$7:$O$305,MATCH($Z85,'Dated offers'!$A$7:$A$305,0))</x:f>
        <x:v>Unreserved inventory snapshot</x:v>
      </x:c>
      <x:c r="Z85" s="17" t="str">
        <x:v>OF0079</x:v>
      </x:c>
      <x:c r="AA85" s="2"/>
      <x:c r="AB85" s="2" t="str">
        <x:f>INDEX('Dated offers'!$Q$7:$Q$305,MATCH($Z85,'Dated offers'!$A$7:$A$305,0))</x:f>
        <x:v>https://www.digikey.com/en/products/detail/yageo/RC0402FR-07240RL/2827564</x:v>
      </x:c>
    </x:row>
    <x:row r="86" ht="24" customHeight="1">
      <x:c r="A86" s="2" t="str">
        <x:v>25 boards / nominal</x:v>
      </x:c>
      <x:c r="B86" s="17" t="str">
        <x:v>RC0402FR-073K6L</x:v>
      </x:c>
      <x:c r="C86" s="18" t="n">
        <x:v>25</x:v>
      </x:c>
      <x:c r="D86" s="27" t="n">
        <x:v>0</x:v>
      </x:c>
      <x:c r="E86" s="18" t="n">
        <x:f>INDEX('Assembly BOM'!$C$7:$C$162,MATCH($B86,'Assembly BOM'!$A$7:$A$162,0))</x:f>
        <x:v>1</x:v>
      </x:c>
      <x:c r="F86" s="18" t="n">
        <x:f>C86*E86</x:f>
        <x:v>25</x:v>
      </x:c>
      <x:c r="G86" s="18" t="n">
        <x:f>ROUNDUP(F86*(1+D86),0)</x:f>
        <x:v>25</x:v>
      </x:c>
      <x:c r="H86" s="18" t="n">
        <x:f>INDEX('Dated offers'!$F$7:$F$305,MATCH($Z86,'Dated offers'!$A$7:$A$305,0))</x:f>
        <x:v>100</x:v>
      </x:c>
      <x:c r="I86" s="18" t="n">
        <x:f>INDEX('Dated offers'!$G$7:$G$305,MATCH($Z86,'Dated offers'!$A$7:$A$305,0))</x:f>
        <x:v>100</x:v>
      </x:c>
      <x:c r="J86" s="18" t="n">
        <x:f>CEILING(MAX(G86,H86),I86)</x:f>
        <x:v>100</x:v>
      </x:c>
      <x:c r="K86" s="18" t="n">
        <x:v>100</x:v>
      </x:c>
      <x:c r="L86" s="18" t="n">
        <x:f>INDEX('Dated offers'!$I$7:$I$305,MATCH($Z86,'Dated offers'!$A$7:$A$305,0))</x:f>
        <x:v>100</x:v>
      </x:c>
      <x:c r="M86" s="25" t="n">
        <x:f>INDEX('Dated offers'!$J$7:$J$305,MATCH($Z86,'Dated offers'!$A$7:$A$305,0))</x:f>
        <x:v>0.002</x:v>
      </x:c>
      <x:c r="N86" s="25" t="n">
        <x:f>INDEX('Dated offers'!$K$7:$K$305,MATCH($Z86,'Dated offers'!$A$7:$A$305,0))</x:f>
        <x:v>0</x:v>
      </x:c>
      <x:c r="O86" s="25" t="n">
        <x:f>F86*M86</x:f>
        <x:v>0.05</x:v>
      </x:c>
      <x:c r="P86" s="25" t="n">
        <x:f>G86*M86</x:f>
        <x:v>0.05</x:v>
      </x:c>
      <x:c r="Q86" s="25" t="n">
        <x:f>K86*M86+N86</x:f>
        <x:v>0.2</x:v>
      </x:c>
      <x:c r="R86" s="18" t="n">
        <x:f>K86-G86</x:f>
        <x:v>75</x:v>
      </x:c>
      <x:c r="S86" s="18" t="n">
        <x:f>INDEX('Dated offers'!$H$7:$H$305,MATCH($Z86,'Dated offers'!$A$7:$A$305,0))</x:f>
        <x:v>556600</x:v>
      </x:c>
      <x:c r="T86" s="2" t="str">
        <x:f>IF(K86&lt;G86,"Order below requirement",IF(K86&lt;L86,"Below price tier",IF(ISNUMBER(S86),IF(K86&gt;S86,"Quantity exceeds snapshot","Within quantity snapshot"),"Stock not stated")))</x:f>
        <x:v>Within quantity snapshot</x:v>
      </x:c>
      <x:c r="U86" s="2" t="str">
        <x:f>INDEX('Dated offers'!$C$7:$C$305,MATCH($Z86,'Dated offers'!$A$7:$A$305,0))</x:f>
        <x:v>LCSC</x:v>
      </x:c>
      <x:c r="V86" s="2" t="str">
        <x:f>INDEX('Dated offers'!$D$7:$D$305,MATCH($Z86,'Dated offers'!$A$7:$A$305,0))</x:f>
        <x:v>C137990</x:v>
      </x:c>
      <x:c r="W86" s="24" t="n">
        <x:f>INDEX('Dated offers'!$E$7:$E$305,MATCH($Z86,'Dated offers'!$A$7:$A$305,0))</x:f>
        <x:v>46307.44744980324</x:v>
      </x:c>
      <x:c r="X86" s="2" t="b">
        <x:f>INDEX('Dated offers'!$N$7:$N$305,MATCH($Z86,'Dated offers'!$A$7:$A$305,0))</x:f>
        <x:v>0</x:v>
      </x:c>
      <x:c r="Y86" s="2" t="str">
        <x:f>INDEX('Dated offers'!$O$7:$O$305,MATCH($Z86,'Dated offers'!$A$7:$A$305,0))</x:f>
        <x:v>Unreserved inventory snapshot</x:v>
      </x:c>
      <x:c r="Z86" s="17" t="str">
        <x:v>OF0080</x:v>
      </x:c>
      <x:c r="AA86" s="2"/>
      <x:c r="AB86" s="2" t="str">
        <x:f>INDEX('Dated offers'!$Q$7:$Q$305,MATCH($Z86,'Dated offers'!$A$7:$A$305,0))</x:f>
        <x:v>https://www.lcsc.com/product-detail/C137990.html</x:v>
      </x:c>
    </x:row>
    <x:row r="87" ht="24" customHeight="1">
      <x:c r="A87" s="2" t="str">
        <x:v>25 boards / nominal</x:v>
      </x:c>
      <x:c r="B87" s="17" t="str">
        <x:v>RC0603FR-0710KL</x:v>
      </x:c>
      <x:c r="C87" s="18" t="n">
        <x:v>25</x:v>
      </x:c>
      <x:c r="D87" s="27" t="n">
        <x:v>0</x:v>
      </x:c>
      <x:c r="E87" s="18" t="n">
        <x:f>INDEX('Assembly BOM'!$C$7:$C$162,MATCH($B87,'Assembly BOM'!$A$7:$A$162,0))</x:f>
        <x:v>4</x:v>
      </x:c>
      <x:c r="F87" s="18" t="n">
        <x:f>C87*E87</x:f>
        <x:v>100</x:v>
      </x:c>
      <x:c r="G87" s="18" t="n">
        <x:f>ROUNDUP(F87*(1+D87),0)</x:f>
        <x:v>100</x:v>
      </x:c>
      <x:c r="H87" s="18" t="n">
        <x:f>INDEX('Dated offers'!$F$7:$F$305,MATCH($Z87,'Dated offers'!$A$7:$A$305,0))</x:f>
        <x:v>100</x:v>
      </x:c>
      <x:c r="I87" s="18" t="n">
        <x:f>INDEX('Dated offers'!$G$7:$G$305,MATCH($Z87,'Dated offers'!$A$7:$A$305,0))</x:f>
        <x:v>100</x:v>
      </x:c>
      <x:c r="J87" s="18" t="n">
        <x:f>CEILING(MAX(G87,H87),I87)</x:f>
        <x:v>100</x:v>
      </x:c>
      <x:c r="K87" s="18" t="n">
        <x:v>100</x:v>
      </x:c>
      <x:c r="L87" s="18" t="n">
        <x:f>INDEX('Dated offers'!$I$7:$I$305,MATCH($Z87,'Dated offers'!$A$7:$A$305,0))</x:f>
        <x:v>100</x:v>
      </x:c>
      <x:c r="M87" s="25" t="n">
        <x:f>INDEX('Dated offers'!$J$7:$J$305,MATCH($Z87,'Dated offers'!$A$7:$A$305,0))</x:f>
        <x:v>0.0034</x:v>
      </x:c>
      <x:c r="N87" s="25" t="n">
        <x:f>INDEX('Dated offers'!$K$7:$K$305,MATCH($Z87,'Dated offers'!$A$7:$A$305,0))</x:f>
        <x:v>0</x:v>
      </x:c>
      <x:c r="O87" s="25" t="n">
        <x:f>F87*M87</x:f>
        <x:v>0.33999999999999997</x:v>
      </x:c>
      <x:c r="P87" s="25" t="n">
        <x:f>G87*M87</x:f>
        <x:v>0.33999999999999997</x:v>
      </x:c>
      <x:c r="Q87" s="25" t="n">
        <x:f>K87*M87+N87</x:f>
        <x:v>0.33999999999999997</x:v>
      </x:c>
      <x:c r="R87" s="18" t="n">
        <x:f>K87-G87</x:f>
        <x:v>0</x:v>
      </x:c>
      <x:c r="S87" s="18" t="n">
        <x:f>INDEX('Dated offers'!$H$7:$H$305,MATCH($Z87,'Dated offers'!$A$7:$A$305,0))</x:f>
        <x:v>4714200</x:v>
      </x:c>
      <x:c r="T87" s="2" t="str">
        <x:f>IF(K87&lt;G87,"Order below requirement",IF(K87&lt;L87,"Below price tier",IF(ISNUMBER(S87),IF(K87&gt;S87,"Quantity exceeds snapshot","Within quantity snapshot"),"Stock not stated")))</x:f>
        <x:v>Within quantity snapshot</x:v>
      </x:c>
      <x:c r="U87" s="2" t="str">
        <x:f>INDEX('Dated offers'!$C$7:$C$305,MATCH($Z87,'Dated offers'!$A$7:$A$305,0))</x:f>
        <x:v>LCSC</x:v>
      </x:c>
      <x:c r="V87" s="2" t="str">
        <x:f>INDEX('Dated offers'!$D$7:$D$305,MATCH($Z87,'Dated offers'!$A$7:$A$305,0))</x:f>
        <x:v>C98220</x:v>
      </x:c>
      <x:c r="W87" s="24" t="n">
        <x:f>INDEX('Dated offers'!$E$7:$E$305,MATCH($Z87,'Dated offers'!$A$7:$A$305,0))</x:f>
        <x:v>46307.44744924769</x:v>
      </x:c>
      <x:c r="X87" s="2" t="b">
        <x:f>INDEX('Dated offers'!$N$7:$N$305,MATCH($Z87,'Dated offers'!$A$7:$A$305,0))</x:f>
        <x:v>0</x:v>
      </x:c>
      <x:c r="Y87" s="2" t="str">
        <x:f>INDEX('Dated offers'!$O$7:$O$305,MATCH($Z87,'Dated offers'!$A$7:$A$305,0))</x:f>
        <x:v>Unreserved inventory snapshot</x:v>
      </x:c>
      <x:c r="Z87" s="17" t="str">
        <x:v>OF0081</x:v>
      </x:c>
      <x:c r="AA87" s="2"/>
      <x:c r="AB87" s="2" t="str">
        <x:f>INDEX('Dated offers'!$Q$7:$Q$305,MATCH($Z87,'Dated offers'!$A$7:$A$305,0))</x:f>
        <x:v>https://www.lcsc.com/product-detail/C98220.html</x:v>
      </x:c>
    </x:row>
    <x:row r="88" ht="24" customHeight="1">
      <x:c r="A88" s="2" t="str">
        <x:v>25 boards / nominal</x:v>
      </x:c>
      <x:c r="B88" s="17" t="str">
        <x:v>RC0603FR-0710RL</x:v>
      </x:c>
      <x:c r="C88" s="18" t="n">
        <x:v>25</x:v>
      </x:c>
      <x:c r="D88" s="27" t="n">
        <x:v>0</x:v>
      </x:c>
      <x:c r="E88" s="18" t="n">
        <x:f>INDEX('Assembly BOM'!$C$7:$C$162,MATCH($B88,'Assembly BOM'!$A$7:$A$162,0))</x:f>
        <x:v>1</x:v>
      </x:c>
      <x:c r="F88" s="18" t="n">
        <x:f>C88*E88</x:f>
        <x:v>25</x:v>
      </x:c>
      <x:c r="G88" s="18" t="n">
        <x:f>ROUNDUP(F88*(1+D88),0)</x:f>
        <x:v>25</x:v>
      </x:c>
      <x:c r="H88" s="18" t="n">
        <x:f>INDEX('Dated offers'!$F$7:$F$305,MATCH($Z88,'Dated offers'!$A$7:$A$305,0))</x:f>
        <x:v>100</x:v>
      </x:c>
      <x:c r="I88" s="18" t="n">
        <x:f>INDEX('Dated offers'!$G$7:$G$305,MATCH($Z88,'Dated offers'!$A$7:$A$305,0))</x:f>
        <x:v>100</x:v>
      </x:c>
      <x:c r="J88" s="18" t="n">
        <x:f>CEILING(MAX(G88,H88),I88)</x:f>
        <x:v>100</x:v>
      </x:c>
      <x:c r="K88" s="18" t="n">
        <x:v>100</x:v>
      </x:c>
      <x:c r="L88" s="18" t="n">
        <x:f>INDEX('Dated offers'!$I$7:$I$305,MATCH($Z88,'Dated offers'!$A$7:$A$305,0))</x:f>
        <x:v>100</x:v>
      </x:c>
      <x:c r="M88" s="25" t="n">
        <x:f>INDEX('Dated offers'!$J$7:$J$305,MATCH($Z88,'Dated offers'!$A$7:$A$305,0))</x:f>
        <x:v>0.0065</x:v>
      </x:c>
      <x:c r="N88" s="25" t="n">
        <x:f>INDEX('Dated offers'!$K$7:$K$305,MATCH($Z88,'Dated offers'!$A$7:$A$305,0))</x:f>
        <x:v>0</x:v>
      </x:c>
      <x:c r="O88" s="25" t="n">
        <x:f>F88*M88</x:f>
        <x:v>0.1625</x:v>
      </x:c>
      <x:c r="P88" s="25" t="n">
        <x:f>G88*M88</x:f>
        <x:v>0.1625</x:v>
      </x:c>
      <x:c r="Q88" s="25" t="n">
        <x:f>K88*M88+N88</x:f>
        <x:v>0.65</x:v>
      </x:c>
      <x:c r="R88" s="18" t="n">
        <x:f>K88-G88</x:f>
        <x:v>75</x:v>
      </x:c>
      <x:c r="S88" s="18" t="n">
        <x:f>INDEX('Dated offers'!$H$7:$H$305,MATCH($Z88,'Dated offers'!$A$7:$A$305,0))</x:f>
        <x:v>5557100</x:v>
      </x:c>
      <x:c r="T88" s="2" t="str">
        <x:f>IF(K88&lt;G88,"Order below requirement",IF(K88&lt;L88,"Below price tier",IF(ISNUMBER(S88),IF(K88&gt;S88,"Quantity exceeds snapshot","Within quantity snapshot"),"Stock not stated")))</x:f>
        <x:v>Within quantity snapshot</x:v>
      </x:c>
      <x:c r="U88" s="2" t="str">
        <x:f>INDEX('Dated offers'!$C$7:$C$305,MATCH($Z88,'Dated offers'!$A$7:$A$305,0))</x:f>
        <x:v>LCSC</x:v>
      </x:c>
      <x:c r="V88" s="2" t="str">
        <x:f>INDEX('Dated offers'!$D$7:$D$305,MATCH($Z88,'Dated offers'!$A$7:$A$305,0))</x:f>
        <x:v>C109318</x:v>
      </x:c>
      <x:c r="W88" s="24" t="n">
        <x:f>INDEX('Dated offers'!$E$7:$E$305,MATCH($Z88,'Dated offers'!$A$7:$A$305,0))</x:f>
        <x:v>46307.44745208333</x:v>
      </x:c>
      <x:c r="X88" s="2" t="b">
        <x:f>INDEX('Dated offers'!$N$7:$N$305,MATCH($Z88,'Dated offers'!$A$7:$A$305,0))</x:f>
        <x:v>0</x:v>
      </x:c>
      <x:c r="Y88" s="2" t="str">
        <x:f>INDEX('Dated offers'!$O$7:$O$305,MATCH($Z88,'Dated offers'!$A$7:$A$305,0))</x:f>
        <x:v>Unreserved inventory snapshot</x:v>
      </x:c>
      <x:c r="Z88" s="17" t="str">
        <x:v>OF0082</x:v>
      </x:c>
      <x:c r="AA88" s="2"/>
      <x:c r="AB88" s="2" t="str">
        <x:f>INDEX('Dated offers'!$Q$7:$Q$305,MATCH($Z88,'Dated offers'!$A$7:$A$305,0))</x:f>
        <x:v>https://www.lcsc.com/product-detail/C109318.html</x:v>
      </x:c>
    </x:row>
    <x:row r="89" ht="24" customHeight="1">
      <x:c r="A89" s="2" t="str">
        <x:v>25 boards / nominal</x:v>
      </x:c>
      <x:c r="B89" s="17" t="str">
        <x:v>RC0603FR-0716KL</x:v>
      </x:c>
      <x:c r="C89" s="18" t="n">
        <x:v>25</x:v>
      </x:c>
      <x:c r="D89" s="27" t="n">
        <x:v>0</x:v>
      </x:c>
      <x:c r="E89" s="18" t="n">
        <x:f>INDEX('Assembly BOM'!$C$7:$C$162,MATCH($B89,'Assembly BOM'!$A$7:$A$162,0))</x:f>
        <x:v>1</x:v>
      </x:c>
      <x:c r="F89" s="18" t="n">
        <x:f>C89*E89</x:f>
        <x:v>25</x:v>
      </x:c>
      <x:c r="G89" s="18" t="n">
        <x:f>ROUNDUP(F89*(1+D89),0)</x:f>
        <x:v>25</x:v>
      </x:c>
      <x:c r="H89" s="18" t="n">
        <x:f>INDEX('Dated offers'!$F$7:$F$305,MATCH($Z89,'Dated offers'!$A$7:$A$305,0))</x:f>
        <x:v>100</x:v>
      </x:c>
      <x:c r="I89" s="18" t="n">
        <x:f>INDEX('Dated offers'!$G$7:$G$305,MATCH($Z89,'Dated offers'!$A$7:$A$305,0))</x:f>
        <x:v>100</x:v>
      </x:c>
      <x:c r="J89" s="18" t="n">
        <x:f>CEILING(MAX(G89,H89),I89)</x:f>
        <x:v>100</x:v>
      </x:c>
      <x:c r="K89" s="18" t="n">
        <x:v>100</x:v>
      </x:c>
      <x:c r="L89" s="18" t="n">
        <x:f>INDEX('Dated offers'!$I$7:$I$305,MATCH($Z89,'Dated offers'!$A$7:$A$305,0))</x:f>
        <x:v>100</x:v>
      </x:c>
      <x:c r="M89" s="25" t="n">
        <x:f>INDEX('Dated offers'!$J$7:$J$305,MATCH($Z89,'Dated offers'!$A$7:$A$305,0))</x:f>
        <x:v>0.005</x:v>
      </x:c>
      <x:c r="N89" s="25" t="n">
        <x:f>INDEX('Dated offers'!$K$7:$K$305,MATCH($Z89,'Dated offers'!$A$7:$A$305,0))</x:f>
        <x:v>0</x:v>
      </x:c>
      <x:c r="O89" s="25" t="n">
        <x:f>F89*M89</x:f>
        <x:v>0.125</x:v>
      </x:c>
      <x:c r="P89" s="25" t="n">
        <x:f>G89*M89</x:f>
        <x:v>0.125</x:v>
      </x:c>
      <x:c r="Q89" s="25" t="n">
        <x:f>K89*M89+N89</x:f>
        <x:v>0.5</x:v>
      </x:c>
      <x:c r="R89" s="18" t="n">
        <x:f>K89-G89</x:f>
        <x:v>75</x:v>
      </x:c>
      <x:c r="S89" s="18" t="n">
        <x:f>INDEX('Dated offers'!$H$7:$H$305,MATCH($Z89,'Dated offers'!$A$7:$A$305,0))</x:f>
        <x:v>311100</x:v>
      </x:c>
      <x:c r="T89" s="2" t="str">
        <x:f>IF(K89&lt;G89,"Order below requirement",IF(K89&lt;L89,"Below price tier",IF(ISNUMBER(S89),IF(K89&gt;S89,"Quantity exceeds snapshot","Within quantity snapshot"),"Stock not stated")))</x:f>
        <x:v>Within quantity snapshot</x:v>
      </x:c>
      <x:c r="U89" s="2" t="str">
        <x:f>INDEX('Dated offers'!$C$7:$C$305,MATCH($Z89,'Dated offers'!$A$7:$A$305,0))</x:f>
        <x:v>LCSC</x:v>
      </x:c>
      <x:c r="V89" s="2" t="str">
        <x:f>INDEX('Dated offers'!$D$7:$D$305,MATCH($Z89,'Dated offers'!$A$7:$A$305,0))</x:f>
        <x:v>C137788</x:v>
      </x:c>
      <x:c r="W89" s="24" t="n">
        <x:f>INDEX('Dated offers'!$E$7:$E$305,MATCH($Z89,'Dated offers'!$A$7:$A$305,0))</x:f>
        <x:v>46307.447455416666</x:v>
      </x:c>
      <x:c r="X89" s="2" t="b">
        <x:f>INDEX('Dated offers'!$N$7:$N$305,MATCH($Z89,'Dated offers'!$A$7:$A$305,0))</x:f>
        <x:v>0</x:v>
      </x:c>
      <x:c r="Y89" s="2" t="str">
        <x:f>INDEX('Dated offers'!$O$7:$O$305,MATCH($Z89,'Dated offers'!$A$7:$A$305,0))</x:f>
        <x:v>Unreserved inventory snapshot</x:v>
      </x:c>
      <x:c r="Z89" s="17" t="str">
        <x:v>OF0083</x:v>
      </x:c>
      <x:c r="AA89" s="2"/>
      <x:c r="AB89" s="2" t="str">
        <x:f>INDEX('Dated offers'!$Q$7:$Q$305,MATCH($Z89,'Dated offers'!$A$7:$A$305,0))</x:f>
        <x:v>https://www.lcsc.com/product-detail/C137788.html</x:v>
      </x:c>
    </x:row>
    <x:row r="90" ht="24" customHeight="1">
      <x:c r="A90" s="2" t="str">
        <x:v>25 boards / nominal</x:v>
      </x:c>
      <x:c r="B90" s="17" t="str">
        <x:v>RC0603FR-0718K2L</x:v>
      </x:c>
      <x:c r="C90" s="18" t="n">
        <x:v>25</x:v>
      </x:c>
      <x:c r="D90" s="27" t="n">
        <x:v>0</x:v>
      </x:c>
      <x:c r="E90" s="18" t="n">
        <x:f>INDEX('Assembly BOM'!$C$7:$C$162,MATCH($B90,'Assembly BOM'!$A$7:$A$162,0))</x:f>
        <x:v>1</x:v>
      </x:c>
      <x:c r="F90" s="18" t="n">
        <x:f>C90*E90</x:f>
        <x:v>25</x:v>
      </x:c>
      <x:c r="G90" s="18" t="n">
        <x:f>ROUNDUP(F90*(1+D90),0)</x:f>
        <x:v>25</x:v>
      </x:c>
      <x:c r="H90" s="18" t="n">
        <x:f>INDEX('Dated offers'!$F$7:$F$305,MATCH($Z90,'Dated offers'!$A$7:$A$305,0))</x:f>
        <x:v>1</x:v>
      </x:c>
      <x:c r="I90" s="18" t="n">
        <x:f>INDEX('Dated offers'!$G$7:$G$305,MATCH($Z90,'Dated offers'!$A$7:$A$305,0))</x:f>
        <x:v>1</x:v>
      </x:c>
      <x:c r="J90" s="18" t="n">
        <x:f>CEILING(MAX(G90,H90),I90)</x:f>
        <x:v>25</x:v>
      </x:c>
      <x:c r="K90" s="18" t="n">
        <x:v>25</x:v>
      </x:c>
      <x:c r="L90" s="18" t="n">
        <x:f>INDEX('Dated offers'!$I$7:$I$305,MATCH($Z90,'Dated offers'!$A$7:$A$305,0))</x:f>
        <x:v>25</x:v>
      </x:c>
      <x:c r="M90" s="25" t="n">
        <x:f>INDEX('Dated offers'!$J$7:$J$305,MATCH($Z90,'Dated offers'!$A$7:$A$305,0))</x:f>
        <x:v>0.0188</x:v>
      </x:c>
      <x:c r="N90" s="25" t="n">
        <x:f>INDEX('Dated offers'!$K$7:$K$305,MATCH($Z90,'Dated offers'!$A$7:$A$305,0))</x:f>
        <x:v>0</x:v>
      </x:c>
      <x:c r="O90" s="25" t="n">
        <x:f>F90*M90</x:f>
        <x:v>0.47000000000000003</x:v>
      </x:c>
      <x:c r="P90" s="25" t="n">
        <x:f>G90*M90</x:f>
        <x:v>0.47000000000000003</x:v>
      </x:c>
      <x:c r="Q90" s="25" t="n">
        <x:f>K90*M90+N90</x:f>
        <x:v>0.47000000000000003</x:v>
      </x:c>
      <x:c r="R90" s="18" t="n">
        <x:f>K90-G90</x:f>
        <x:v>0</x:v>
      </x:c>
      <x:c r="S90" s="18" t="n">
        <x:f>INDEX('Dated offers'!$H$7:$H$305,MATCH($Z90,'Dated offers'!$A$7:$A$305,0))</x:f>
        <x:v>88477</x:v>
      </x:c>
      <x:c r="T90" s="2" t="str">
        <x:f>IF(K90&lt;G90,"Order below requirement",IF(K90&lt;L90,"Below price tier",IF(ISNUMBER(S90),IF(K90&gt;S90,"Quantity exceeds snapshot","Within quantity snapshot"),"Stock not stated")))</x:f>
        <x:v>Within quantity snapshot</x:v>
      </x:c>
      <x:c r="U90" s="2" t="str">
        <x:f>INDEX('Dated offers'!$C$7:$C$305,MATCH($Z90,'Dated offers'!$A$7:$A$305,0))</x:f>
        <x:v>DigiKey</x:v>
      </x:c>
      <x:c r="V90" s="2" t="str">
        <x:f>INDEX('Dated offers'!$D$7:$D$305,MATCH($Z90,'Dated offers'!$A$7:$A$305,0))</x:f>
        <x:v>Not stated</x:v>
      </x:c>
      <x:c r="W90" s="24" t="n">
        <x:f>INDEX('Dated offers'!$E$7:$E$305,MATCH($Z90,'Dated offers'!$A$7:$A$305,0))</x:f>
        <x:v>46307.47807252315</x:v>
      </x:c>
      <x:c r="X90" s="2" t="b">
        <x:f>INDEX('Dated offers'!$N$7:$N$305,MATCH($Z90,'Dated offers'!$A$7:$A$305,0))</x:f>
        <x:v>0</x:v>
      </x:c>
      <x:c r="Y90" s="2" t="str">
        <x:f>INDEX('Dated offers'!$O$7:$O$305,MATCH($Z90,'Dated offers'!$A$7:$A$305,0))</x:f>
        <x:v>Unreserved inventory snapshot</x:v>
      </x:c>
      <x:c r="Z90" s="17" t="str">
        <x:v>OF0084</x:v>
      </x:c>
      <x:c r="AA90" s="2"/>
      <x:c r="AB90" s="2" t="str">
        <x:f>INDEX('Dated offers'!$Q$7:$Q$305,MATCH($Z90,'Dated offers'!$A$7:$A$305,0))</x:f>
        <x:v>https://www.digikey.com/en/products/detail/yageo/RC0603FR-0718K2L/729938</x:v>
      </x:c>
    </x:row>
    <x:row r="91" ht="24" customHeight="1">
      <x:c r="A91" s="2" t="str">
        <x:v>25 boards / nominal</x:v>
      </x:c>
      <x:c r="B91" s="17" t="str">
        <x:v>RC0603FR-071KL</x:v>
      </x:c>
      <x:c r="C91" s="18" t="n">
        <x:v>25</x:v>
      </x:c>
      <x:c r="D91" s="27" t="n">
        <x:v>0</x:v>
      </x:c>
      <x:c r="E91" s="18" t="n">
        <x:f>INDEX('Assembly BOM'!$C$7:$C$162,MATCH($B91,'Assembly BOM'!$A$7:$A$162,0))</x:f>
        <x:v>1</x:v>
      </x:c>
      <x:c r="F91" s="18" t="n">
        <x:f>C91*E91</x:f>
        <x:v>25</x:v>
      </x:c>
      <x:c r="G91" s="18" t="n">
        <x:f>ROUNDUP(F91*(1+D91),0)</x:f>
        <x:v>25</x:v>
      </x:c>
      <x:c r="H91" s="18" t="n">
        <x:f>INDEX('Dated offers'!$F$7:$F$305,MATCH($Z91,'Dated offers'!$A$7:$A$305,0))</x:f>
        <x:v>100</x:v>
      </x:c>
      <x:c r="I91" s="18" t="n">
        <x:f>INDEX('Dated offers'!$G$7:$G$305,MATCH($Z91,'Dated offers'!$A$7:$A$305,0))</x:f>
        <x:v>100</x:v>
      </x:c>
      <x:c r="J91" s="18" t="n">
        <x:f>CEILING(MAX(G91,H91),I91)</x:f>
        <x:v>100</x:v>
      </x:c>
      <x:c r="K91" s="18" t="n">
        <x:v>100</x:v>
      </x:c>
      <x:c r="L91" s="18" t="n">
        <x:f>INDEX('Dated offers'!$I$7:$I$305,MATCH($Z91,'Dated offers'!$A$7:$A$305,0))</x:f>
        <x:v>100</x:v>
      </x:c>
      <x:c r="M91" s="25" t="n">
        <x:f>INDEX('Dated offers'!$J$7:$J$305,MATCH($Z91,'Dated offers'!$A$7:$A$305,0))</x:f>
        <x:v>0.0037</x:v>
      </x:c>
      <x:c r="N91" s="25" t="n">
        <x:f>INDEX('Dated offers'!$K$7:$K$305,MATCH($Z91,'Dated offers'!$A$7:$A$305,0))</x:f>
        <x:v>0</x:v>
      </x:c>
      <x:c r="O91" s="25" t="n">
        <x:f>F91*M91</x:f>
        <x:v>0.0925</x:v>
      </x:c>
      <x:c r="P91" s="25" t="n">
        <x:f>G91*M91</x:f>
        <x:v>0.0925</x:v>
      </x:c>
      <x:c r="Q91" s="25" t="n">
        <x:f>K91*M91+N91</x:f>
        <x:v>0.37</x:v>
      </x:c>
      <x:c r="R91" s="18" t="n">
        <x:f>K91-G91</x:f>
        <x:v>75</x:v>
      </x:c>
      <x:c r="S91" s="18" t="n">
        <x:f>INDEX('Dated offers'!$H$7:$H$305,MATCH($Z91,'Dated offers'!$A$7:$A$305,0))</x:f>
        <x:v>9834600</x:v>
      </x:c>
      <x:c r="T91" s="2" t="str">
        <x:f>IF(K91&lt;G91,"Order below requirement",IF(K91&lt;L91,"Below price tier",IF(ISNUMBER(S91),IF(K91&gt;S91,"Quantity exceeds snapshot","Within quantity snapshot"),"Stock not stated")))</x:f>
        <x:v>Within quantity snapshot</x:v>
      </x:c>
      <x:c r="U91" s="2" t="str">
        <x:f>INDEX('Dated offers'!$C$7:$C$305,MATCH($Z91,'Dated offers'!$A$7:$A$305,0))</x:f>
        <x:v>LCSC</x:v>
      </x:c>
      <x:c r="V91" s="2" t="str">
        <x:f>INDEX('Dated offers'!$D$7:$D$305,MATCH($Z91,'Dated offers'!$A$7:$A$305,0))</x:f>
        <x:v>C22548</x:v>
      </x:c>
      <x:c r="W91" s="24" t="n">
        <x:f>INDEX('Dated offers'!$E$7:$E$305,MATCH($Z91,'Dated offers'!$A$7:$A$305,0))</x:f>
        <x:v>46307.44745611111</x:v>
      </x:c>
      <x:c r="X91" s="2" t="b">
        <x:f>INDEX('Dated offers'!$N$7:$N$305,MATCH($Z91,'Dated offers'!$A$7:$A$305,0))</x:f>
        <x:v>0</x:v>
      </x:c>
      <x:c r="Y91" s="2" t="str">
        <x:f>INDEX('Dated offers'!$O$7:$O$305,MATCH($Z91,'Dated offers'!$A$7:$A$305,0))</x:f>
        <x:v>Unreserved inventory snapshot</x:v>
      </x:c>
      <x:c r="Z91" s="17" t="str">
        <x:v>OF0085</x:v>
      </x:c>
      <x:c r="AA91" s="2"/>
      <x:c r="AB91" s="2" t="str">
        <x:f>INDEX('Dated offers'!$Q$7:$Q$305,MATCH($Z91,'Dated offers'!$A$7:$A$305,0))</x:f>
        <x:v>https://www.lcsc.com/product-detail/C22548.html</x:v>
      </x:c>
    </x:row>
    <x:row r="92" ht="24" customHeight="1">
      <x:c r="A92" s="2" t="str">
        <x:v>25 boards / nominal</x:v>
      </x:c>
      <x:c r="B92" s="17" t="str">
        <x:v>RC1206FR-071ML</x:v>
      </x:c>
      <x:c r="C92" s="18" t="n">
        <x:v>25</x:v>
      </x:c>
      <x:c r="D92" s="27" t="n">
        <x:v>0</x:v>
      </x:c>
      <x:c r="E92" s="18" t="n">
        <x:f>INDEX('Assembly BOM'!$C$7:$C$162,MATCH($B92,'Assembly BOM'!$A$7:$A$162,0))</x:f>
        <x:v>1</x:v>
      </x:c>
      <x:c r="F92" s="18" t="n">
        <x:f>C92*E92</x:f>
        <x:v>25</x:v>
      </x:c>
      <x:c r="G92" s="18" t="n">
        <x:f>ROUNDUP(F92*(1+D92),0)</x:f>
        <x:v>25</x:v>
      </x:c>
      <x:c r="H92" s="18" t="n">
        <x:f>INDEX('Dated offers'!$F$7:$F$305,MATCH($Z92,'Dated offers'!$A$7:$A$305,0))</x:f>
        <x:v>50</x:v>
      </x:c>
      <x:c r="I92" s="18" t="n">
        <x:f>INDEX('Dated offers'!$G$7:$G$305,MATCH($Z92,'Dated offers'!$A$7:$A$305,0))</x:f>
        <x:v>50</x:v>
      </x:c>
      <x:c r="J92" s="18" t="n">
        <x:f>CEILING(MAX(G92,H92),I92)</x:f>
        <x:v>50</x:v>
      </x:c>
      <x:c r="K92" s="18" t="n">
        <x:v>50</x:v>
      </x:c>
      <x:c r="L92" s="18" t="n">
        <x:f>INDEX('Dated offers'!$I$7:$I$305,MATCH($Z92,'Dated offers'!$A$7:$A$305,0))</x:f>
        <x:v>50</x:v>
      </x:c>
      <x:c r="M92" s="25" t="n">
        <x:f>INDEX('Dated offers'!$J$7:$J$305,MATCH($Z92,'Dated offers'!$A$7:$A$305,0))</x:f>
        <x:v>0.0122</x:v>
      </x:c>
      <x:c r="N92" s="25" t="n">
        <x:f>INDEX('Dated offers'!$K$7:$K$305,MATCH($Z92,'Dated offers'!$A$7:$A$305,0))</x:f>
        <x:v>0</x:v>
      </x:c>
      <x:c r="O92" s="25" t="n">
        <x:f>F92*M92</x:f>
        <x:v>0.305</x:v>
      </x:c>
      <x:c r="P92" s="25" t="n">
        <x:f>G92*M92</x:f>
        <x:v>0.305</x:v>
      </x:c>
      <x:c r="Q92" s="25" t="n">
        <x:f>K92*M92+N92</x:f>
        <x:v>0.61</x:v>
      </x:c>
      <x:c r="R92" s="18" t="n">
        <x:f>K92-G92</x:f>
        <x:v>25</x:v>
      </x:c>
      <x:c r="S92" s="18" t="n">
        <x:f>INDEX('Dated offers'!$H$7:$H$305,MATCH($Z92,'Dated offers'!$A$7:$A$305,0))</x:f>
        <x:v>645150</x:v>
      </x:c>
      <x:c r="T92" s="2" t="str">
        <x:f>IF(K92&lt;G92,"Order below requirement",IF(K92&lt;L92,"Below price tier",IF(ISNUMBER(S92),IF(K92&gt;S92,"Quantity exceeds snapshot","Within quantity snapshot"),"Stock not stated")))</x:f>
        <x:v>Within quantity snapshot</x:v>
      </x:c>
      <x:c r="U92" s="2" t="str">
        <x:f>INDEX('Dated offers'!$C$7:$C$305,MATCH($Z92,'Dated offers'!$A$7:$A$305,0))</x:f>
        <x:v>LCSC</x:v>
      </x:c>
      <x:c r="V92" s="2" t="str">
        <x:f>INDEX('Dated offers'!$D$7:$D$305,MATCH($Z92,'Dated offers'!$A$7:$A$305,0))</x:f>
        <x:v>C108083</x:v>
      </x:c>
      <x:c r="W92" s="24" t="n">
        <x:f>INDEX('Dated offers'!$E$7:$E$305,MATCH($Z92,'Dated offers'!$A$7:$A$305,0))</x:f>
        <x:v>46307.44745853009</x:v>
      </x:c>
      <x:c r="X92" s="2" t="b">
        <x:f>INDEX('Dated offers'!$N$7:$N$305,MATCH($Z92,'Dated offers'!$A$7:$A$305,0))</x:f>
        <x:v>0</x:v>
      </x:c>
      <x:c r="Y92" s="2" t="str">
        <x:f>INDEX('Dated offers'!$O$7:$O$305,MATCH($Z92,'Dated offers'!$A$7:$A$305,0))</x:f>
        <x:v>Unreserved inventory snapshot</x:v>
      </x:c>
      <x:c r="Z92" s="17" t="str">
        <x:v>OF0086</x:v>
      </x:c>
      <x:c r="AA92" s="2"/>
      <x:c r="AB92" s="2" t="str">
        <x:f>INDEX('Dated offers'!$Q$7:$Q$305,MATCH($Z92,'Dated offers'!$A$7:$A$305,0))</x:f>
        <x:v>https://www.lcsc.com/product-detail/C108083.html</x:v>
      </x:c>
    </x:row>
    <x:row r="93" ht="24" customHeight="1">
      <x:c r="A93" s="2" t="str">
        <x:v>25 boards / nominal</x:v>
      </x:c>
      <x:c r="B93" s="17" t="str">
        <x:v>RG1608N-222-W-T1</x:v>
      </x:c>
      <x:c r="C93" s="18" t="n">
        <x:v>25</x:v>
      </x:c>
      <x:c r="D93" s="27" t="n">
        <x:v>0</x:v>
      </x:c>
      <x:c r="E93" s="18" t="n">
        <x:f>INDEX('Assembly BOM'!$C$7:$C$162,MATCH($B93,'Assembly BOM'!$A$7:$A$162,0))</x:f>
        <x:v>2</x:v>
      </x:c>
      <x:c r="F93" s="18" t="n">
        <x:f>C93*E93</x:f>
        <x:v>50</x:v>
      </x:c>
      <x:c r="G93" s="18" t="n">
        <x:f>ROUNDUP(F93*(1+D93),0)</x:f>
        <x:v>50</x:v>
      </x:c>
      <x:c r="H93" s="18" t="n">
        <x:f>INDEX('Dated offers'!$F$7:$F$305,MATCH($Z93,'Dated offers'!$A$7:$A$305,0))</x:f>
        <x:v>1</x:v>
      </x:c>
      <x:c r="I93" s="18" t="n">
        <x:f>INDEX('Dated offers'!$G$7:$G$305,MATCH($Z93,'Dated offers'!$A$7:$A$305,0))</x:f>
        <x:v>1</x:v>
      </x:c>
      <x:c r="J93" s="18" t="n">
        <x:f>CEILING(MAX(G93,H93),I93)</x:f>
        <x:v>50</x:v>
      </x:c>
      <x:c r="K93" s="18" t="n">
        <x:v>50</x:v>
      </x:c>
      <x:c r="L93" s="18" t="n">
        <x:f>INDEX('Dated offers'!$I$7:$I$305,MATCH($Z93,'Dated offers'!$A$7:$A$305,0))</x:f>
        <x:v>50</x:v>
      </x:c>
      <x:c r="M93" s="25" t="n">
        <x:f>INDEX('Dated offers'!$J$7:$J$305,MATCH($Z93,'Dated offers'!$A$7:$A$305,0))</x:f>
        <x:v>0.463</x:v>
      </x:c>
      <x:c r="N93" s="25" t="n">
        <x:f>INDEX('Dated offers'!$K$7:$K$305,MATCH($Z93,'Dated offers'!$A$7:$A$305,0))</x:f>
        <x:v>0</x:v>
      </x:c>
      <x:c r="O93" s="25" t="n">
        <x:f>F93*M93</x:f>
        <x:v>23.150000000000002</x:v>
      </x:c>
      <x:c r="P93" s="25" t="n">
        <x:f>G93*M93</x:f>
        <x:v>23.150000000000002</x:v>
      </x:c>
      <x:c r="Q93" s="25" t="n">
        <x:f>K93*M93+N93</x:f>
        <x:v>23.150000000000002</x:v>
      </x:c>
      <x:c r="R93" s="18" t="n">
        <x:f>K93-G93</x:f>
        <x:v>0</x:v>
      </x:c>
      <x:c r="S93" s="18" t="n">
        <x:f>INDEX('Dated offers'!$H$7:$H$305,MATCH($Z93,'Dated offers'!$A$7:$A$305,0))</x:f>
        <x:v>87579</x:v>
      </x:c>
      <x:c r="T93" s="2" t="str">
        <x:f>IF(K93&lt;G93,"Order below requirement",IF(K93&lt;L93,"Below price tier",IF(ISNUMBER(S93),IF(K93&gt;S93,"Quantity exceeds snapshot","Within quantity snapshot"),"Stock not stated")))</x:f>
        <x:v>Within quantity snapshot</x:v>
      </x:c>
      <x:c r="U93" s="2" t="str">
        <x:f>INDEX('Dated offers'!$C$7:$C$305,MATCH($Z93,'Dated offers'!$A$7:$A$305,0))</x:f>
        <x:v>DigiKey</x:v>
      </x:c>
      <x:c r="V93" s="2" t="str">
        <x:f>INDEX('Dated offers'!$D$7:$D$305,MATCH($Z93,'Dated offers'!$A$7:$A$305,0))</x:f>
        <x:v>Not stated</x:v>
      </x:c>
      <x:c r="W93" s="24" t="n">
        <x:f>INDEX('Dated offers'!$E$7:$E$305,MATCH($Z93,'Dated offers'!$A$7:$A$305,0))</x:f>
        <x:v>46307.47807252315</x:v>
      </x:c>
      <x:c r="X93" s="2" t="b">
        <x:f>INDEX('Dated offers'!$N$7:$N$305,MATCH($Z93,'Dated offers'!$A$7:$A$305,0))</x:f>
        <x:v>0</x:v>
      </x:c>
      <x:c r="Y93" s="2" t="str">
        <x:f>INDEX('Dated offers'!$O$7:$O$305,MATCH($Z93,'Dated offers'!$A$7:$A$305,0))</x:f>
        <x:v>Unreserved inventory snapshot</x:v>
      </x:c>
      <x:c r="Z93" s="17" t="str">
        <x:v>OF0087</x:v>
      </x:c>
      <x:c r="AA93" s="2"/>
      <x:c r="AB93" s="2" t="str">
        <x:f>INDEX('Dated offers'!$Q$7:$Q$305,MATCH($Z93,'Dated offers'!$A$7:$A$305,0))</x:f>
        <x:v>https://www.digikey.com/en/products/detail/susumu/RG1608N-222-W-T1/600605</x:v>
      </x:c>
    </x:row>
    <x:row r="94" ht="24" customHeight="1">
      <x:c r="A94" s="2" t="str">
        <x:v>25 boards / nominal</x:v>
      </x:c>
      <x:c r="B94" s="17" t="str">
        <x:v>RG1608N-392-W-T1</x:v>
      </x:c>
      <x:c r="C94" s="18" t="n">
        <x:v>25</x:v>
      </x:c>
      <x:c r="D94" s="27" t="n">
        <x:v>0</x:v>
      </x:c>
      <x:c r="E94" s="18" t="n">
        <x:f>INDEX('Assembly BOM'!$C$7:$C$162,MATCH($B94,'Assembly BOM'!$A$7:$A$162,0))</x:f>
        <x:v>1</x:v>
      </x:c>
      <x:c r="F94" s="18" t="n">
        <x:f>C94*E94</x:f>
        <x:v>25</x:v>
      </x:c>
      <x:c r="G94" s="18" t="n">
        <x:f>ROUNDUP(F94*(1+D94),0)</x:f>
        <x:v>25</x:v>
      </x:c>
      <x:c r="H94" s="18" t="n">
        <x:f>INDEX('Dated offers'!$F$7:$F$305,MATCH($Z94,'Dated offers'!$A$7:$A$305,0))</x:f>
        <x:v>1</x:v>
      </x:c>
      <x:c r="I94" s="18" t="n">
        <x:f>INDEX('Dated offers'!$G$7:$G$305,MATCH($Z94,'Dated offers'!$A$7:$A$305,0))</x:f>
        <x:v>1</x:v>
      </x:c>
      <x:c r="J94" s="18" t="n">
        <x:f>CEILING(MAX(G94,H94),I94)</x:f>
        <x:v>25</x:v>
      </x:c>
      <x:c r="K94" s="18" t="n">
        <x:v>25</x:v>
      </x:c>
      <x:c r="L94" s="18" t="n">
        <x:f>INDEX('Dated offers'!$I$7:$I$305,MATCH($Z94,'Dated offers'!$A$7:$A$305,0))</x:f>
        <x:v>10</x:v>
      </x:c>
      <x:c r="M94" s="25" t="n">
        <x:f>INDEX('Dated offers'!$J$7:$J$305,MATCH($Z94,'Dated offers'!$A$7:$A$305,0))</x:f>
        <x:v>0.529</x:v>
      </x:c>
      <x:c r="N94" s="25" t="n">
        <x:f>INDEX('Dated offers'!$K$7:$K$305,MATCH($Z94,'Dated offers'!$A$7:$A$305,0))</x:f>
        <x:v>0</x:v>
      </x:c>
      <x:c r="O94" s="25" t="n">
        <x:f>F94*M94</x:f>
        <x:v>13.225000000000001</x:v>
      </x:c>
      <x:c r="P94" s="25" t="n">
        <x:f>G94*M94</x:f>
        <x:v>13.225000000000001</x:v>
      </x:c>
      <x:c r="Q94" s="25" t="n">
        <x:f>K94*M94+N94</x:f>
        <x:v>13.225000000000001</x:v>
      </x:c>
      <x:c r="R94" s="18" t="n">
        <x:f>K94-G94</x:f>
        <x:v>0</x:v>
      </x:c>
      <x:c r="S94" s="18" t="n">
        <x:f>INDEX('Dated offers'!$H$7:$H$305,MATCH($Z94,'Dated offers'!$A$7:$A$305,0))</x:f>
        <x:v>9903</x:v>
      </x:c>
      <x:c r="T94" s="2" t="str">
        <x:f>IF(K94&lt;G94,"Order below requirement",IF(K94&lt;L94,"Below price tier",IF(ISNUMBER(S94),IF(K94&gt;S94,"Quantity exceeds snapshot","Within quantity snapshot"),"Stock not stated")))</x:f>
        <x:v>Within quantity snapshot</x:v>
      </x:c>
      <x:c r="U94" s="2" t="str">
        <x:f>INDEX('Dated offers'!$C$7:$C$305,MATCH($Z94,'Dated offers'!$A$7:$A$305,0))</x:f>
        <x:v>DigiKey</x:v>
      </x:c>
      <x:c r="V94" s="2" t="str">
        <x:f>INDEX('Dated offers'!$D$7:$D$305,MATCH($Z94,'Dated offers'!$A$7:$A$305,0))</x:f>
        <x:v>Not stated</x:v>
      </x:c>
      <x:c r="W94" s="24" t="n">
        <x:f>INDEX('Dated offers'!$E$7:$E$305,MATCH($Z94,'Dated offers'!$A$7:$A$305,0))</x:f>
        <x:v>46307.47807252315</x:v>
      </x:c>
      <x:c r="X94" s="2" t="b">
        <x:f>INDEX('Dated offers'!$N$7:$N$305,MATCH($Z94,'Dated offers'!$A$7:$A$305,0))</x:f>
        <x:v>0</x:v>
      </x:c>
      <x:c r="Y94" s="2" t="str">
        <x:f>INDEX('Dated offers'!$O$7:$O$305,MATCH($Z94,'Dated offers'!$A$7:$A$305,0))</x:f>
        <x:v>Unreserved inventory snapshot</x:v>
      </x:c>
      <x:c r="Z94" s="17" t="str">
        <x:v>OF0088</x:v>
      </x:c>
      <x:c r="AA94" s="2"/>
      <x:c r="AB94" s="2" t="str">
        <x:f>INDEX('Dated offers'!$Q$7:$Q$305,MATCH($Z94,'Dated offers'!$A$7:$A$305,0))</x:f>
        <x:v>https://www.digikey.com/en/products/detail/susumu/RG1608N-392-W-T1/600611</x:v>
      </x:c>
    </x:row>
    <x:row r="95" ht="24" customHeight="1">
      <x:c r="A95" s="2" t="str">
        <x:v>25 boards / nominal</x:v>
      </x:c>
      <x:c r="B95" s="17" t="str">
        <x:v>RG1608N-682-W-T1</x:v>
      </x:c>
      <x:c r="C95" s="18" t="n">
        <x:v>25</x:v>
      </x:c>
      <x:c r="D95" s="27" t="n">
        <x:v>0</x:v>
      </x:c>
      <x:c r="E95" s="18" t="n">
        <x:f>INDEX('Assembly BOM'!$C$7:$C$162,MATCH($B95,'Assembly BOM'!$A$7:$A$162,0))</x:f>
        <x:v>1</x:v>
      </x:c>
      <x:c r="F95" s="18" t="n">
        <x:f>C95*E95</x:f>
        <x:v>25</x:v>
      </x:c>
      <x:c r="G95" s="18" t="n">
        <x:f>ROUNDUP(F95*(1+D95),0)</x:f>
        <x:v>25</x:v>
      </x:c>
      <x:c r="H95" s="18" t="n">
        <x:f>INDEX('Dated offers'!$F$7:$F$305,MATCH($Z95,'Dated offers'!$A$7:$A$305,0))</x:f>
        <x:v>1</x:v>
      </x:c>
      <x:c r="I95" s="18" t="n">
        <x:f>INDEX('Dated offers'!$G$7:$G$305,MATCH($Z95,'Dated offers'!$A$7:$A$305,0))</x:f>
        <x:v>1</x:v>
      </x:c>
      <x:c r="J95" s="18" t="n">
        <x:f>CEILING(MAX(G95,H95),I95)</x:f>
        <x:v>25</x:v>
      </x:c>
      <x:c r="K95" s="18" t="n">
        <x:v>25</x:v>
      </x:c>
      <x:c r="L95" s="18" t="n">
        <x:f>INDEX('Dated offers'!$I$7:$I$305,MATCH($Z95,'Dated offers'!$A$7:$A$305,0))</x:f>
        <x:v>10</x:v>
      </x:c>
      <x:c r="M95" s="25" t="n">
        <x:f>INDEX('Dated offers'!$J$7:$J$305,MATCH($Z95,'Dated offers'!$A$7:$A$305,0))</x:f>
        <x:v>0.499</x:v>
      </x:c>
      <x:c r="N95" s="25" t="n">
        <x:f>INDEX('Dated offers'!$K$7:$K$305,MATCH($Z95,'Dated offers'!$A$7:$A$305,0))</x:f>
        <x:v>0</x:v>
      </x:c>
      <x:c r="O95" s="25" t="n">
        <x:f>F95*M95</x:f>
        <x:v>12.475</x:v>
      </x:c>
      <x:c r="P95" s="25" t="n">
        <x:f>G95*M95</x:f>
        <x:v>12.475</x:v>
      </x:c>
      <x:c r="Q95" s="25" t="n">
        <x:f>K95*M95+N95</x:f>
        <x:v>12.475</x:v>
      </x:c>
      <x:c r="R95" s="18" t="n">
        <x:f>K95-G95</x:f>
        <x:v>0</x:v>
      </x:c>
      <x:c r="S95" s="18" t="n">
        <x:f>INDEX('Dated offers'!$H$7:$H$305,MATCH($Z95,'Dated offers'!$A$7:$A$305,0))</x:f>
        <x:v>3134</x:v>
      </x:c>
      <x:c r="T95" s="2" t="str">
        <x:f>IF(K95&lt;G95,"Order below requirement",IF(K95&lt;L95,"Below price tier",IF(ISNUMBER(S95),IF(K95&gt;S95,"Quantity exceeds snapshot","Within quantity snapshot"),"Stock not stated")))</x:f>
        <x:v>Within quantity snapshot</x:v>
      </x:c>
      <x:c r="U95" s="2" t="str">
        <x:f>INDEX('Dated offers'!$C$7:$C$305,MATCH($Z95,'Dated offers'!$A$7:$A$305,0))</x:f>
        <x:v>DigiKey</x:v>
      </x:c>
      <x:c r="V95" s="2" t="str">
        <x:f>INDEX('Dated offers'!$D$7:$D$305,MATCH($Z95,'Dated offers'!$A$7:$A$305,0))</x:f>
        <x:v>Not stated</x:v>
      </x:c>
      <x:c r="W95" s="24" t="n">
        <x:f>INDEX('Dated offers'!$E$7:$E$305,MATCH($Z95,'Dated offers'!$A$7:$A$305,0))</x:f>
        <x:v>46307.478072592596</x:v>
      </x:c>
      <x:c r="X95" s="2" t="b">
        <x:f>INDEX('Dated offers'!$N$7:$N$305,MATCH($Z95,'Dated offers'!$A$7:$A$305,0))</x:f>
        <x:v>0</x:v>
      </x:c>
      <x:c r="Y95" s="2" t="str">
        <x:f>INDEX('Dated offers'!$O$7:$O$305,MATCH($Z95,'Dated offers'!$A$7:$A$305,0))</x:f>
        <x:v>Unreserved inventory snapshot</x:v>
      </x:c>
      <x:c r="Z95" s="17" t="str">
        <x:v>OF0089</x:v>
      </x:c>
      <x:c r="AA95" s="2"/>
      <x:c r="AB95" s="2" t="str">
        <x:f>INDEX('Dated offers'!$Q$7:$Q$305,MATCH($Z95,'Dated offers'!$A$7:$A$305,0))</x:f>
        <x:v>https://www.digikey.com/en/products/detail/susumu/RG1608N-682-W-T1/600805</x:v>
      </x:c>
    </x:row>
    <x:row r="96" ht="24" customHeight="1">
      <x:c r="A96" s="2" t="str">
        <x:v>25 boards / nominal</x:v>
      </x:c>
      <x:c r="B96" s="17" t="str">
        <x:v>RHA0J471MCN1GS</x:v>
      </x:c>
      <x:c r="C96" s="18" t="n">
        <x:v>25</x:v>
      </x:c>
      <x:c r="D96" s="27" t="n">
        <x:v>0</x:v>
      </x:c>
      <x:c r="E96" s="18" t="n">
        <x:f>INDEX('Assembly BOM'!$C$7:$C$162,MATCH($B96,'Assembly BOM'!$A$7:$A$162,0))</x:f>
        <x:v>1</x:v>
      </x:c>
      <x:c r="F96" s="18" t="n">
        <x:f>C96*E96</x:f>
        <x:v>25</x:v>
      </x:c>
      <x:c r="G96" s="18" t="n">
        <x:f>ROUNDUP(F96*(1+D96),0)</x:f>
        <x:v>25</x:v>
      </x:c>
      <x:c r="H96" s="18" t="n">
        <x:f>INDEX('Dated offers'!$F$7:$F$305,MATCH($Z96,'Dated offers'!$A$7:$A$305,0))</x:f>
        <x:v>1</x:v>
      </x:c>
      <x:c r="I96" s="18" t="n">
        <x:f>INDEX('Dated offers'!$G$7:$G$305,MATCH($Z96,'Dated offers'!$A$7:$A$305,0))</x:f>
        <x:v>1</x:v>
      </x:c>
      <x:c r="J96" s="18" t="n">
        <x:f>CEILING(MAX(G96,H96),I96)</x:f>
        <x:v>25</x:v>
      </x:c>
      <x:c r="K96" s="18" t="n">
        <x:v>25</x:v>
      </x:c>
      <x:c r="L96" s="18" t="n">
        <x:f>INDEX('Dated offers'!$I$7:$I$305,MATCH($Z96,'Dated offers'!$A$7:$A$305,0))</x:f>
        <x:v>10</x:v>
      </x:c>
      <x:c r="M96" s="25" t="n">
        <x:f>INDEX('Dated offers'!$J$7:$J$305,MATCH($Z96,'Dated offers'!$A$7:$A$305,0))</x:f>
        <x:v>0.882</x:v>
      </x:c>
      <x:c r="N96" s="25" t="n">
        <x:f>INDEX('Dated offers'!$K$7:$K$305,MATCH($Z96,'Dated offers'!$A$7:$A$305,0))</x:f>
        <x:v>0</x:v>
      </x:c>
      <x:c r="O96" s="25" t="n">
        <x:f>F96*M96</x:f>
        <x:v>22.05</x:v>
      </x:c>
      <x:c r="P96" s="25" t="n">
        <x:f>G96*M96</x:f>
        <x:v>22.05</x:v>
      </x:c>
      <x:c r="Q96" s="25" t="n">
        <x:f>K96*M96+N96</x:f>
        <x:v>22.05</x:v>
      </x:c>
      <x:c r="R96" s="18" t="n">
        <x:f>K96-G96</x:f>
        <x:v>0</x:v>
      </x:c>
      <x:c r="S96" s="18" t="n">
        <x:f>INDEX('Dated offers'!$H$7:$H$305,MATCH($Z96,'Dated offers'!$A$7:$A$305,0))</x:f>
        <x:v>43782</x:v>
      </x:c>
      <x:c r="T96" s="2" t="str">
        <x:f>IF(K96&lt;G96,"Order below requirement",IF(K96&lt;L96,"Below price tier",IF(ISNUMBER(S96),IF(K96&gt;S96,"Quantity exceeds snapshot","Within quantity snapshot"),"Stock not stated")))</x:f>
        <x:v>Within quantity snapshot</x:v>
      </x:c>
      <x:c r="U96" s="2" t="str">
        <x:f>INDEX('Dated offers'!$C$7:$C$305,MATCH($Z96,'Dated offers'!$A$7:$A$305,0))</x:f>
        <x:v>DigiKey</x:v>
      </x:c>
      <x:c r="V96" s="2" t="str">
        <x:f>INDEX('Dated offers'!$D$7:$D$305,MATCH($Z96,'Dated offers'!$A$7:$A$305,0))</x:f>
        <x:v>Not stated</x:v>
      </x:c>
      <x:c r="W96" s="24" t="n">
        <x:f>INDEX('Dated offers'!$E$7:$E$305,MATCH($Z96,'Dated offers'!$A$7:$A$305,0))</x:f>
        <x:v>46307.47807258102</x:v>
      </x:c>
      <x:c r="X96" s="2" t="b">
        <x:f>INDEX('Dated offers'!$N$7:$N$305,MATCH($Z96,'Dated offers'!$A$7:$A$305,0))</x:f>
        <x:v>0</x:v>
      </x:c>
      <x:c r="Y96" s="2" t="str">
        <x:f>INDEX('Dated offers'!$O$7:$O$305,MATCH($Z96,'Dated offers'!$A$7:$A$305,0))</x:f>
        <x:v>Unreserved inventory snapshot</x:v>
      </x:c>
      <x:c r="Z96" s="17" t="str">
        <x:v>OF0090</x:v>
      </x:c>
      <x:c r="AA96" s="2"/>
      <x:c r="AB96" s="2" t="str">
        <x:f>INDEX('Dated offers'!$Q$7:$Q$305,MATCH($Z96,'Dated offers'!$A$7:$A$305,0))</x:f>
        <x:v>https://www.digikey.com/en/products/detail/nichicon/RHA0J471MCN1GS/2209461</x:v>
      </x:c>
    </x:row>
    <x:row r="97" ht="24" customHeight="1">
      <x:c r="A97" s="2" t="str">
        <x:v>25 boards / nominal</x:v>
      </x:c>
      <x:c r="B97" s="17" t="str">
        <x:v>RN73R1ETTP9650B25</x:v>
      </x:c>
      <x:c r="C97" s="18" t="n">
        <x:v>25</x:v>
      </x:c>
      <x:c r="D97" s="27" t="n">
        <x:v>0</x:v>
      </x:c>
      <x:c r="E97" s="18" t="n">
        <x:f>INDEX('Assembly BOM'!$C$7:$C$162,MATCH($B97,'Assembly BOM'!$A$7:$A$162,0))</x:f>
        <x:v>1</x:v>
      </x:c>
      <x:c r="F97" s="18" t="n">
        <x:f>C97*E97</x:f>
        <x:v>25</x:v>
      </x:c>
      <x:c r="G97" s="18" t="n">
        <x:f>ROUNDUP(F97*(1+D97),0)</x:f>
        <x:v>25</x:v>
      </x:c>
      <x:c r="H97" s="18" t="n">
        <x:f>INDEX('Dated offers'!$F$7:$F$305,MATCH($Z97,'Dated offers'!$A$7:$A$305,0))</x:f>
        <x:v>1</x:v>
      </x:c>
      <x:c r="I97" s="18" t="n">
        <x:f>INDEX('Dated offers'!$G$7:$G$305,MATCH($Z97,'Dated offers'!$A$7:$A$305,0))</x:f>
        <x:v>1</x:v>
      </x:c>
      <x:c r="J97" s="18" t="n">
        <x:f>CEILING(MAX(G97,H97),I97)</x:f>
        <x:v>25</x:v>
      </x:c>
      <x:c r="K97" s="18" t="n">
        <x:v>25</x:v>
      </x:c>
      <x:c r="L97" s="18" t="n">
        <x:f>INDEX('Dated offers'!$I$7:$I$305,MATCH($Z97,'Dated offers'!$A$7:$A$305,0))</x:f>
        <x:v>10</x:v>
      </x:c>
      <x:c r="M97" s="25" t="n">
        <x:f>INDEX('Dated offers'!$J$7:$J$305,MATCH($Z97,'Dated offers'!$A$7:$A$305,0))</x:f>
        <x:v>0.108</x:v>
      </x:c>
      <x:c r="N97" s="25" t="n">
        <x:f>INDEX('Dated offers'!$K$7:$K$305,MATCH($Z97,'Dated offers'!$A$7:$A$305,0))</x:f>
        <x:v>0</x:v>
      </x:c>
      <x:c r="O97" s="25" t="n">
        <x:f>F97*M97</x:f>
        <x:v>2.7</x:v>
      </x:c>
      <x:c r="P97" s="25" t="n">
        <x:f>G97*M97</x:f>
        <x:v>2.7</x:v>
      </x:c>
      <x:c r="Q97" s="25" t="n">
        <x:f>K97*M97+N97</x:f>
        <x:v>2.7</x:v>
      </x:c>
      <x:c r="R97" s="18" t="n">
        <x:f>K97-G97</x:f>
        <x:v>0</x:v>
      </x:c>
      <x:c r="S97" s="18" t="n">
        <x:f>INDEX('Dated offers'!$H$7:$H$305,MATCH($Z97,'Dated offers'!$A$7:$A$305,0))</x:f>
        <x:v>292</x:v>
      </x:c>
      <x:c r="T97" s="2" t="str">
        <x:f>IF(K97&lt;G97,"Order below requirement",IF(K97&lt;L97,"Below price tier",IF(ISNUMBER(S97),IF(K97&gt;S97,"Quantity exceeds snapshot","Within quantity snapshot"),"Stock not stated")))</x:f>
        <x:v>Within quantity snapshot</x:v>
      </x:c>
      <x:c r="U97" s="2" t="str">
        <x:f>INDEX('Dated offers'!$C$7:$C$305,MATCH($Z97,'Dated offers'!$A$7:$A$305,0))</x:f>
        <x:v>DigiKey</x:v>
      </x:c>
      <x:c r="V97" s="2" t="str">
        <x:f>INDEX('Dated offers'!$D$7:$D$305,MATCH($Z97,'Dated offers'!$A$7:$A$305,0))</x:f>
        <x:v>Not stated</x:v>
      </x:c>
      <x:c r="W97" s="24" t="n">
        <x:f>INDEX('Dated offers'!$E$7:$E$305,MATCH($Z97,'Dated offers'!$A$7:$A$305,0))</x:f>
        <x:v>46307.47807262732</x:v>
      </x:c>
      <x:c r="X97" s="2" t="b">
        <x:f>INDEX('Dated offers'!$N$7:$N$305,MATCH($Z97,'Dated offers'!$A$7:$A$305,0))</x:f>
        <x:v>0</x:v>
      </x:c>
      <x:c r="Y97" s="2" t="str">
        <x:f>INDEX('Dated offers'!$O$7:$O$305,MATCH($Z97,'Dated offers'!$A$7:$A$305,0))</x:f>
        <x:v>Unreserved inventory snapshot</x:v>
      </x:c>
      <x:c r="Z97" s="17" t="str">
        <x:v>OF0091</x:v>
      </x:c>
      <x:c r="AA97" s="2"/>
      <x:c r="AB97" s="2" t="str">
        <x:f>INDEX('Dated offers'!$Q$7:$Q$305,MATCH($Z97,'Dated offers'!$A$7:$A$305,0))</x:f>
        <x:v>https://www.digikey.com/en/products/detail/koa-speer-electronics-inc/RN73R1ETTP9650B25/10007834</x:v>
      </x:c>
    </x:row>
    <x:row r="98" ht="24" customHeight="1">
      <x:c r="A98" s="2" t="str">
        <x:v>25 boards / nominal</x:v>
      </x:c>
      <x:c r="B98" s="17" t="str">
        <x:v>RT0402BRD07107KL</x:v>
      </x:c>
      <x:c r="C98" s="18" t="n">
        <x:v>25</x:v>
      </x:c>
      <x:c r="D98" s="27" t="n">
        <x:v>0</x:v>
      </x:c>
      <x:c r="E98" s="18" t="n">
        <x:f>INDEX('Assembly BOM'!$C$7:$C$162,MATCH($B98,'Assembly BOM'!$A$7:$A$162,0))</x:f>
        <x:v>2</x:v>
      </x:c>
      <x:c r="F98" s="18" t="n">
        <x:f>C98*E98</x:f>
        <x:v>50</x:v>
      </x:c>
      <x:c r="G98" s="18" t="n">
        <x:f>ROUNDUP(F98*(1+D98),0)</x:f>
        <x:v>50</x:v>
      </x:c>
      <x:c r="H98" s="18" t="n">
        <x:f>INDEX('Dated offers'!$F$7:$F$305,MATCH($Z98,'Dated offers'!$A$7:$A$305,0))</x:f>
        <x:v>1</x:v>
      </x:c>
      <x:c r="I98" s="18" t="n">
        <x:f>INDEX('Dated offers'!$G$7:$G$305,MATCH($Z98,'Dated offers'!$A$7:$A$305,0))</x:f>
        <x:v>1</x:v>
      </x:c>
      <x:c r="J98" s="18" t="n">
        <x:f>CEILING(MAX(G98,H98),I98)</x:f>
        <x:v>50</x:v>
      </x:c>
      <x:c r="K98" s="18" t="n">
        <x:v>50</x:v>
      </x:c>
      <x:c r="L98" s="18" t="n">
        <x:f>INDEX('Dated offers'!$I$7:$I$305,MATCH($Z98,'Dated offers'!$A$7:$A$305,0))</x:f>
        <x:v>50</x:v>
      </x:c>
      <x:c r="M98" s="25" t="n">
        <x:f>INDEX('Dated offers'!$J$7:$J$305,MATCH($Z98,'Dated offers'!$A$7:$A$305,0))</x:f>
        <x:v>0.0896</x:v>
      </x:c>
      <x:c r="N98" s="25" t="n">
        <x:f>INDEX('Dated offers'!$K$7:$K$305,MATCH($Z98,'Dated offers'!$A$7:$A$305,0))</x:f>
        <x:v>0</x:v>
      </x:c>
      <x:c r="O98" s="25" t="n">
        <x:f>F98*M98</x:f>
        <x:v>4.4799999999999995</x:v>
      </x:c>
      <x:c r="P98" s="25" t="n">
        <x:f>G98*M98</x:f>
        <x:v>4.4799999999999995</x:v>
      </x:c>
      <x:c r="Q98" s="25" t="n">
        <x:f>K98*M98+N98</x:f>
        <x:v>4.4799999999999995</x:v>
      </x:c>
      <x:c r="R98" s="18" t="n">
        <x:f>K98-G98</x:f>
        <x:v>0</x:v>
      </x:c>
      <x:c r="S98" s="18" t="n">
        <x:f>INDEX('Dated offers'!$H$7:$H$305,MATCH($Z98,'Dated offers'!$A$7:$A$305,0))</x:f>
        <x:v>1437</x:v>
      </x:c>
      <x:c r="T98" s="2" t="str">
        <x:f>IF(K98&lt;G98,"Order below requirement",IF(K98&lt;L98,"Below price tier",IF(ISNUMBER(S98),IF(K98&gt;S98,"Quantity exceeds snapshot","Within quantity snapshot"),"Stock not stated")))</x:f>
        <x:v>Within quantity snapshot</x:v>
      </x:c>
      <x:c r="U98" s="2" t="str">
        <x:f>INDEX('Dated offers'!$C$7:$C$305,MATCH($Z98,'Dated offers'!$A$7:$A$305,0))</x:f>
        <x:v>DigiKey</x:v>
      </x:c>
      <x:c r="V98" s="2" t="str">
        <x:f>INDEX('Dated offers'!$D$7:$D$305,MATCH($Z98,'Dated offers'!$A$7:$A$305,0))</x:f>
        <x:v>Not stated</x:v>
      </x:c>
      <x:c r="W98" s="24" t="n">
        <x:f>INDEX('Dated offers'!$E$7:$E$305,MATCH($Z98,'Dated offers'!$A$7:$A$305,0))</x:f>
        <x:v>46307.47807258102</x:v>
      </x:c>
      <x:c r="X98" s="2" t="b">
        <x:f>INDEX('Dated offers'!$N$7:$N$305,MATCH($Z98,'Dated offers'!$A$7:$A$305,0))</x:f>
        <x:v>0</x:v>
      </x:c>
      <x:c r="Y98" s="2" t="str">
        <x:f>INDEX('Dated offers'!$O$7:$O$305,MATCH($Z98,'Dated offers'!$A$7:$A$305,0))</x:f>
        <x:v>Unreserved inventory snapshot</x:v>
      </x:c>
      <x:c r="Z98" s="17" t="str">
        <x:v>OF0092</x:v>
      </x:c>
      <x:c r="AA98" s="2"/>
      <x:c r="AB98" s="2" t="str">
        <x:f>INDEX('Dated offers'!$Q$7:$Q$305,MATCH($Z98,'Dated offers'!$A$7:$A$305,0))</x:f>
        <x:v>https://www.digikey.com/en/products/detail/yageo/RT0402BRD07107KL/7708214</x:v>
      </x:c>
    </x:row>
    <x:row r="99" ht="24" customHeight="1">
      <x:c r="A99" s="2" t="str">
        <x:v>25 boards / nominal</x:v>
      </x:c>
      <x:c r="B99" s="17" t="str">
        <x:v>RT0402BRD0711K3L</x:v>
      </x:c>
      <x:c r="C99" s="18" t="n">
        <x:v>25</x:v>
      </x:c>
      <x:c r="D99" s="27" t="n">
        <x:v>0</x:v>
      </x:c>
      <x:c r="E99" s="18" t="n">
        <x:f>INDEX('Assembly BOM'!$C$7:$C$162,MATCH($B99,'Assembly BOM'!$A$7:$A$162,0))</x:f>
        <x:v>1</x:v>
      </x:c>
      <x:c r="F99" s="18" t="n">
        <x:f>C99*E99</x:f>
        <x:v>25</x:v>
      </x:c>
      <x:c r="G99" s="18" t="n">
        <x:f>ROUNDUP(F99*(1+D99),0)</x:f>
        <x:v>25</x:v>
      </x:c>
      <x:c r="H99" s="18" t="n">
        <x:f>INDEX('Dated offers'!$F$7:$F$305,MATCH($Z99,'Dated offers'!$A$7:$A$305,0))</x:f>
        <x:v>1</x:v>
      </x:c>
      <x:c r="I99" s="18" t="n">
        <x:f>INDEX('Dated offers'!$G$7:$G$305,MATCH($Z99,'Dated offers'!$A$7:$A$305,0))</x:f>
        <x:v>1</x:v>
      </x:c>
      <x:c r="J99" s="18" t="n">
        <x:f>CEILING(MAX(G99,H99),I99)</x:f>
        <x:v>25</x:v>
      </x:c>
      <x:c r="K99" s="18" t="n">
        <x:v>25</x:v>
      </x:c>
      <x:c r="L99" s="18" t="n">
        <x:f>INDEX('Dated offers'!$I$7:$I$305,MATCH($Z99,'Dated offers'!$A$7:$A$305,0))</x:f>
        <x:v>10</x:v>
      </x:c>
      <x:c r="M99" s="25" t="n">
        <x:f>INDEX('Dated offers'!$J$7:$J$305,MATCH($Z99,'Dated offers'!$A$7:$A$305,0))</x:f>
        <x:v>0.089</x:v>
      </x:c>
      <x:c r="N99" s="25" t="n">
        <x:f>INDEX('Dated offers'!$K$7:$K$305,MATCH($Z99,'Dated offers'!$A$7:$A$305,0))</x:f>
        <x:v>0</x:v>
      </x:c>
      <x:c r="O99" s="25" t="n">
        <x:f>F99*M99</x:f>
        <x:v>2.225</x:v>
      </x:c>
      <x:c r="P99" s="25" t="n">
        <x:f>G99*M99</x:f>
        <x:v>2.225</x:v>
      </x:c>
      <x:c r="Q99" s="25" t="n">
        <x:f>K99*M99+N99</x:f>
        <x:v>2.225</x:v>
      </x:c>
      <x:c r="R99" s="18" t="n">
        <x:f>K99-G99</x:f>
        <x:v>0</x:v>
      </x:c>
      <x:c r="S99" s="18" t="n">
        <x:f>INDEX('Dated offers'!$H$7:$H$305,MATCH($Z99,'Dated offers'!$A$7:$A$305,0))</x:f>
        <x:v>37762</x:v>
      </x:c>
      <x:c r="T99" s="2" t="str">
        <x:f>IF(K99&lt;G99,"Order below requirement",IF(K99&lt;L99,"Below price tier",IF(ISNUMBER(S99),IF(K99&gt;S99,"Quantity exceeds snapshot","Within quantity snapshot"),"Stock not stated")))</x:f>
        <x:v>Within quantity snapshot</x:v>
      </x:c>
      <x:c r="U99" s="2" t="str">
        <x:f>INDEX('Dated offers'!$C$7:$C$305,MATCH($Z99,'Dated offers'!$A$7:$A$305,0))</x:f>
        <x:v>DigiKey</x:v>
      </x:c>
      <x:c r="V99" s="2" t="str">
        <x:f>INDEX('Dated offers'!$D$7:$D$305,MATCH($Z99,'Dated offers'!$A$7:$A$305,0))</x:f>
        <x:v>Not stated</x:v>
      </x:c>
      <x:c r="W99" s="24" t="n">
        <x:f>INDEX('Dated offers'!$E$7:$E$305,MATCH($Z99,'Dated offers'!$A$7:$A$305,0))</x:f>
        <x:v>46307.47807258102</x:v>
      </x:c>
      <x:c r="X99" s="2" t="b">
        <x:f>INDEX('Dated offers'!$N$7:$N$305,MATCH($Z99,'Dated offers'!$A$7:$A$305,0))</x:f>
        <x:v>0</x:v>
      </x:c>
      <x:c r="Y99" s="2" t="str">
        <x:f>INDEX('Dated offers'!$O$7:$O$305,MATCH($Z99,'Dated offers'!$A$7:$A$305,0))</x:f>
        <x:v>Unreserved inventory snapshot</x:v>
      </x:c>
      <x:c r="Z99" s="17" t="str">
        <x:v>OF0093</x:v>
      </x:c>
      <x:c r="AA99" s="2"/>
      <x:c r="AB99" s="2" t="str">
        <x:f>INDEX('Dated offers'!$Q$7:$Q$305,MATCH($Z99,'Dated offers'!$A$7:$A$305,0))</x:f>
        <x:v>https://www.digikey.com/en/products/detail/yageo/RT0402BRD0711K3L/6616321</x:v>
      </x:c>
    </x:row>
    <x:row r="100" ht="24" customHeight="1">
      <x:c r="A100" s="2" t="str">
        <x:v>25 boards / nominal</x:v>
      </x:c>
      <x:c r="B100" s="17" t="str">
        <x:v>RT0402BRD0717K4L</x:v>
      </x:c>
      <x:c r="C100" s="18" t="n">
        <x:v>25</x:v>
      </x:c>
      <x:c r="D100" s="27" t="n">
        <x:v>0</x:v>
      </x:c>
      <x:c r="E100" s="18" t="n">
        <x:f>INDEX('Assembly BOM'!$C$7:$C$162,MATCH($B100,'Assembly BOM'!$A$7:$A$162,0))</x:f>
        <x:v>1</x:v>
      </x:c>
      <x:c r="F100" s="18" t="n">
        <x:f>C100*E100</x:f>
        <x:v>25</x:v>
      </x:c>
      <x:c r="G100" s="18" t="n">
        <x:f>ROUNDUP(F100*(1+D100),0)</x:f>
        <x:v>25</x:v>
      </x:c>
      <x:c r="H100" s="18" t="n">
        <x:f>INDEX('Dated offers'!$F$7:$F$305,MATCH($Z100,'Dated offers'!$A$7:$A$305,0))</x:f>
        <x:v>1</x:v>
      </x:c>
      <x:c r="I100" s="18" t="n">
        <x:f>INDEX('Dated offers'!$G$7:$G$305,MATCH($Z100,'Dated offers'!$A$7:$A$305,0))</x:f>
        <x:v>1</x:v>
      </x:c>
      <x:c r="J100" s="18" t="n">
        <x:f>CEILING(MAX(G100,H100),I100)</x:f>
        <x:v>25</x:v>
      </x:c>
      <x:c r="K100" s="18" t="n">
        <x:v>25</x:v>
      </x:c>
      <x:c r="L100" s="18" t="n">
        <x:f>INDEX('Dated offers'!$I$7:$I$305,MATCH($Z100,'Dated offers'!$A$7:$A$305,0))</x:f>
        <x:v>10</x:v>
      </x:c>
      <x:c r="M100" s="25" t="n">
        <x:f>INDEX('Dated offers'!$J$7:$J$305,MATCH($Z100,'Dated offers'!$A$7:$A$305,0))</x:f>
        <x:v>0.084</x:v>
      </x:c>
      <x:c r="N100" s="25" t="n">
        <x:f>INDEX('Dated offers'!$K$7:$K$305,MATCH($Z100,'Dated offers'!$A$7:$A$305,0))</x:f>
        <x:v>0</x:v>
      </x:c>
      <x:c r="O100" s="25" t="n">
        <x:f>F100*M100</x:f>
        <x:v>2.1</x:v>
      </x:c>
      <x:c r="P100" s="25" t="n">
        <x:f>G100*M100</x:f>
        <x:v>2.1</x:v>
      </x:c>
      <x:c r="Q100" s="25" t="n">
        <x:f>K100*M100+N100</x:f>
        <x:v>2.1</x:v>
      </x:c>
      <x:c r="R100" s="18" t="n">
        <x:f>K100-G100</x:f>
        <x:v>0</x:v>
      </x:c>
      <x:c r="S100" s="18" t="n">
        <x:f>INDEX('Dated offers'!$H$7:$H$305,MATCH($Z100,'Dated offers'!$A$7:$A$305,0))</x:f>
        <x:v>1781</x:v>
      </x:c>
      <x:c r="T100" s="2" t="str">
        <x:f>IF(K100&lt;G100,"Order below requirement",IF(K100&lt;L100,"Below price tier",IF(ISNUMBER(S100),IF(K100&gt;S100,"Quantity exceeds snapshot","Within quantity snapshot"),"Stock not stated")))</x:f>
        <x:v>Within quantity snapshot</x:v>
      </x:c>
      <x:c r="U100" s="2" t="str">
        <x:f>INDEX('Dated offers'!$C$7:$C$305,MATCH($Z100,'Dated offers'!$A$7:$A$305,0))</x:f>
        <x:v>DigiKey</x:v>
      </x:c>
      <x:c r="V100" s="2" t="str">
        <x:f>INDEX('Dated offers'!$D$7:$D$305,MATCH($Z100,'Dated offers'!$A$7:$A$305,0))</x:f>
        <x:v>Not stated</x:v>
      </x:c>
      <x:c r="W100" s="24" t="n">
        <x:f>INDEX('Dated offers'!$E$7:$E$305,MATCH($Z100,'Dated offers'!$A$7:$A$305,0))</x:f>
        <x:v>46307.4780725463</x:v>
      </x:c>
      <x:c r="X100" s="2" t="b">
        <x:f>INDEX('Dated offers'!$N$7:$N$305,MATCH($Z100,'Dated offers'!$A$7:$A$305,0))</x:f>
        <x:v>0</x:v>
      </x:c>
      <x:c r="Y100" s="2" t="str">
        <x:f>INDEX('Dated offers'!$O$7:$O$305,MATCH($Z100,'Dated offers'!$A$7:$A$305,0))</x:f>
        <x:v>Unreserved inventory snapshot</x:v>
      </x:c>
      <x:c r="Z100" s="17" t="str">
        <x:v>OF0094</x:v>
      </x:c>
      <x:c r="AA100" s="2"/>
      <x:c r="AB100" s="2" t="str">
        <x:f>INDEX('Dated offers'!$Q$7:$Q$305,MATCH($Z100,'Dated offers'!$A$7:$A$305,0))</x:f>
        <x:v>https://www.digikey.com/en/products/detail/yageo/RT0402BRD0717K4L/1069068</x:v>
      </x:c>
    </x:row>
    <x:row r="101" ht="24" customHeight="1">
      <x:c r="A101" s="2" t="str">
        <x:v>25 boards / nominal</x:v>
      </x:c>
      <x:c r="B101" s="17" t="str">
        <x:v>RT0402BRD071KL</x:v>
      </x:c>
      <x:c r="C101" s="18" t="n">
        <x:v>25</x:v>
      </x:c>
      <x:c r="D101" s="27" t="n">
        <x:v>0</x:v>
      </x:c>
      <x:c r="E101" s="18" t="n">
        <x:f>INDEX('Assembly BOM'!$C$7:$C$162,MATCH($B101,'Assembly BOM'!$A$7:$A$162,0))</x:f>
        <x:v>1</x:v>
      </x:c>
      <x:c r="F101" s="18" t="n">
        <x:f>C101*E101</x:f>
        <x:v>25</x:v>
      </x:c>
      <x:c r="G101" s="18" t="n">
        <x:f>ROUNDUP(F101*(1+D101),0)</x:f>
        <x:v>25</x:v>
      </x:c>
      <x:c r="H101" s="18" t="n">
        <x:f>INDEX('Dated offers'!$F$7:$F$305,MATCH($Z101,'Dated offers'!$A$7:$A$305,0))</x:f>
        <x:v>1</x:v>
      </x:c>
      <x:c r="I101" s="18" t="n">
        <x:f>INDEX('Dated offers'!$G$7:$G$305,MATCH($Z101,'Dated offers'!$A$7:$A$305,0))</x:f>
        <x:v>1</x:v>
      </x:c>
      <x:c r="J101" s="18" t="n">
        <x:f>CEILING(MAX(G101,H101),I101)</x:f>
        <x:v>25</x:v>
      </x:c>
      <x:c r="K101" s="18" t="n">
        <x:v>25</x:v>
      </x:c>
      <x:c r="L101" s="18" t="n">
        <x:f>INDEX('Dated offers'!$I$7:$I$305,MATCH($Z101,'Dated offers'!$A$7:$A$305,0))</x:f>
        <x:v>10</x:v>
      </x:c>
      <x:c r="M101" s="25" t="n">
        <x:f>INDEX('Dated offers'!$J$7:$J$305,MATCH($Z101,'Dated offers'!$A$7:$A$305,0))</x:f>
        <x:v>0.089</x:v>
      </x:c>
      <x:c r="N101" s="25" t="n">
        <x:f>INDEX('Dated offers'!$K$7:$K$305,MATCH($Z101,'Dated offers'!$A$7:$A$305,0))</x:f>
        <x:v>0</x:v>
      </x:c>
      <x:c r="O101" s="25" t="n">
        <x:f>F101*M101</x:f>
        <x:v>2.225</x:v>
      </x:c>
      <x:c r="P101" s="25" t="n">
        <x:f>G101*M101</x:f>
        <x:v>2.225</x:v>
      </x:c>
      <x:c r="Q101" s="25" t="n">
        <x:f>K101*M101+N101</x:f>
        <x:v>2.225</x:v>
      </x:c>
      <x:c r="R101" s="18" t="n">
        <x:f>K101-G101</x:f>
        <x:v>0</x:v>
      </x:c>
      <x:c r="S101" s="18" t="n">
        <x:f>INDEX('Dated offers'!$H$7:$H$305,MATCH($Z101,'Dated offers'!$A$7:$A$305,0))</x:f>
        <x:v>374004</x:v>
      </x:c>
      <x:c r="T101" s="2" t="str">
        <x:f>IF(K101&lt;G101,"Order below requirement",IF(K101&lt;L101,"Below price tier",IF(ISNUMBER(S101),IF(K101&gt;S101,"Quantity exceeds snapshot","Within quantity snapshot"),"Stock not stated")))</x:f>
        <x:v>Within quantity snapshot</x:v>
      </x:c>
      <x:c r="U101" s="2" t="str">
        <x:f>INDEX('Dated offers'!$C$7:$C$305,MATCH($Z101,'Dated offers'!$A$7:$A$305,0))</x:f>
        <x:v>DigiKey</x:v>
      </x:c>
      <x:c r="V101" s="2" t="str">
        <x:f>INDEX('Dated offers'!$D$7:$D$305,MATCH($Z101,'Dated offers'!$A$7:$A$305,0))</x:f>
        <x:v>Not stated</x:v>
      </x:c>
      <x:c r="W101" s="24" t="n">
        <x:f>INDEX('Dated offers'!$E$7:$E$305,MATCH($Z101,'Dated offers'!$A$7:$A$305,0))</x:f>
        <x:v>46307.47807258102</x:v>
      </x:c>
      <x:c r="X101" s="2" t="b">
        <x:f>INDEX('Dated offers'!$N$7:$N$305,MATCH($Z101,'Dated offers'!$A$7:$A$305,0))</x:f>
        <x:v>0</x:v>
      </x:c>
      <x:c r="Y101" s="2" t="str">
        <x:f>INDEX('Dated offers'!$O$7:$O$305,MATCH($Z101,'Dated offers'!$A$7:$A$305,0))</x:f>
        <x:v>Unreserved inventory snapshot</x:v>
      </x:c>
      <x:c r="Z101" s="17" t="str">
        <x:v>OF0095</x:v>
      </x:c>
      <x:c r="AA101" s="2"/>
      <x:c r="AB101" s="2" t="str">
        <x:f>INDEX('Dated offers'!$Q$7:$Q$305,MATCH($Z101,'Dated offers'!$A$7:$A$305,0))</x:f>
        <x:v>https://www.digikey.com/en/products/detail/yageo/RT0402BRD071KL/5138834</x:v>
      </x:c>
    </x:row>
    <x:row r="102" ht="24" customHeight="1">
      <x:c r="A102" s="2" t="str">
        <x:v>25 boards / nominal</x:v>
      </x:c>
      <x:c r="B102" s="17" t="str">
        <x:v>RT0402BRD07301RL</x:v>
      </x:c>
      <x:c r="C102" s="18" t="n">
        <x:v>25</x:v>
      </x:c>
      <x:c r="D102" s="27" t="n">
        <x:v>0</x:v>
      </x:c>
      <x:c r="E102" s="18" t="n">
        <x:f>INDEX('Assembly BOM'!$C$7:$C$162,MATCH($B102,'Assembly BOM'!$A$7:$A$162,0))</x:f>
        <x:v>1</x:v>
      </x:c>
      <x:c r="F102" s="18" t="n">
        <x:f>C102*E102</x:f>
        <x:v>25</x:v>
      </x:c>
      <x:c r="G102" s="18" t="n">
        <x:f>ROUNDUP(F102*(1+D102),0)</x:f>
        <x:v>25</x:v>
      </x:c>
      <x:c r="H102" s="18" t="n">
        <x:f>INDEX('Dated offers'!$F$7:$F$305,MATCH($Z102,'Dated offers'!$A$7:$A$305,0))</x:f>
        <x:v>1</x:v>
      </x:c>
      <x:c r="I102" s="18" t="n">
        <x:f>INDEX('Dated offers'!$G$7:$G$305,MATCH($Z102,'Dated offers'!$A$7:$A$305,0))</x:f>
        <x:v>1</x:v>
      </x:c>
      <x:c r="J102" s="18" t="n">
        <x:f>CEILING(MAX(G102,H102),I102)</x:f>
        <x:v>25</x:v>
      </x:c>
      <x:c r="K102" s="18" t="n">
        <x:v>25</x:v>
      </x:c>
      <x:c r="L102" s="18" t="n">
        <x:f>INDEX('Dated offers'!$I$7:$I$305,MATCH($Z102,'Dated offers'!$A$7:$A$305,0))</x:f>
        <x:v>10</x:v>
      </x:c>
      <x:c r="M102" s="25" t="n">
        <x:f>INDEX('Dated offers'!$J$7:$J$305,MATCH($Z102,'Dated offers'!$A$7:$A$305,0))</x:f>
        <x:v>0.084</x:v>
      </x:c>
      <x:c r="N102" s="25" t="n">
        <x:f>INDEX('Dated offers'!$K$7:$K$305,MATCH($Z102,'Dated offers'!$A$7:$A$305,0))</x:f>
        <x:v>0</x:v>
      </x:c>
      <x:c r="O102" s="25" t="n">
        <x:f>F102*M102</x:f>
        <x:v>2.1</x:v>
      </x:c>
      <x:c r="P102" s="25" t="n">
        <x:f>G102*M102</x:f>
        <x:v>2.1</x:v>
      </x:c>
      <x:c r="Q102" s="25" t="n">
        <x:f>K102*M102+N102</x:f>
        <x:v>2.1</x:v>
      </x:c>
      <x:c r="R102" s="18" t="n">
        <x:f>K102-G102</x:f>
        <x:v>0</x:v>
      </x:c>
      <x:c r="S102" s="18" t="n">
        <x:f>INDEX('Dated offers'!$H$7:$H$305,MATCH($Z102,'Dated offers'!$A$7:$A$305,0))</x:f>
        <x:v>1053</x:v>
      </x:c>
      <x:c r="T102" s="2" t="str">
        <x:f>IF(K102&lt;G102,"Order below requirement",IF(K102&lt;L102,"Below price tier",IF(ISNUMBER(S102),IF(K102&gt;S102,"Quantity exceeds snapshot","Within quantity snapshot"),"Stock not stated")))</x:f>
        <x:v>Within quantity snapshot</x:v>
      </x:c>
      <x:c r="U102" s="2" t="str">
        <x:f>INDEX('Dated offers'!$C$7:$C$305,MATCH($Z102,'Dated offers'!$A$7:$A$305,0))</x:f>
        <x:v>DigiKey</x:v>
      </x:c>
      <x:c r="V102" s="2" t="str">
        <x:f>INDEX('Dated offers'!$D$7:$D$305,MATCH($Z102,'Dated offers'!$A$7:$A$305,0))</x:f>
        <x:v>Not stated</x:v>
      </x:c>
      <x:c r="W102" s="24" t="n">
        <x:f>INDEX('Dated offers'!$E$7:$E$305,MATCH($Z102,'Dated offers'!$A$7:$A$305,0))</x:f>
        <x:v>46307.47807269676</x:v>
      </x:c>
      <x:c r="X102" s="2" t="b">
        <x:f>INDEX('Dated offers'!$N$7:$N$305,MATCH($Z102,'Dated offers'!$A$7:$A$305,0))</x:f>
        <x:v>0</x:v>
      </x:c>
      <x:c r="Y102" s="2" t="str">
        <x:f>INDEX('Dated offers'!$O$7:$O$305,MATCH($Z102,'Dated offers'!$A$7:$A$305,0))</x:f>
        <x:v>Unreserved inventory snapshot</x:v>
      </x:c>
      <x:c r="Z102" s="17" t="str">
        <x:v>OF0096</x:v>
      </x:c>
      <x:c r="AA102" s="2"/>
      <x:c r="AB102" s="2" t="str">
        <x:f>INDEX('Dated offers'!$Q$7:$Q$305,MATCH($Z102,'Dated offers'!$A$7:$A$305,0))</x:f>
        <x:v>https://www.digikey.com/en/products/detail/yageo/RT0402BRD07301RL/1069200</x:v>
      </x:c>
    </x:row>
    <x:row r="103" ht="24" customHeight="1">
      <x:c r="A103" s="2" t="str">
        <x:v>25 boards / nominal</x:v>
      </x:c>
      <x:c r="B103" s="17" t="str">
        <x:v>RT0402BRD0757K6L</x:v>
      </x:c>
      <x:c r="C103" s="18" t="n">
        <x:v>25</x:v>
      </x:c>
      <x:c r="D103" s="27" t="n">
        <x:v>0</x:v>
      </x:c>
      <x:c r="E103" s="18" t="n">
        <x:f>INDEX('Assembly BOM'!$C$7:$C$162,MATCH($B103,'Assembly BOM'!$A$7:$A$162,0))</x:f>
        <x:v>1</x:v>
      </x:c>
      <x:c r="F103" s="18" t="n">
        <x:f>C103*E103</x:f>
        <x:v>25</x:v>
      </x:c>
      <x:c r="G103" s="18" t="n">
        <x:f>ROUNDUP(F103*(1+D103),0)</x:f>
        <x:v>25</x:v>
      </x:c>
      <x:c r="H103" s="18" t="n">
        <x:f>INDEX('Dated offers'!$F$7:$F$305,MATCH($Z103,'Dated offers'!$A$7:$A$305,0))</x:f>
        <x:v>1</x:v>
      </x:c>
      <x:c r="I103" s="18" t="n">
        <x:f>INDEX('Dated offers'!$G$7:$G$305,MATCH($Z103,'Dated offers'!$A$7:$A$305,0))</x:f>
        <x:v>1</x:v>
      </x:c>
      <x:c r="J103" s="18" t="n">
        <x:f>CEILING(MAX(G103,H103),I103)</x:f>
        <x:v>25</x:v>
      </x:c>
      <x:c r="K103" s="18" t="n">
        <x:v>25</x:v>
      </x:c>
      <x:c r="L103" s="18" t="n">
        <x:f>INDEX('Dated offers'!$I$7:$I$305,MATCH($Z103,'Dated offers'!$A$7:$A$305,0))</x:f>
        <x:v>10</x:v>
      </x:c>
      <x:c r="M103" s="25" t="n">
        <x:f>INDEX('Dated offers'!$J$7:$J$305,MATCH($Z103,'Dated offers'!$A$7:$A$305,0))</x:f>
        <x:v>0.089</x:v>
      </x:c>
      <x:c r="N103" s="25" t="n">
        <x:f>INDEX('Dated offers'!$K$7:$K$305,MATCH($Z103,'Dated offers'!$A$7:$A$305,0))</x:f>
        <x:v>0</x:v>
      </x:c>
      <x:c r="O103" s="25" t="n">
        <x:f>F103*M103</x:f>
        <x:v>2.225</x:v>
      </x:c>
      <x:c r="P103" s="25" t="n">
        <x:f>G103*M103</x:f>
        <x:v>2.225</x:v>
      </x:c>
      <x:c r="Q103" s="25" t="n">
        <x:f>K103*M103+N103</x:f>
        <x:v>2.225</x:v>
      </x:c>
      <x:c r="R103" s="18" t="n">
        <x:f>K103-G103</x:f>
        <x:v>0</x:v>
      </x:c>
      <x:c r="S103" s="18" t="n">
        <x:f>INDEX('Dated offers'!$H$7:$H$305,MATCH($Z103,'Dated offers'!$A$7:$A$305,0))</x:f>
        <x:v>19539</x:v>
      </x:c>
      <x:c r="T103" s="2" t="str">
        <x:f>IF(K103&lt;G103,"Order below requirement",IF(K103&lt;L103,"Below price tier",IF(ISNUMBER(S103),IF(K103&gt;S103,"Quantity exceeds snapshot","Within quantity snapshot"),"Stock not stated")))</x:f>
        <x:v>Within quantity snapshot</x:v>
      </x:c>
      <x:c r="U103" s="2" t="str">
        <x:f>INDEX('Dated offers'!$C$7:$C$305,MATCH($Z103,'Dated offers'!$A$7:$A$305,0))</x:f>
        <x:v>DigiKey</x:v>
      </x:c>
      <x:c r="V103" s="2" t="str">
        <x:f>INDEX('Dated offers'!$D$7:$D$305,MATCH($Z103,'Dated offers'!$A$7:$A$305,0))</x:f>
        <x:v>Not stated</x:v>
      </x:c>
      <x:c r="W103" s="24" t="n">
        <x:f>INDEX('Dated offers'!$E$7:$E$305,MATCH($Z103,'Dated offers'!$A$7:$A$305,0))</x:f>
        <x:v>46307.4780725463</x:v>
      </x:c>
      <x:c r="X103" s="2" t="b">
        <x:f>INDEX('Dated offers'!$N$7:$N$305,MATCH($Z103,'Dated offers'!$A$7:$A$305,0))</x:f>
        <x:v>0</x:v>
      </x:c>
      <x:c r="Y103" s="2" t="str">
        <x:f>INDEX('Dated offers'!$O$7:$O$305,MATCH($Z103,'Dated offers'!$A$7:$A$305,0))</x:f>
        <x:v>Unreserved inventory snapshot</x:v>
      </x:c>
      <x:c r="Z103" s="17" t="str">
        <x:v>OF0097</x:v>
      </x:c>
      <x:c r="AA103" s="2"/>
      <x:c r="AB103" s="2" t="str">
        <x:f>INDEX('Dated offers'!$Q$7:$Q$305,MATCH($Z103,'Dated offers'!$A$7:$A$305,0))</x:f>
        <x:v>https://www.digikey.com/en/products/detail/yageo/RT0402BRD0757K6L/6616439</x:v>
      </x:c>
    </x:row>
    <x:row r="104" ht="24" customHeight="1">
      <x:c r="A104" s="2" t="str">
        <x:v>25 boards / nominal</x:v>
      </x:c>
      <x:c r="B104" s="17" t="str">
        <x:v>RT0402BRD0764K9L</x:v>
      </x:c>
      <x:c r="C104" s="18" t="n">
        <x:v>25</x:v>
      </x:c>
      <x:c r="D104" s="27" t="n">
        <x:v>0</x:v>
      </x:c>
      <x:c r="E104" s="18" t="n">
        <x:f>INDEX('Assembly BOM'!$C$7:$C$162,MATCH($B104,'Assembly BOM'!$A$7:$A$162,0))</x:f>
        <x:v>1</x:v>
      </x:c>
      <x:c r="F104" s="18" t="n">
        <x:f>C104*E104</x:f>
        <x:v>25</x:v>
      </x:c>
      <x:c r="G104" s="18" t="n">
        <x:f>ROUNDUP(F104*(1+D104),0)</x:f>
        <x:v>25</x:v>
      </x:c>
      <x:c r="H104" s="18" t="n">
        <x:f>INDEX('Dated offers'!$F$7:$F$305,MATCH($Z104,'Dated offers'!$A$7:$A$305,0))</x:f>
        <x:v>50</x:v>
      </x:c>
      <x:c r="I104" s="18" t="n">
        <x:f>INDEX('Dated offers'!$G$7:$G$305,MATCH($Z104,'Dated offers'!$A$7:$A$305,0))</x:f>
        <x:v>50</x:v>
      </x:c>
      <x:c r="J104" s="18" t="n">
        <x:f>CEILING(MAX(G104,H104),I104)</x:f>
        <x:v>50</x:v>
      </x:c>
      <x:c r="K104" s="18" t="n">
        <x:v>50</x:v>
      </x:c>
      <x:c r="L104" s="18" t="n">
        <x:f>INDEX('Dated offers'!$I$7:$I$305,MATCH($Z104,'Dated offers'!$A$7:$A$305,0))</x:f>
        <x:v>50</x:v>
      </x:c>
      <x:c r="M104" s="25" t="n">
        <x:f>INDEX('Dated offers'!$J$7:$J$305,MATCH($Z104,'Dated offers'!$A$7:$A$305,0))</x:f>
        <x:v>0.0285</x:v>
      </x:c>
      <x:c r="N104" s="25" t="n">
        <x:f>INDEX('Dated offers'!$K$7:$K$305,MATCH($Z104,'Dated offers'!$A$7:$A$305,0))</x:f>
        <x:v>0</x:v>
      </x:c>
      <x:c r="O104" s="25" t="n">
        <x:f>F104*M104</x:f>
        <x:v>0.7125</x:v>
      </x:c>
      <x:c r="P104" s="25" t="n">
        <x:f>G104*M104</x:f>
        <x:v>0.7125</x:v>
      </x:c>
      <x:c r="Q104" s="25" t="n">
        <x:f>K104*M104+N104</x:f>
        <x:v>1.425</x:v>
      </x:c>
      <x:c r="R104" s="18" t="n">
        <x:f>K104-G104</x:f>
        <x:v>25</x:v>
      </x:c>
      <x:c r="S104" s="18" t="n">
        <x:f>INDEX('Dated offers'!$H$7:$H$305,MATCH($Z104,'Dated offers'!$A$7:$A$305,0))</x:f>
        <x:v>5400</x:v>
      </x:c>
      <x:c r="T104" s="2" t="str">
        <x:f>IF(K104&lt;G104,"Order below requirement",IF(K104&lt;L104,"Below price tier",IF(ISNUMBER(S104),IF(K104&gt;S104,"Quantity exceeds snapshot","Within quantity snapshot"),"Stock not stated")))</x:f>
        <x:v>Within quantity snapshot</x:v>
      </x:c>
      <x:c r="U104" s="2" t="str">
        <x:f>INDEX('Dated offers'!$C$7:$C$305,MATCH($Z104,'Dated offers'!$A$7:$A$305,0))</x:f>
        <x:v>LCSC</x:v>
      </x:c>
      <x:c r="V104" s="2" t="str">
        <x:f>INDEX('Dated offers'!$D$7:$D$305,MATCH($Z104,'Dated offers'!$A$7:$A$305,0))</x:f>
        <x:v>C852880</x:v>
      </x:c>
      <x:c r="W104" s="24" t="n">
        <x:f>INDEX('Dated offers'!$E$7:$E$305,MATCH($Z104,'Dated offers'!$A$7:$A$305,0))</x:f>
        <x:v>46307.44746053241</x:v>
      </x:c>
      <x:c r="X104" s="2" t="b">
        <x:f>INDEX('Dated offers'!$N$7:$N$305,MATCH($Z104,'Dated offers'!$A$7:$A$305,0))</x:f>
        <x:v>0</x:v>
      </x:c>
      <x:c r="Y104" s="2" t="str">
        <x:f>INDEX('Dated offers'!$O$7:$O$305,MATCH($Z104,'Dated offers'!$A$7:$A$305,0))</x:f>
        <x:v>Unreserved inventory snapshot</x:v>
      </x:c>
      <x:c r="Z104" s="17" t="str">
        <x:v>OF0098</x:v>
      </x:c>
      <x:c r="AA104" s="2"/>
      <x:c r="AB104" s="2" t="str">
        <x:f>INDEX('Dated offers'!$Q$7:$Q$305,MATCH($Z104,'Dated offers'!$A$7:$A$305,0))</x:f>
        <x:v>https://www.lcsc.com/product-detail/C852880.html</x:v>
      </x:c>
    </x:row>
    <x:row r="105" ht="24" customHeight="1">
      <x:c r="A105" s="2" t="str">
        <x:v>25 boards / nominal</x:v>
      </x:c>
      <x:c r="B105" s="17" t="str">
        <x:v>RT0402BRD0776K8L</x:v>
      </x:c>
      <x:c r="C105" s="18" t="n">
        <x:v>25</x:v>
      </x:c>
      <x:c r="D105" s="27" t="n">
        <x:v>0</x:v>
      </x:c>
      <x:c r="E105" s="18" t="n">
        <x:f>INDEX('Assembly BOM'!$C$7:$C$162,MATCH($B105,'Assembly BOM'!$A$7:$A$162,0))</x:f>
        <x:v>3</x:v>
      </x:c>
      <x:c r="F105" s="18" t="n">
        <x:f>C105*E105</x:f>
        <x:v>75</x:v>
      </x:c>
      <x:c r="G105" s="18" t="n">
        <x:f>ROUNDUP(F105*(1+D105),0)</x:f>
        <x:v>75</x:v>
      </x:c>
      <x:c r="H105" s="18" t="n">
        <x:f>INDEX('Dated offers'!$F$7:$F$305,MATCH($Z105,'Dated offers'!$A$7:$A$305,0))</x:f>
        <x:v>50</x:v>
      </x:c>
      <x:c r="I105" s="18" t="n">
        <x:f>INDEX('Dated offers'!$G$7:$G$305,MATCH($Z105,'Dated offers'!$A$7:$A$305,0))</x:f>
        <x:v>50</x:v>
      </x:c>
      <x:c r="J105" s="18" t="n">
        <x:f>CEILING(MAX(G105,H105),I105)</x:f>
        <x:v>100</x:v>
      </x:c>
      <x:c r="K105" s="18" t="n">
        <x:v>100</x:v>
      </x:c>
      <x:c r="L105" s="18" t="n">
        <x:f>INDEX('Dated offers'!$I$7:$I$305,MATCH($Z105,'Dated offers'!$A$7:$A$305,0))</x:f>
        <x:v>50</x:v>
      </x:c>
      <x:c r="M105" s="25" t="n">
        <x:f>INDEX('Dated offers'!$J$7:$J$305,MATCH($Z105,'Dated offers'!$A$7:$A$305,0))</x:f>
        <x:v>0.0284</x:v>
      </x:c>
      <x:c r="N105" s="25" t="n">
        <x:f>INDEX('Dated offers'!$K$7:$K$305,MATCH($Z105,'Dated offers'!$A$7:$A$305,0))</x:f>
        <x:v>0</x:v>
      </x:c>
      <x:c r="O105" s="25" t="n">
        <x:f>F105*M105</x:f>
        <x:v>2.1300000000000003</x:v>
      </x:c>
      <x:c r="P105" s="25" t="n">
        <x:f>G105*M105</x:f>
        <x:v>2.1300000000000003</x:v>
      </x:c>
      <x:c r="Q105" s="25" t="n">
        <x:f>K105*M105+N105</x:f>
        <x:v>2.8400000000000003</x:v>
      </x:c>
      <x:c r="R105" s="18" t="n">
        <x:f>K105-G105</x:f>
        <x:v>25</x:v>
      </x:c>
      <x:c r="S105" s="18" t="n">
        <x:f>INDEX('Dated offers'!$H$7:$H$305,MATCH($Z105,'Dated offers'!$A$7:$A$305,0))</x:f>
        <x:v>12300</x:v>
      </x:c>
      <x:c r="T105" s="2" t="str">
        <x:f>IF(K105&lt;G105,"Order below requirement",IF(K105&lt;L105,"Below price tier",IF(ISNUMBER(S105),IF(K105&gt;S105,"Quantity exceeds snapshot","Within quantity snapshot"),"Stock not stated")))</x:f>
        <x:v>Within quantity snapshot</x:v>
      </x:c>
      <x:c r="U105" s="2" t="str">
        <x:f>INDEX('Dated offers'!$C$7:$C$305,MATCH($Z105,'Dated offers'!$A$7:$A$305,0))</x:f>
        <x:v>LCSC</x:v>
      </x:c>
      <x:c r="V105" s="2" t="str">
        <x:f>INDEX('Dated offers'!$D$7:$D$305,MATCH($Z105,'Dated offers'!$A$7:$A$305,0))</x:f>
        <x:v>C852913</x:v>
      </x:c>
      <x:c r="W105" s="24" t="n">
        <x:f>INDEX('Dated offers'!$E$7:$E$305,MATCH($Z105,'Dated offers'!$A$7:$A$305,0))</x:f>
        <x:v>46307.44746167824</x:v>
      </x:c>
      <x:c r="X105" s="2" t="b">
        <x:f>INDEX('Dated offers'!$N$7:$N$305,MATCH($Z105,'Dated offers'!$A$7:$A$305,0))</x:f>
        <x:v>0</x:v>
      </x:c>
      <x:c r="Y105" s="2" t="str">
        <x:f>INDEX('Dated offers'!$O$7:$O$305,MATCH($Z105,'Dated offers'!$A$7:$A$305,0))</x:f>
        <x:v>Unreserved inventory snapshot</x:v>
      </x:c>
      <x:c r="Z105" s="17" t="str">
        <x:v>OF0099</x:v>
      </x:c>
      <x:c r="AA105" s="2"/>
      <x:c r="AB105" s="2" t="str">
        <x:f>INDEX('Dated offers'!$Q$7:$Q$305,MATCH($Z105,'Dated offers'!$A$7:$A$305,0))</x:f>
        <x:v>https://www.lcsc.com/product-detail/C852913.html</x:v>
      </x:c>
    </x:row>
    <x:row r="106" ht="24" customHeight="1">
      <x:c r="A106" s="2" t="str">
        <x:v>25 boards / nominal</x:v>
      </x:c>
      <x:c r="B106" s="17" t="str">
        <x:v>RT0402BRD0780K6L</x:v>
      </x:c>
      <x:c r="C106" s="18" t="n">
        <x:v>25</x:v>
      </x:c>
      <x:c r="D106" s="27" t="n">
        <x:v>0</x:v>
      </x:c>
      <x:c r="E106" s="18" t="n">
        <x:f>INDEX('Assembly BOM'!$C$7:$C$162,MATCH($B106,'Assembly BOM'!$A$7:$A$162,0))</x:f>
        <x:v>2</x:v>
      </x:c>
      <x:c r="F106" s="18" t="n">
        <x:f>C106*E106</x:f>
        <x:v>50</x:v>
      </x:c>
      <x:c r="G106" s="18" t="n">
        <x:f>ROUNDUP(F106*(1+D106),0)</x:f>
        <x:v>50</x:v>
      </x:c>
      <x:c r="H106" s="18" t="n">
        <x:f>INDEX('Dated offers'!$F$7:$F$305,MATCH($Z106,'Dated offers'!$A$7:$A$305,0))</x:f>
        <x:v>1</x:v>
      </x:c>
      <x:c r="I106" s="18" t="n">
        <x:f>INDEX('Dated offers'!$G$7:$G$305,MATCH($Z106,'Dated offers'!$A$7:$A$305,0))</x:f>
        <x:v>1</x:v>
      </x:c>
      <x:c r="J106" s="18" t="n">
        <x:f>CEILING(MAX(G106,H106),I106)</x:f>
        <x:v>50</x:v>
      </x:c>
      <x:c r="K106" s="18" t="n">
        <x:v>50</x:v>
      </x:c>
      <x:c r="L106" s="18" t="n">
        <x:f>INDEX('Dated offers'!$I$7:$I$305,MATCH($Z106,'Dated offers'!$A$7:$A$305,0))</x:f>
        <x:v>50</x:v>
      </x:c>
      <x:c r="M106" s="25" t="n">
        <x:f>INDEX('Dated offers'!$J$7:$J$305,MATCH($Z106,'Dated offers'!$A$7:$A$305,0))</x:f>
        <x:v>0.0734</x:v>
      </x:c>
      <x:c r="N106" s="25" t="n">
        <x:f>INDEX('Dated offers'!$K$7:$K$305,MATCH($Z106,'Dated offers'!$A$7:$A$305,0))</x:f>
        <x:v>0</x:v>
      </x:c>
      <x:c r="O106" s="25" t="n">
        <x:f>F106*M106</x:f>
        <x:v>3.6700000000000004</x:v>
      </x:c>
      <x:c r="P106" s="25" t="n">
        <x:f>G106*M106</x:f>
        <x:v>3.6700000000000004</x:v>
      </x:c>
      <x:c r="Q106" s="25" t="n">
        <x:f>K106*M106+N106</x:f>
        <x:v>3.6700000000000004</x:v>
      </x:c>
      <x:c r="R106" s="18" t="n">
        <x:f>K106-G106</x:f>
        <x:v>0</x:v>
      </x:c>
      <x:c r="S106" s="18" t="n">
        <x:f>INDEX('Dated offers'!$H$7:$H$305,MATCH($Z106,'Dated offers'!$A$7:$A$305,0))</x:f>
        <x:v>6673</x:v>
      </x:c>
      <x:c r="T106" s="2" t="str">
        <x:f>IF(K106&lt;G106,"Order below requirement",IF(K106&lt;L106,"Below price tier",IF(ISNUMBER(S106),IF(K106&gt;S106,"Quantity exceeds snapshot","Within quantity snapshot"),"Stock not stated")))</x:f>
        <x:v>Within quantity snapshot</x:v>
      </x:c>
      <x:c r="U106" s="2" t="str">
        <x:f>INDEX('Dated offers'!$C$7:$C$305,MATCH($Z106,'Dated offers'!$A$7:$A$305,0))</x:f>
        <x:v>DigiKey</x:v>
      </x:c>
      <x:c r="V106" s="2" t="str">
        <x:f>INDEX('Dated offers'!$D$7:$D$305,MATCH($Z106,'Dated offers'!$A$7:$A$305,0))</x:f>
        <x:v>Not stated</x:v>
      </x:c>
      <x:c r="W106" s="24" t="n">
        <x:f>INDEX('Dated offers'!$E$7:$E$305,MATCH($Z106,'Dated offers'!$A$7:$A$305,0))</x:f>
        <x:v>46307.47807269676</x:v>
      </x:c>
      <x:c r="X106" s="2" t="b">
        <x:f>INDEX('Dated offers'!$N$7:$N$305,MATCH($Z106,'Dated offers'!$A$7:$A$305,0))</x:f>
        <x:v>0</x:v>
      </x:c>
      <x:c r="Y106" s="2" t="str">
        <x:f>INDEX('Dated offers'!$O$7:$O$305,MATCH($Z106,'Dated offers'!$A$7:$A$305,0))</x:f>
        <x:v>Unreserved inventory snapshot</x:v>
      </x:c>
      <x:c r="Z106" s="17" t="str">
        <x:v>OF0100</x:v>
      </x:c>
      <x:c r="AA106" s="2"/>
      <x:c r="AB106" s="2" t="str">
        <x:f>INDEX('Dated offers'!$Q$7:$Q$305,MATCH($Z106,'Dated offers'!$A$7:$A$305,0))</x:f>
        <x:v>https://www.digikey.com/en/products/detail/yageo/RT0402BRD0780K6L/1069400</x:v>
      </x:c>
    </x:row>
    <x:row r="107" ht="24" customHeight="1">
      <x:c r="A107" s="2" t="str">
        <x:v>25 boards / nominal</x:v>
      </x:c>
      <x:c r="B107" s="17" t="str">
        <x:v>RT0402BRD0782K5L</x:v>
      </x:c>
      <x:c r="C107" s="18" t="n">
        <x:v>25</x:v>
      </x:c>
      <x:c r="D107" s="27" t="n">
        <x:v>0</x:v>
      </x:c>
      <x:c r="E107" s="18" t="n">
        <x:f>INDEX('Assembly BOM'!$C$7:$C$162,MATCH($B107,'Assembly BOM'!$A$7:$A$162,0))</x:f>
        <x:v>2</x:v>
      </x:c>
      <x:c r="F107" s="18" t="n">
        <x:f>C107*E107</x:f>
        <x:v>50</x:v>
      </x:c>
      <x:c r="G107" s="18" t="n">
        <x:f>ROUNDUP(F107*(1+D107),0)</x:f>
        <x:v>50</x:v>
      </x:c>
      <x:c r="H107" s="18" t="n">
        <x:f>INDEX('Dated offers'!$F$7:$F$305,MATCH($Z107,'Dated offers'!$A$7:$A$305,0))</x:f>
        <x:v>1</x:v>
      </x:c>
      <x:c r="I107" s="18" t="n">
        <x:f>INDEX('Dated offers'!$G$7:$G$305,MATCH($Z107,'Dated offers'!$A$7:$A$305,0))</x:f>
        <x:v>1</x:v>
      </x:c>
      <x:c r="J107" s="18" t="n">
        <x:f>CEILING(MAX(G107,H107),I107)</x:f>
        <x:v>50</x:v>
      </x:c>
      <x:c r="K107" s="18" t="n">
        <x:v>50</x:v>
      </x:c>
      <x:c r="L107" s="18" t="n">
        <x:f>INDEX('Dated offers'!$I$7:$I$305,MATCH($Z107,'Dated offers'!$A$7:$A$305,0))</x:f>
        <x:v>50</x:v>
      </x:c>
      <x:c r="M107" s="25" t="n">
        <x:f>INDEX('Dated offers'!$J$7:$J$305,MATCH($Z107,'Dated offers'!$A$7:$A$305,0))</x:f>
        <x:v>0.0734</x:v>
      </x:c>
      <x:c r="N107" s="25" t="n">
        <x:f>INDEX('Dated offers'!$K$7:$K$305,MATCH($Z107,'Dated offers'!$A$7:$A$305,0))</x:f>
        <x:v>0</x:v>
      </x:c>
      <x:c r="O107" s="25" t="n">
        <x:f>F107*M107</x:f>
        <x:v>3.6700000000000004</x:v>
      </x:c>
      <x:c r="P107" s="25" t="n">
        <x:f>G107*M107</x:f>
        <x:v>3.6700000000000004</x:v>
      </x:c>
      <x:c r="Q107" s="25" t="n">
        <x:f>K107*M107+N107</x:f>
        <x:v>3.6700000000000004</x:v>
      </x:c>
      <x:c r="R107" s="18" t="n">
        <x:f>K107-G107</x:f>
        <x:v>0</x:v>
      </x:c>
      <x:c r="S107" s="18" t="n">
        <x:f>INDEX('Dated offers'!$H$7:$H$305,MATCH($Z107,'Dated offers'!$A$7:$A$305,0))</x:f>
        <x:v>60091</x:v>
      </x:c>
      <x:c r="T107" s="2" t="str">
        <x:f>IF(K107&lt;G107,"Order below requirement",IF(K107&lt;L107,"Below price tier",IF(ISNUMBER(S107),IF(K107&gt;S107,"Quantity exceeds snapshot","Within quantity snapshot"),"Stock not stated")))</x:f>
        <x:v>Within quantity snapshot</x:v>
      </x:c>
      <x:c r="U107" s="2" t="str">
        <x:f>INDEX('Dated offers'!$C$7:$C$305,MATCH($Z107,'Dated offers'!$A$7:$A$305,0))</x:f>
        <x:v>DigiKey</x:v>
      </x:c>
      <x:c r="V107" s="2" t="str">
        <x:f>INDEX('Dated offers'!$D$7:$D$305,MATCH($Z107,'Dated offers'!$A$7:$A$305,0))</x:f>
        <x:v>Not stated</x:v>
      </x:c>
      <x:c r="W107" s="24" t="n">
        <x:f>INDEX('Dated offers'!$E$7:$E$305,MATCH($Z107,'Dated offers'!$A$7:$A$305,0))</x:f>
        <x:v>46307.47807269676</x:v>
      </x:c>
      <x:c r="X107" s="2" t="b">
        <x:f>INDEX('Dated offers'!$N$7:$N$305,MATCH($Z107,'Dated offers'!$A$7:$A$305,0))</x:f>
        <x:v>0</x:v>
      </x:c>
      <x:c r="Y107" s="2" t="str">
        <x:f>INDEX('Dated offers'!$O$7:$O$305,MATCH($Z107,'Dated offers'!$A$7:$A$305,0))</x:f>
        <x:v>Unreserved inventory snapshot</x:v>
      </x:c>
      <x:c r="Z107" s="17" t="str">
        <x:v>OF0101</x:v>
      </x:c>
      <x:c r="AA107" s="2"/>
      <x:c r="AB107" s="2" t="str">
        <x:f>INDEX('Dated offers'!$Q$7:$Q$305,MATCH($Z107,'Dated offers'!$A$7:$A$305,0))</x:f>
        <x:v>https://www.digikey.com/en/products/detail/yageo/RT0402BRD0782K5L/1069404</x:v>
      </x:c>
    </x:row>
    <x:row r="108" ht="24" customHeight="1">
      <x:c r="A108" s="2" t="str">
        <x:v>25 boards / nominal</x:v>
      </x:c>
      <x:c r="B108" s="17" t="str">
        <x:v>RT0603BRD0710KL</x:v>
      </x:c>
      <x:c r="C108" s="18" t="n">
        <x:v>25</x:v>
      </x:c>
      <x:c r="D108" s="27" t="n">
        <x:v>0</x:v>
      </x:c>
      <x:c r="E108" s="18" t="n">
        <x:f>INDEX('Assembly BOM'!$C$7:$C$162,MATCH($B108,'Assembly BOM'!$A$7:$A$162,0))</x:f>
        <x:v>3</x:v>
      </x:c>
      <x:c r="F108" s="18" t="n">
        <x:f>C108*E108</x:f>
        <x:v>75</x:v>
      </x:c>
      <x:c r="G108" s="18" t="n">
        <x:f>ROUNDUP(F108*(1+D108),0)</x:f>
        <x:v>75</x:v>
      </x:c>
      <x:c r="H108" s="18" t="n">
        <x:f>INDEX('Dated offers'!$F$7:$F$305,MATCH($Z108,'Dated offers'!$A$7:$A$305,0))</x:f>
        <x:v>1</x:v>
      </x:c>
      <x:c r="I108" s="18" t="n">
        <x:f>INDEX('Dated offers'!$G$7:$G$305,MATCH($Z108,'Dated offers'!$A$7:$A$305,0))</x:f>
        <x:v>1</x:v>
      </x:c>
      <x:c r="J108" s="18" t="n">
        <x:f>CEILING(MAX(G108,H108),I108)</x:f>
        <x:v>75</x:v>
      </x:c>
      <x:c r="K108" s="18" t="n">
        <x:v>75</x:v>
      </x:c>
      <x:c r="L108" s="18" t="n">
        <x:f>INDEX('Dated offers'!$I$7:$I$305,MATCH($Z108,'Dated offers'!$A$7:$A$305,0))</x:f>
        <x:v>50</x:v>
      </x:c>
      <x:c r="M108" s="25" t="n">
        <x:f>INDEX('Dated offers'!$J$7:$J$305,MATCH($Z108,'Dated offers'!$A$7:$A$305,0))</x:f>
        <x:v>0.0614</x:v>
      </x:c>
      <x:c r="N108" s="25" t="n">
        <x:f>INDEX('Dated offers'!$K$7:$K$305,MATCH($Z108,'Dated offers'!$A$7:$A$305,0))</x:f>
        <x:v>0</x:v>
      </x:c>
      <x:c r="O108" s="25" t="n">
        <x:f>F108*M108</x:f>
        <x:v>4.605</x:v>
      </x:c>
      <x:c r="P108" s="25" t="n">
        <x:f>G108*M108</x:f>
        <x:v>4.605</x:v>
      </x:c>
      <x:c r="Q108" s="25" t="n">
        <x:f>K108*M108+N108</x:f>
        <x:v>4.605</x:v>
      </x:c>
      <x:c r="R108" s="18" t="n">
        <x:f>K108-G108</x:f>
        <x:v>0</x:v>
      </x:c>
      <x:c r="S108" s="18" t="n">
        <x:f>INDEX('Dated offers'!$H$7:$H$305,MATCH($Z108,'Dated offers'!$A$7:$A$305,0))</x:f>
        <x:v>269413</x:v>
      </x:c>
      <x:c r="T108" s="2" t="str">
        <x:f>IF(K108&lt;G108,"Order below requirement",IF(K108&lt;L108,"Below price tier",IF(ISNUMBER(S108),IF(K108&gt;S108,"Quantity exceeds snapshot","Within quantity snapshot"),"Stock not stated")))</x:f>
        <x:v>Within quantity snapshot</x:v>
      </x:c>
      <x:c r="U108" s="2" t="str">
        <x:f>INDEX('Dated offers'!$C$7:$C$305,MATCH($Z108,'Dated offers'!$A$7:$A$305,0))</x:f>
        <x:v>DigiKey</x:v>
      </x:c>
      <x:c r="V108" s="2" t="str">
        <x:f>INDEX('Dated offers'!$D$7:$D$305,MATCH($Z108,'Dated offers'!$A$7:$A$305,0))</x:f>
        <x:v>Not stated</x:v>
      </x:c>
      <x:c r="W108" s="24" t="n">
        <x:f>INDEX('Dated offers'!$E$7:$E$305,MATCH($Z108,'Dated offers'!$A$7:$A$305,0))</x:f>
        <x:v>46307.47807269676</x:v>
      </x:c>
      <x:c r="X108" s="2" t="b">
        <x:f>INDEX('Dated offers'!$N$7:$N$305,MATCH($Z108,'Dated offers'!$A$7:$A$305,0))</x:f>
        <x:v>0</x:v>
      </x:c>
      <x:c r="Y108" s="2" t="str">
        <x:f>INDEX('Dated offers'!$O$7:$O$305,MATCH($Z108,'Dated offers'!$A$7:$A$305,0))</x:f>
        <x:v>Unreserved inventory snapshot</x:v>
      </x:c>
      <x:c r="Z108" s="17" t="str">
        <x:v>OF0102</x:v>
      </x:c>
      <x:c r="AA108" s="2"/>
      <x:c r="AB108" s="2" t="str">
        <x:f>INDEX('Dated offers'!$Q$7:$Q$305,MATCH($Z108,'Dated offers'!$A$7:$A$305,0))</x:f>
        <x:v>https://www.digikey.com/en/products/detail/yageo/RT0603BRD0710KL/4340589</x:v>
      </x:c>
    </x:row>
    <x:row r="109" ht="24" customHeight="1">
      <x:c r="A109" s="2" t="str">
        <x:v>25 boards / nominal</x:v>
      </x:c>
      <x:c r="B109" s="17" t="str">
        <x:v>RT0603BRD07140KL</x:v>
      </x:c>
      <x:c r="C109" s="18" t="n">
        <x:v>25</x:v>
      </x:c>
      <x:c r="D109" s="27" t="n">
        <x:v>0</x:v>
      </x:c>
      <x:c r="E109" s="18" t="n">
        <x:f>INDEX('Assembly BOM'!$C$7:$C$162,MATCH($B109,'Assembly BOM'!$A$7:$A$162,0))</x:f>
        <x:v>1</x:v>
      </x:c>
      <x:c r="F109" s="18" t="n">
        <x:f>C109*E109</x:f>
        <x:v>25</x:v>
      </x:c>
      <x:c r="G109" s="18" t="n">
        <x:f>ROUNDUP(F109*(1+D109),0)</x:f>
        <x:v>25</x:v>
      </x:c>
      <x:c r="H109" s="18" t="n">
        <x:f>INDEX('Dated offers'!$F$7:$F$305,MATCH($Z109,'Dated offers'!$A$7:$A$305,0))</x:f>
        <x:v>1</x:v>
      </x:c>
      <x:c r="I109" s="18" t="n">
        <x:f>INDEX('Dated offers'!$G$7:$G$305,MATCH($Z109,'Dated offers'!$A$7:$A$305,0))</x:f>
        <x:v>1</x:v>
      </x:c>
      <x:c r="J109" s="18" t="n">
        <x:f>CEILING(MAX(G109,H109),I109)</x:f>
        <x:v>25</x:v>
      </x:c>
      <x:c r="K109" s="18" t="n">
        <x:v>25</x:v>
      </x:c>
      <x:c r="L109" s="18" t="n">
        <x:f>INDEX('Dated offers'!$I$7:$I$305,MATCH($Z109,'Dated offers'!$A$7:$A$305,0))</x:f>
        <x:v>10</x:v>
      </x:c>
      <x:c r="M109" s="25" t="n">
        <x:f>INDEX('Dated offers'!$J$7:$J$305,MATCH($Z109,'Dated offers'!$A$7:$A$305,0))</x:f>
        <x:v>0.07</x:v>
      </x:c>
      <x:c r="N109" s="25" t="n">
        <x:f>INDEX('Dated offers'!$K$7:$K$305,MATCH($Z109,'Dated offers'!$A$7:$A$305,0))</x:f>
        <x:v>0</x:v>
      </x:c>
      <x:c r="O109" s="25" t="n">
        <x:f>F109*M109</x:f>
        <x:v>1.7500000000000002</x:v>
      </x:c>
      <x:c r="P109" s="25" t="n">
        <x:f>G109*M109</x:f>
        <x:v>1.7500000000000002</x:v>
      </x:c>
      <x:c r="Q109" s="25" t="n">
        <x:f>K109*M109+N109</x:f>
        <x:v>1.7500000000000002</x:v>
      </x:c>
      <x:c r="R109" s="18" t="n">
        <x:f>K109-G109</x:f>
        <x:v>0</x:v>
      </x:c>
      <x:c r="S109" s="18" t="n">
        <x:f>INDEX('Dated offers'!$H$7:$H$305,MATCH($Z109,'Dated offers'!$A$7:$A$305,0))</x:f>
        <x:v>9088</x:v>
      </x:c>
      <x:c r="T109" s="2" t="str">
        <x:f>IF(K109&lt;G109,"Order below requirement",IF(K109&lt;L109,"Below price tier",IF(ISNUMBER(S109),IF(K109&gt;S109,"Quantity exceeds snapshot","Within quantity snapshot"),"Stock not stated")))</x:f>
        <x:v>Within quantity snapshot</x:v>
      </x:c>
      <x:c r="U109" s="2" t="str">
        <x:f>INDEX('Dated offers'!$C$7:$C$305,MATCH($Z109,'Dated offers'!$A$7:$A$305,0))</x:f>
        <x:v>DigiKey</x:v>
      </x:c>
      <x:c r="V109" s="2" t="str">
        <x:f>INDEX('Dated offers'!$D$7:$D$305,MATCH($Z109,'Dated offers'!$A$7:$A$305,0))</x:f>
        <x:v>Not stated</x:v>
      </x:c>
      <x:c r="W109" s="24" t="n">
        <x:f>INDEX('Dated offers'!$E$7:$E$305,MATCH($Z109,'Dated offers'!$A$7:$A$305,0))</x:f>
        <x:v>46307.47807267361</x:v>
      </x:c>
      <x:c r="X109" s="2" t="b">
        <x:f>INDEX('Dated offers'!$N$7:$N$305,MATCH($Z109,'Dated offers'!$A$7:$A$305,0))</x:f>
        <x:v>0</x:v>
      </x:c>
      <x:c r="Y109" s="2" t="str">
        <x:f>INDEX('Dated offers'!$O$7:$O$305,MATCH($Z109,'Dated offers'!$A$7:$A$305,0))</x:f>
        <x:v>Unreserved inventory snapshot</x:v>
      </x:c>
      <x:c r="Z109" s="17" t="str">
        <x:v>OF0103</x:v>
      </x:c>
      <x:c r="AA109" s="2"/>
      <x:c r="AB109" s="2" t="str">
        <x:f>INDEX('Dated offers'!$Q$7:$Q$305,MATCH($Z109,'Dated offers'!$A$7:$A$305,0))</x:f>
        <x:v>https://www.digikey.com/en/products/detail/yageo/RT0603BRD07140KL/1072246</x:v>
      </x:c>
    </x:row>
    <x:row r="110" ht="24" customHeight="1">
      <x:c r="A110" s="2" t="str">
        <x:v>25 boards / nominal</x:v>
      </x:c>
      <x:c r="B110" s="17" t="str">
        <x:v>RT0603BRD0727KL</x:v>
      </x:c>
      <x:c r="C110" s="18" t="n">
        <x:v>25</x:v>
      </x:c>
      <x:c r="D110" s="27" t="n">
        <x:v>0</x:v>
      </x:c>
      <x:c r="E110" s="18" t="n">
        <x:f>INDEX('Assembly BOM'!$C$7:$C$162,MATCH($B110,'Assembly BOM'!$A$7:$A$162,0))</x:f>
        <x:v>1</x:v>
      </x:c>
      <x:c r="F110" s="18" t="n">
        <x:f>C110*E110</x:f>
        <x:v>25</x:v>
      </x:c>
      <x:c r="G110" s="18" t="n">
        <x:f>ROUNDUP(F110*(1+D110),0)</x:f>
        <x:v>25</x:v>
      </x:c>
      <x:c r="H110" s="18" t="n">
        <x:f>INDEX('Dated offers'!$F$7:$F$305,MATCH($Z110,'Dated offers'!$A$7:$A$305,0))</x:f>
        <x:v>1</x:v>
      </x:c>
      <x:c r="I110" s="18" t="n">
        <x:f>INDEX('Dated offers'!$G$7:$G$305,MATCH($Z110,'Dated offers'!$A$7:$A$305,0))</x:f>
        <x:v>1</x:v>
      </x:c>
      <x:c r="J110" s="18" t="n">
        <x:f>CEILING(MAX(G110,H110),I110)</x:f>
        <x:v>25</x:v>
      </x:c>
      <x:c r="K110" s="18" t="n">
        <x:v>25</x:v>
      </x:c>
      <x:c r="L110" s="18" t="n">
        <x:f>INDEX('Dated offers'!$I$7:$I$305,MATCH($Z110,'Dated offers'!$A$7:$A$305,0))</x:f>
        <x:v>10</x:v>
      </x:c>
      <x:c r="M110" s="25" t="n">
        <x:f>INDEX('Dated offers'!$J$7:$J$305,MATCH($Z110,'Dated offers'!$A$7:$A$305,0))</x:f>
        <x:v>0.07</x:v>
      </x:c>
      <x:c r="N110" s="25" t="n">
        <x:f>INDEX('Dated offers'!$K$7:$K$305,MATCH($Z110,'Dated offers'!$A$7:$A$305,0))</x:f>
        <x:v>0</x:v>
      </x:c>
      <x:c r="O110" s="25" t="n">
        <x:f>F110*M110</x:f>
        <x:v>1.7500000000000002</x:v>
      </x:c>
      <x:c r="P110" s="25" t="n">
        <x:f>G110*M110</x:f>
        <x:v>1.7500000000000002</x:v>
      </x:c>
      <x:c r="Q110" s="25" t="n">
        <x:f>K110*M110+N110</x:f>
        <x:v>1.7500000000000002</x:v>
      </x:c>
      <x:c r="R110" s="18" t="n">
        <x:f>K110-G110</x:f>
        <x:v>0</x:v>
      </x:c>
      <x:c r="S110" s="18" t="n">
        <x:f>INDEX('Dated offers'!$H$7:$H$305,MATCH($Z110,'Dated offers'!$A$7:$A$305,0))</x:f>
        <x:v>17245</x:v>
      </x:c>
      <x:c r="T110" s="2" t="str">
        <x:f>IF(K110&lt;G110,"Order below requirement",IF(K110&lt;L110,"Below price tier",IF(ISNUMBER(S110),IF(K110&gt;S110,"Quantity exceeds snapshot","Within quantity snapshot"),"Stock not stated")))</x:f>
        <x:v>Within quantity snapshot</x:v>
      </x:c>
      <x:c r="U110" s="2" t="str">
        <x:f>INDEX('Dated offers'!$C$7:$C$305,MATCH($Z110,'Dated offers'!$A$7:$A$305,0))</x:f>
        <x:v>DigiKey</x:v>
      </x:c>
      <x:c r="V110" s="2" t="str">
        <x:f>INDEX('Dated offers'!$D$7:$D$305,MATCH($Z110,'Dated offers'!$A$7:$A$305,0))</x:f>
        <x:v>Not stated</x:v>
      </x:c>
      <x:c r="W110" s="24" t="n">
        <x:f>INDEX('Dated offers'!$E$7:$E$305,MATCH($Z110,'Dated offers'!$A$7:$A$305,0))</x:f>
        <x:v>46307.4780725463</x:v>
      </x:c>
      <x:c r="X110" s="2" t="b">
        <x:f>INDEX('Dated offers'!$N$7:$N$305,MATCH($Z110,'Dated offers'!$A$7:$A$305,0))</x:f>
        <x:v>0</x:v>
      </x:c>
      <x:c r="Y110" s="2" t="str">
        <x:f>INDEX('Dated offers'!$O$7:$O$305,MATCH($Z110,'Dated offers'!$A$7:$A$305,0))</x:f>
        <x:v>Unreserved inventory snapshot</x:v>
      </x:c>
      <x:c r="Z110" s="17" t="str">
        <x:v>OF0104</x:v>
      </x:c>
      <x:c r="AA110" s="2"/>
      <x:c r="AB110" s="2" t="str">
        <x:f>INDEX('Dated offers'!$Q$7:$Q$305,MATCH($Z110,'Dated offers'!$A$7:$A$305,0))</x:f>
        <x:v>https://www.digikey.com/en/products/detail/yageo/RT0603BRD0727KL/1072410</x:v>
      </x:c>
    </x:row>
    <x:row r="111" ht="24" customHeight="1">
      <x:c r="A111" s="2" t="str">
        <x:v>25 boards / nominal</x:v>
      </x:c>
      <x:c r="B111" s="17" t="str">
        <x:v>RT0603BRD072K26L</x:v>
      </x:c>
      <x:c r="C111" s="18" t="n">
        <x:v>25</x:v>
      </x:c>
      <x:c r="D111" s="27" t="n">
        <x:v>0</x:v>
      </x:c>
      <x:c r="E111" s="18" t="n">
        <x:f>INDEX('Assembly BOM'!$C$7:$C$162,MATCH($B111,'Assembly BOM'!$A$7:$A$162,0))</x:f>
        <x:v>1</x:v>
      </x:c>
      <x:c r="F111" s="18" t="n">
        <x:f>C111*E111</x:f>
        <x:v>25</x:v>
      </x:c>
      <x:c r="G111" s="18" t="n">
        <x:f>ROUNDUP(F111*(1+D111),0)</x:f>
        <x:v>25</x:v>
      </x:c>
      <x:c r="H111" s="18" t="n">
        <x:f>INDEX('Dated offers'!$F$7:$F$305,MATCH($Z111,'Dated offers'!$A$7:$A$305,0))</x:f>
        <x:v>1</x:v>
      </x:c>
      <x:c r="I111" s="18" t="n">
        <x:f>INDEX('Dated offers'!$G$7:$G$305,MATCH($Z111,'Dated offers'!$A$7:$A$305,0))</x:f>
        <x:v>1</x:v>
      </x:c>
      <x:c r="J111" s="18" t="n">
        <x:f>CEILING(MAX(G111,H111),I111)</x:f>
        <x:v>25</x:v>
      </x:c>
      <x:c r="K111" s="18" t="n">
        <x:v>25</x:v>
      </x:c>
      <x:c r="L111" s="18" t="n">
        <x:f>INDEX('Dated offers'!$I$7:$I$305,MATCH($Z111,'Dated offers'!$A$7:$A$305,0))</x:f>
        <x:v>10</x:v>
      </x:c>
      <x:c r="M111" s="25" t="n">
        <x:f>INDEX('Dated offers'!$J$7:$J$305,MATCH($Z111,'Dated offers'!$A$7:$A$305,0))</x:f>
        <x:v>0.074</x:v>
      </x:c>
      <x:c r="N111" s="25" t="n">
        <x:f>INDEX('Dated offers'!$K$7:$K$305,MATCH($Z111,'Dated offers'!$A$7:$A$305,0))</x:f>
        <x:v>0</x:v>
      </x:c>
      <x:c r="O111" s="25" t="n">
        <x:f>F111*M111</x:f>
        <x:v>1.8499999999999999</x:v>
      </x:c>
      <x:c r="P111" s="25" t="n">
        <x:f>G111*M111</x:f>
        <x:v>1.8499999999999999</x:v>
      </x:c>
      <x:c r="Q111" s="25" t="n">
        <x:f>K111*M111+N111</x:f>
        <x:v>1.8499999999999999</x:v>
      </x:c>
      <x:c r="R111" s="18" t="n">
        <x:f>K111-G111</x:f>
        <x:v>0</x:v>
      </x:c>
      <x:c r="S111" s="18" t="n">
        <x:f>INDEX('Dated offers'!$H$7:$H$305,MATCH($Z111,'Dated offers'!$A$7:$A$305,0))</x:f>
        <x:v>12101</x:v>
      </x:c>
      <x:c r="T111" s="2" t="str">
        <x:f>IF(K111&lt;G111,"Order below requirement",IF(K111&lt;L111,"Below price tier",IF(ISNUMBER(S111),IF(K111&gt;S111,"Quantity exceeds snapshot","Within quantity snapshot"),"Stock not stated")))</x:f>
        <x:v>Within quantity snapshot</x:v>
      </x:c>
      <x:c r="U111" s="2" t="str">
        <x:f>INDEX('Dated offers'!$C$7:$C$305,MATCH($Z111,'Dated offers'!$A$7:$A$305,0))</x:f>
        <x:v>DigiKey</x:v>
      </x:c>
      <x:c r="V111" s="2" t="str">
        <x:f>INDEX('Dated offers'!$D$7:$D$305,MATCH($Z111,'Dated offers'!$A$7:$A$305,0))</x:f>
        <x:v>Not stated</x:v>
      </x:c>
      <x:c r="W111" s="24" t="n">
        <x:f>INDEX('Dated offers'!$E$7:$E$305,MATCH($Z111,'Dated offers'!$A$7:$A$305,0))</x:f>
        <x:v>46307.47807267361</x:v>
      </x:c>
      <x:c r="X111" s="2" t="b">
        <x:f>INDEX('Dated offers'!$N$7:$N$305,MATCH($Z111,'Dated offers'!$A$7:$A$305,0))</x:f>
        <x:v>0</x:v>
      </x:c>
      <x:c r="Y111" s="2" t="str">
        <x:f>INDEX('Dated offers'!$O$7:$O$305,MATCH($Z111,'Dated offers'!$A$7:$A$305,0))</x:f>
        <x:v>Unreserved inventory snapshot</x:v>
      </x:c>
      <x:c r="Z111" s="17" t="str">
        <x:v>OF0105</x:v>
      </x:c>
      <x:c r="AA111" s="2"/>
      <x:c r="AB111" s="2" t="str">
        <x:f>INDEX('Dated offers'!$Q$7:$Q$305,MATCH($Z111,'Dated offers'!$A$7:$A$305,0))</x:f>
        <x:v>https://www.digikey.com/en/products/detail/yageo/RT0603BRD072K26L/5139063</x:v>
      </x:c>
    </x:row>
    <x:row r="112" ht="24" customHeight="1">
      <x:c r="A112" s="2" t="str">
        <x:v>25 boards / nominal</x:v>
      </x:c>
      <x:c r="B112" s="17" t="str">
        <x:v>RT0603BRD0732K4L</x:v>
      </x:c>
      <x:c r="C112" s="18" t="n">
        <x:v>25</x:v>
      </x:c>
      <x:c r="D112" s="27" t="n">
        <x:v>0</x:v>
      </x:c>
      <x:c r="E112" s="18" t="n">
        <x:f>INDEX('Assembly BOM'!$C$7:$C$162,MATCH($B112,'Assembly BOM'!$A$7:$A$162,0))</x:f>
        <x:v>2</x:v>
      </x:c>
      <x:c r="F112" s="18" t="n">
        <x:f>C112*E112</x:f>
        <x:v>50</x:v>
      </x:c>
      <x:c r="G112" s="18" t="n">
        <x:f>ROUNDUP(F112*(1+D112),0)</x:f>
        <x:v>50</x:v>
      </x:c>
      <x:c r="H112" s="18" t="n">
        <x:f>INDEX('Dated offers'!$F$7:$F$305,MATCH($Z112,'Dated offers'!$A$7:$A$305,0))</x:f>
        <x:v>20</x:v>
      </x:c>
      <x:c r="I112" s="18" t="n">
        <x:f>INDEX('Dated offers'!$G$7:$G$305,MATCH($Z112,'Dated offers'!$A$7:$A$305,0))</x:f>
        <x:v>20</x:v>
      </x:c>
      <x:c r="J112" s="18" t="n">
        <x:f>CEILING(MAX(G112,H112),I112)</x:f>
        <x:v>60</x:v>
      </x:c>
      <x:c r="K112" s="18" t="n">
        <x:v>60</x:v>
      </x:c>
      <x:c r="L112" s="18" t="n">
        <x:f>INDEX('Dated offers'!$I$7:$I$305,MATCH($Z112,'Dated offers'!$A$7:$A$305,0))</x:f>
        <x:v>20</x:v>
      </x:c>
      <x:c r="M112" s="25" t="n">
        <x:f>INDEX('Dated offers'!$J$7:$J$305,MATCH($Z112,'Dated offers'!$A$7:$A$305,0))</x:f>
        <x:v>0.0421</x:v>
      </x:c>
      <x:c r="N112" s="25" t="n">
        <x:f>INDEX('Dated offers'!$K$7:$K$305,MATCH($Z112,'Dated offers'!$A$7:$A$305,0))</x:f>
        <x:v>0</x:v>
      </x:c>
      <x:c r="O112" s="25" t="n">
        <x:f>F112*M112</x:f>
        <x:v>2.105</x:v>
      </x:c>
      <x:c r="P112" s="25" t="n">
        <x:f>G112*M112</x:f>
        <x:v>2.105</x:v>
      </x:c>
      <x:c r="Q112" s="25" t="n">
        <x:f>K112*M112+N112</x:f>
        <x:v>2.526</x:v>
      </x:c>
      <x:c r="R112" s="18" t="n">
        <x:f>K112-G112</x:f>
        <x:v>10</x:v>
      </x:c>
      <x:c r="S112" s="18" t="n">
        <x:f>INDEX('Dated offers'!$H$7:$H$305,MATCH($Z112,'Dated offers'!$A$7:$A$305,0))</x:f>
        <x:v>18400</x:v>
      </x:c>
      <x:c r="T112" s="2" t="str">
        <x:f>IF(K112&lt;G112,"Order below requirement",IF(K112&lt;L112,"Below price tier",IF(ISNUMBER(S112),IF(K112&gt;S112,"Quantity exceeds snapshot","Within quantity snapshot"),"Stock not stated")))</x:f>
        <x:v>Within quantity snapshot</x:v>
      </x:c>
      <x:c r="U112" s="2" t="str">
        <x:f>INDEX('Dated offers'!$C$7:$C$305,MATCH($Z112,'Dated offers'!$A$7:$A$305,0))</x:f>
        <x:v>LCSC</x:v>
      </x:c>
      <x:c r="V112" s="2" t="str">
        <x:f>INDEX('Dated offers'!$D$7:$D$305,MATCH($Z112,'Dated offers'!$A$7:$A$305,0))</x:f>
        <x:v>C861323</x:v>
      </x:c>
      <x:c r="W112" s="24" t="n">
        <x:f>INDEX('Dated offers'!$E$7:$E$305,MATCH($Z112,'Dated offers'!$A$7:$A$305,0))</x:f>
        <x:v>46307.44746376157</x:v>
      </x:c>
      <x:c r="X112" s="2" t="b">
        <x:f>INDEX('Dated offers'!$N$7:$N$305,MATCH($Z112,'Dated offers'!$A$7:$A$305,0))</x:f>
        <x:v>0</x:v>
      </x:c>
      <x:c r="Y112" s="2" t="str">
        <x:f>INDEX('Dated offers'!$O$7:$O$305,MATCH($Z112,'Dated offers'!$A$7:$A$305,0))</x:f>
        <x:v>Unreserved inventory snapshot</x:v>
      </x:c>
      <x:c r="Z112" s="17" t="str">
        <x:v>OF0106</x:v>
      </x:c>
      <x:c r="AA112" s="2"/>
      <x:c r="AB112" s="2" t="str">
        <x:f>INDEX('Dated offers'!$Q$7:$Q$305,MATCH($Z112,'Dated offers'!$A$7:$A$305,0))</x:f>
        <x:v>https://www.lcsc.com/product-detail/C861323.html</x:v>
      </x:c>
    </x:row>
    <x:row r="113" ht="24" customHeight="1">
      <x:c r="A113" s="2" t="str">
        <x:v>25 boards / nominal</x:v>
      </x:c>
      <x:c r="B113" s="17" t="str">
        <x:v>RT0603BRD074K99L</x:v>
      </x:c>
      <x:c r="C113" s="18" t="n">
        <x:v>25</x:v>
      </x:c>
      <x:c r="D113" s="27" t="n">
        <x:v>0</x:v>
      </x:c>
      <x:c r="E113" s="18" t="n">
        <x:f>INDEX('Assembly BOM'!$C$7:$C$162,MATCH($B113,'Assembly BOM'!$A$7:$A$162,0))</x:f>
        <x:v>1</x:v>
      </x:c>
      <x:c r="F113" s="18" t="n">
        <x:f>C113*E113</x:f>
        <x:v>25</x:v>
      </x:c>
      <x:c r="G113" s="18" t="n">
        <x:f>ROUNDUP(F113*(1+D113),0)</x:f>
        <x:v>25</x:v>
      </x:c>
      <x:c r="H113" s="18" t="n">
        <x:f>INDEX('Dated offers'!$F$7:$F$305,MATCH($Z113,'Dated offers'!$A$7:$A$305,0))</x:f>
        <x:v>1</x:v>
      </x:c>
      <x:c r="I113" s="18" t="n">
        <x:f>INDEX('Dated offers'!$G$7:$G$305,MATCH($Z113,'Dated offers'!$A$7:$A$305,0))</x:f>
        <x:v>1</x:v>
      </x:c>
      <x:c r="J113" s="18" t="n">
        <x:f>CEILING(MAX(G113,H113),I113)</x:f>
        <x:v>25</x:v>
      </x:c>
      <x:c r="K113" s="18" t="n">
        <x:v>25</x:v>
      </x:c>
      <x:c r="L113" s="18" t="n">
        <x:f>INDEX('Dated offers'!$I$7:$I$305,MATCH($Z113,'Dated offers'!$A$7:$A$305,0))</x:f>
        <x:v>10</x:v>
      </x:c>
      <x:c r="M113" s="25" t="n">
        <x:f>INDEX('Dated offers'!$J$7:$J$305,MATCH($Z113,'Dated offers'!$A$7:$A$305,0))</x:f>
        <x:v>0.07</x:v>
      </x:c>
      <x:c r="N113" s="25" t="n">
        <x:f>INDEX('Dated offers'!$K$7:$K$305,MATCH($Z113,'Dated offers'!$A$7:$A$305,0))</x:f>
        <x:v>0</x:v>
      </x:c>
      <x:c r="O113" s="25" t="n">
        <x:f>F113*M113</x:f>
        <x:v>1.7500000000000002</x:v>
      </x:c>
      <x:c r="P113" s="25" t="n">
        <x:f>G113*M113</x:f>
        <x:v>1.7500000000000002</x:v>
      </x:c>
      <x:c r="Q113" s="25" t="n">
        <x:f>K113*M113+N113</x:f>
        <x:v>1.7500000000000002</x:v>
      </x:c>
      <x:c r="R113" s="18" t="n">
        <x:f>K113-G113</x:f>
        <x:v>0</x:v>
      </x:c>
      <x:c r="S113" s="18" t="n">
        <x:f>INDEX('Dated offers'!$H$7:$H$305,MATCH($Z113,'Dated offers'!$A$7:$A$305,0))</x:f>
        <x:v>42019</x:v>
      </x:c>
      <x:c r="T113" s="2" t="str">
        <x:f>IF(K113&lt;G113,"Order below requirement",IF(K113&lt;L113,"Below price tier",IF(ISNUMBER(S113),IF(K113&gt;S113,"Quantity exceeds snapshot","Within quantity snapshot"),"Stock not stated")))</x:f>
        <x:v>Within quantity snapshot</x:v>
      </x:c>
      <x:c r="U113" s="2" t="str">
        <x:f>INDEX('Dated offers'!$C$7:$C$305,MATCH($Z113,'Dated offers'!$A$7:$A$305,0))</x:f>
        <x:v>DigiKey</x:v>
      </x:c>
      <x:c r="V113" s="2" t="str">
        <x:f>INDEX('Dated offers'!$D$7:$D$305,MATCH($Z113,'Dated offers'!$A$7:$A$305,0))</x:f>
        <x:v>Not stated</x:v>
      </x:c>
      <x:c r="W113" s="24" t="n">
        <x:f>INDEX('Dated offers'!$E$7:$E$305,MATCH($Z113,'Dated offers'!$A$7:$A$305,0))</x:f>
        <x:v>46307.47807267361</x:v>
      </x:c>
      <x:c r="X113" s="2" t="b">
        <x:f>INDEX('Dated offers'!$N$7:$N$305,MATCH($Z113,'Dated offers'!$A$7:$A$305,0))</x:f>
        <x:v>0</x:v>
      </x:c>
      <x:c r="Y113" s="2" t="str">
        <x:f>INDEX('Dated offers'!$O$7:$O$305,MATCH($Z113,'Dated offers'!$A$7:$A$305,0))</x:f>
        <x:v>Unreserved inventory snapshot</x:v>
      </x:c>
      <x:c r="Z113" s="17" t="str">
        <x:v>OF0107</x:v>
      </x:c>
      <x:c r="AA113" s="2"/>
      <x:c r="AB113" s="2" t="str">
        <x:f>INDEX('Dated offers'!$Q$7:$Q$305,MATCH($Z113,'Dated offers'!$A$7:$A$305,0))</x:f>
        <x:v>https://www.digikey.com/en/products/detail/yageo/RT0603BRD074K99L/1072563</x:v>
      </x:c>
    </x:row>
    <x:row r="114" ht="24" customHeight="1">
      <x:c r="A114" s="2" t="str">
        <x:v>25 boards / nominal</x:v>
      </x:c>
      <x:c r="B114" s="17" t="str">
        <x:v>RT0603BRD0768KL</x:v>
      </x:c>
      <x:c r="C114" s="18" t="n">
        <x:v>25</x:v>
      </x:c>
      <x:c r="D114" s="27" t="n">
        <x:v>0</x:v>
      </x:c>
      <x:c r="E114" s="18" t="n">
        <x:f>INDEX('Assembly BOM'!$C$7:$C$162,MATCH($B114,'Assembly BOM'!$A$7:$A$162,0))</x:f>
        <x:v>1</x:v>
      </x:c>
      <x:c r="F114" s="18" t="n">
        <x:f>C114*E114</x:f>
        <x:v>25</x:v>
      </x:c>
      <x:c r="G114" s="18" t="n">
        <x:f>ROUNDUP(F114*(1+D114),0)</x:f>
        <x:v>25</x:v>
      </x:c>
      <x:c r="H114" s="18" t="n">
        <x:f>INDEX('Dated offers'!$F$7:$F$305,MATCH($Z114,'Dated offers'!$A$7:$A$305,0))</x:f>
        <x:v>1</x:v>
      </x:c>
      <x:c r="I114" s="18" t="n">
        <x:f>INDEX('Dated offers'!$G$7:$G$305,MATCH($Z114,'Dated offers'!$A$7:$A$305,0))</x:f>
        <x:v>1</x:v>
      </x:c>
      <x:c r="J114" s="18" t="n">
        <x:f>CEILING(MAX(G114,H114),I114)</x:f>
        <x:v>25</x:v>
      </x:c>
      <x:c r="K114" s="18" t="n">
        <x:v>25</x:v>
      </x:c>
      <x:c r="L114" s="18" t="n">
        <x:f>INDEX('Dated offers'!$I$7:$I$305,MATCH($Z114,'Dated offers'!$A$7:$A$305,0))</x:f>
        <x:v>10</x:v>
      </x:c>
      <x:c r="M114" s="25" t="n">
        <x:f>INDEX('Dated offers'!$J$7:$J$305,MATCH($Z114,'Dated offers'!$A$7:$A$305,0))</x:f>
        <x:v>0.074</x:v>
      </x:c>
      <x:c r="N114" s="25" t="n">
        <x:f>INDEX('Dated offers'!$K$7:$K$305,MATCH($Z114,'Dated offers'!$A$7:$A$305,0))</x:f>
        <x:v>0</x:v>
      </x:c>
      <x:c r="O114" s="25" t="n">
        <x:f>F114*M114</x:f>
        <x:v>1.8499999999999999</x:v>
      </x:c>
      <x:c r="P114" s="25" t="n">
        <x:f>G114*M114</x:f>
        <x:v>1.8499999999999999</x:v>
      </x:c>
      <x:c r="Q114" s="25" t="n">
        <x:f>K114*M114+N114</x:f>
        <x:v>1.8499999999999999</x:v>
      </x:c>
      <x:c r="R114" s="18" t="n">
        <x:f>K114-G114</x:f>
        <x:v>0</x:v>
      </x:c>
      <x:c r="S114" s="18" t="n">
        <x:f>INDEX('Dated offers'!$H$7:$H$305,MATCH($Z114,'Dated offers'!$A$7:$A$305,0))</x:f>
        <x:v>21008</x:v>
      </x:c>
      <x:c r="T114" s="2" t="str">
        <x:f>IF(K114&lt;G114,"Order below requirement",IF(K114&lt;L114,"Below price tier",IF(ISNUMBER(S114),IF(K114&gt;S114,"Quantity exceeds snapshot","Within quantity snapshot"),"Stock not stated")))</x:f>
        <x:v>Within quantity snapshot</x:v>
      </x:c>
      <x:c r="U114" s="2" t="str">
        <x:f>INDEX('Dated offers'!$C$7:$C$305,MATCH($Z114,'Dated offers'!$A$7:$A$305,0))</x:f>
        <x:v>DigiKey</x:v>
      </x:c>
      <x:c r="V114" s="2" t="str">
        <x:f>INDEX('Dated offers'!$D$7:$D$305,MATCH($Z114,'Dated offers'!$A$7:$A$305,0))</x:f>
        <x:v>Not stated</x:v>
      </x:c>
      <x:c r="W114" s="24" t="n">
        <x:f>INDEX('Dated offers'!$E$7:$E$305,MATCH($Z114,'Dated offers'!$A$7:$A$305,0))</x:f>
        <x:v>46307.4780725463</x:v>
      </x:c>
      <x:c r="X114" s="2" t="b">
        <x:f>INDEX('Dated offers'!$N$7:$N$305,MATCH($Z114,'Dated offers'!$A$7:$A$305,0))</x:f>
        <x:v>0</x:v>
      </x:c>
      <x:c r="Y114" s="2" t="str">
        <x:f>INDEX('Dated offers'!$O$7:$O$305,MATCH($Z114,'Dated offers'!$A$7:$A$305,0))</x:f>
        <x:v>Unreserved inventory snapshot</x:v>
      </x:c>
      <x:c r="Z114" s="17" t="str">
        <x:v>OF0108</x:v>
      </x:c>
      <x:c r="AA114" s="2"/>
      <x:c r="AB114" s="2" t="str">
        <x:f>INDEX('Dated offers'!$Q$7:$Q$305,MATCH($Z114,'Dated offers'!$A$7:$A$305,0))</x:f>
        <x:v>https://www.digikey.com/en/products/detail/yageo/RT0603BRD0768KL/6616742</x:v>
      </x:c>
    </x:row>
    <x:row r="115" ht="24" customHeight="1">
      <x:c r="A115" s="2" t="str">
        <x:v>25 boards / nominal</x:v>
      </x:c>
      <x:c r="B115" s="17" t="str">
        <x:v>RT0603BRD0793K1L</x:v>
      </x:c>
      <x:c r="C115" s="18" t="n">
        <x:v>25</x:v>
      </x:c>
      <x:c r="D115" s="27" t="n">
        <x:v>0</x:v>
      </x:c>
      <x:c r="E115" s="18" t="n">
        <x:f>INDEX('Assembly BOM'!$C$7:$C$162,MATCH($B115,'Assembly BOM'!$A$7:$A$162,0))</x:f>
        <x:v>1</x:v>
      </x:c>
      <x:c r="F115" s="18" t="n">
        <x:f>C115*E115</x:f>
        <x:v>25</x:v>
      </x:c>
      <x:c r="G115" s="18" t="n">
        <x:f>ROUNDUP(F115*(1+D115),0)</x:f>
        <x:v>25</x:v>
      </x:c>
      <x:c r="H115" s="18" t="n">
        <x:f>INDEX('Dated offers'!$F$7:$F$305,MATCH($Z115,'Dated offers'!$A$7:$A$305,0))</x:f>
        <x:v>1</x:v>
      </x:c>
      <x:c r="I115" s="18" t="n">
        <x:f>INDEX('Dated offers'!$G$7:$G$305,MATCH($Z115,'Dated offers'!$A$7:$A$305,0))</x:f>
        <x:v>1</x:v>
      </x:c>
      <x:c r="J115" s="18" t="n">
        <x:f>CEILING(MAX(G115,H115),I115)</x:f>
        <x:v>25</x:v>
      </x:c>
      <x:c r="K115" s="18" t="n">
        <x:v>25</x:v>
      </x:c>
      <x:c r="L115" s="18" t="n">
        <x:f>INDEX('Dated offers'!$I$7:$I$305,MATCH($Z115,'Dated offers'!$A$7:$A$305,0))</x:f>
        <x:v>10</x:v>
      </x:c>
      <x:c r="M115" s="25" t="n">
        <x:f>INDEX('Dated offers'!$J$7:$J$305,MATCH($Z115,'Dated offers'!$A$7:$A$305,0))</x:f>
        <x:v>0.074</x:v>
      </x:c>
      <x:c r="N115" s="25" t="n">
        <x:f>INDEX('Dated offers'!$K$7:$K$305,MATCH($Z115,'Dated offers'!$A$7:$A$305,0))</x:f>
        <x:v>0</x:v>
      </x:c>
      <x:c r="O115" s="25" t="n">
        <x:f>F115*M115</x:f>
        <x:v>1.8499999999999999</x:v>
      </x:c>
      <x:c r="P115" s="25" t="n">
        <x:f>G115*M115</x:f>
        <x:v>1.8499999999999999</x:v>
      </x:c>
      <x:c r="Q115" s="25" t="n">
        <x:f>K115*M115+N115</x:f>
        <x:v>1.8499999999999999</x:v>
      </x:c>
      <x:c r="R115" s="18" t="n">
        <x:f>K115-G115</x:f>
        <x:v>0</x:v>
      </x:c>
      <x:c r="S115" s="18" t="n">
        <x:f>INDEX('Dated offers'!$H$7:$H$305,MATCH($Z115,'Dated offers'!$A$7:$A$305,0))</x:f>
        <x:v>66948</x:v>
      </x:c>
      <x:c r="T115" s="2" t="str">
        <x:f>IF(K115&lt;G115,"Order below requirement",IF(K115&lt;L115,"Below price tier",IF(ISNUMBER(S115),IF(K115&gt;S115,"Quantity exceeds snapshot","Within quantity snapshot"),"Stock not stated")))</x:f>
        <x:v>Within quantity snapshot</x:v>
      </x:c>
      <x:c r="U115" s="2" t="str">
        <x:f>INDEX('Dated offers'!$C$7:$C$305,MATCH($Z115,'Dated offers'!$A$7:$A$305,0))</x:f>
        <x:v>DigiKey</x:v>
      </x:c>
      <x:c r="V115" s="2" t="str">
        <x:f>INDEX('Dated offers'!$D$7:$D$305,MATCH($Z115,'Dated offers'!$A$7:$A$305,0))</x:f>
        <x:v>Not stated</x:v>
      </x:c>
      <x:c r="W115" s="24" t="n">
        <x:f>INDEX('Dated offers'!$E$7:$E$305,MATCH($Z115,'Dated offers'!$A$7:$A$305,0))</x:f>
        <x:v>46307.47807267361</x:v>
      </x:c>
      <x:c r="X115" s="2" t="b">
        <x:f>INDEX('Dated offers'!$N$7:$N$305,MATCH($Z115,'Dated offers'!$A$7:$A$305,0))</x:f>
        <x:v>0</x:v>
      </x:c>
      <x:c r="Y115" s="2" t="str">
        <x:f>INDEX('Dated offers'!$O$7:$O$305,MATCH($Z115,'Dated offers'!$A$7:$A$305,0))</x:f>
        <x:v>Unreserved inventory snapshot</x:v>
      </x:c>
      <x:c r="Z115" s="17" t="str">
        <x:v>OF0109</x:v>
      </x:c>
      <x:c r="AA115" s="2"/>
      <x:c r="AB115" s="2" t="str">
        <x:f>INDEX('Dated offers'!$Q$7:$Q$305,MATCH($Z115,'Dated offers'!$A$7:$A$305,0))</x:f>
        <x:v>https://www.digikey.com/en/products/detail/yageo/RT0603BRD0793K1L/5139200</x:v>
      </x:c>
    </x:row>
    <x:row r="116" ht="24" customHeight="1">
      <x:c r="A116" s="2" t="str">
        <x:v>25 boards / nominal</x:v>
      </x:c>
      <x:c r="B116" s="17" t="str">
        <x:v>RT0603BRD07953RL</x:v>
      </x:c>
      <x:c r="C116" s="18" t="n">
        <x:v>25</x:v>
      </x:c>
      <x:c r="D116" s="27" t="n">
        <x:v>0</x:v>
      </x:c>
      <x:c r="E116" s="18" t="n">
        <x:f>INDEX('Assembly BOM'!$C$7:$C$162,MATCH($B116,'Assembly BOM'!$A$7:$A$162,0))</x:f>
        <x:v>2</x:v>
      </x:c>
      <x:c r="F116" s="18" t="n">
        <x:f>C116*E116</x:f>
        <x:v>50</x:v>
      </x:c>
      <x:c r="G116" s="18" t="n">
        <x:f>ROUNDUP(F116*(1+D116),0)</x:f>
        <x:v>50</x:v>
      </x:c>
      <x:c r="H116" s="18" t="n">
        <x:f>INDEX('Dated offers'!$F$7:$F$305,MATCH($Z116,'Dated offers'!$A$7:$A$305,0))</x:f>
        <x:v>1</x:v>
      </x:c>
      <x:c r="I116" s="18" t="n">
        <x:f>INDEX('Dated offers'!$G$7:$G$305,MATCH($Z116,'Dated offers'!$A$7:$A$305,0))</x:f>
        <x:v>1</x:v>
      </x:c>
      <x:c r="J116" s="18" t="n">
        <x:f>CEILING(MAX(G116,H116),I116)</x:f>
        <x:v>50</x:v>
      </x:c>
      <x:c r="K116" s="18" t="n">
        <x:v>50</x:v>
      </x:c>
      <x:c r="L116" s="18" t="n">
        <x:f>INDEX('Dated offers'!$I$7:$I$305,MATCH($Z116,'Dated offers'!$A$7:$A$305,0))</x:f>
        <x:v>50</x:v>
      </x:c>
      <x:c r="M116" s="25" t="n">
        <x:f>INDEX('Dated offers'!$J$7:$J$305,MATCH($Z116,'Dated offers'!$A$7:$A$305,0))</x:f>
        <x:v>0.0614</x:v>
      </x:c>
      <x:c r="N116" s="25" t="n">
        <x:f>INDEX('Dated offers'!$K$7:$K$305,MATCH($Z116,'Dated offers'!$A$7:$A$305,0))</x:f>
        <x:v>0</x:v>
      </x:c>
      <x:c r="O116" s="25" t="n">
        <x:f>F116*M116</x:f>
        <x:v>3.0700000000000003</x:v>
      </x:c>
      <x:c r="P116" s="25" t="n">
        <x:f>G116*M116</x:f>
        <x:v>3.0700000000000003</x:v>
      </x:c>
      <x:c r="Q116" s="25" t="n">
        <x:f>K116*M116+N116</x:f>
        <x:v>3.0700000000000003</x:v>
      </x:c>
      <x:c r="R116" s="18" t="n">
        <x:f>K116-G116</x:f>
        <x:v>0</x:v>
      </x:c>
      <x:c r="S116" s="18" t="n">
        <x:f>INDEX('Dated offers'!$H$7:$H$305,MATCH($Z116,'Dated offers'!$A$7:$A$305,0))</x:f>
        <x:v>5255</x:v>
      </x:c>
      <x:c r="T116" s="2" t="str">
        <x:f>IF(K116&lt;G116,"Order below requirement",IF(K116&lt;L116,"Below price tier",IF(ISNUMBER(S116),IF(K116&gt;S116,"Quantity exceeds snapshot","Within quantity snapshot"),"Stock not stated")))</x:f>
        <x:v>Within quantity snapshot</x:v>
      </x:c>
      <x:c r="U116" s="2" t="str">
        <x:f>INDEX('Dated offers'!$C$7:$C$305,MATCH($Z116,'Dated offers'!$A$7:$A$305,0))</x:f>
        <x:v>DigiKey</x:v>
      </x:c>
      <x:c r="V116" s="2" t="str">
        <x:f>INDEX('Dated offers'!$D$7:$D$305,MATCH($Z116,'Dated offers'!$A$7:$A$305,0))</x:f>
        <x:v>Not stated</x:v>
      </x:c>
      <x:c r="W116" s="24" t="n">
        <x:f>INDEX('Dated offers'!$E$7:$E$305,MATCH($Z116,'Dated offers'!$A$7:$A$305,0))</x:f>
        <x:v>46307.47807256944</x:v>
      </x:c>
      <x:c r="X116" s="2" t="b">
        <x:f>INDEX('Dated offers'!$N$7:$N$305,MATCH($Z116,'Dated offers'!$A$7:$A$305,0))</x:f>
        <x:v>0</x:v>
      </x:c>
      <x:c r="Y116" s="2" t="str">
        <x:f>INDEX('Dated offers'!$O$7:$O$305,MATCH($Z116,'Dated offers'!$A$7:$A$305,0))</x:f>
        <x:v>Unreserved inventory snapshot</x:v>
      </x:c>
      <x:c r="Z116" s="17" t="str">
        <x:v>OF0110</x:v>
      </x:c>
      <x:c r="AA116" s="2"/>
      <x:c r="AB116" s="2" t="str">
        <x:f>INDEX('Dated offers'!$Q$7:$Q$305,MATCH($Z116,'Dated offers'!$A$7:$A$305,0))</x:f>
        <x:v>https://www.digikey.com/en/products/detail/yageo/RT0603BRD07953RL/1072685</x:v>
      </x:c>
    </x:row>
    <x:row r="117" ht="24" customHeight="1">
      <x:c r="A117" s="2" t="str">
        <x:v>25 boards / nominal</x:v>
      </x:c>
      <x:c r="B117" s="17" t="str">
        <x:v>RTL8125BG-CG</x:v>
      </x:c>
      <x:c r="C117" s="18" t="n">
        <x:v>25</x:v>
      </x:c>
      <x:c r="D117" s="27" t="n">
        <x:v>0</x:v>
      </x:c>
      <x:c r="E117" s="18" t="n">
        <x:f>INDEX('Assembly BOM'!$C$7:$C$162,MATCH($B117,'Assembly BOM'!$A$7:$A$162,0))</x:f>
        <x:v>1</x:v>
      </x:c>
      <x:c r="F117" s="18" t="n">
        <x:f>C117*E117</x:f>
        <x:v>25</x:v>
      </x:c>
      <x:c r="G117" s="18" t="n">
        <x:f>ROUNDUP(F117*(1+D117),0)</x:f>
        <x:v>25</x:v>
      </x:c>
      <x:c r="H117" s="18" t="n">
        <x:f>INDEX('Dated offers'!$F$7:$F$305,MATCH($Z117,'Dated offers'!$A$7:$A$305,0))</x:f>
        <x:v>1</x:v>
      </x:c>
      <x:c r="I117" s="18" t="n">
        <x:f>INDEX('Dated offers'!$G$7:$G$305,MATCH($Z117,'Dated offers'!$A$7:$A$305,0))</x:f>
        <x:v>1</x:v>
      </x:c>
      <x:c r="J117" s="18" t="n">
        <x:f>CEILING(MAX(G117,H117),I117)</x:f>
        <x:v>25</x:v>
      </x:c>
      <x:c r="K117" s="18" t="n">
        <x:v>25</x:v>
      </x:c>
      <x:c r="L117" s="18" t="n">
        <x:f>INDEX('Dated offers'!$I$7:$I$305,MATCH($Z117,'Dated offers'!$A$7:$A$305,0))</x:f>
        <x:v>10</x:v>
      </x:c>
      <x:c r="M117" s="25" t="n">
        <x:f>INDEX('Dated offers'!$J$7:$J$305,MATCH($Z117,'Dated offers'!$A$7:$A$305,0))</x:f>
        <x:v>3.7323</x:v>
      </x:c>
      <x:c r="N117" s="25" t="n">
        <x:f>INDEX('Dated offers'!$K$7:$K$305,MATCH($Z117,'Dated offers'!$A$7:$A$305,0))</x:f>
        <x:v>0</x:v>
      </x:c>
      <x:c r="O117" s="25" t="n">
        <x:f>F117*M117</x:f>
        <x:v>93.3075</x:v>
      </x:c>
      <x:c r="P117" s="25" t="n">
        <x:f>G117*M117</x:f>
        <x:v>93.3075</x:v>
      </x:c>
      <x:c r="Q117" s="25" t="n">
        <x:f>K117*M117+N117</x:f>
        <x:v>93.3075</x:v>
      </x:c>
      <x:c r="R117" s="18" t="n">
        <x:f>K117-G117</x:f>
        <x:v>0</x:v>
      </x:c>
      <x:c r="S117" s="18" t="n">
        <x:f>INDEX('Dated offers'!$H$7:$H$305,MATCH($Z117,'Dated offers'!$A$7:$A$305,0))</x:f>
        <x:v>310</x:v>
      </x:c>
      <x:c r="T117" s="2" t="str">
        <x:f>IF(K117&lt;G117,"Order below requirement",IF(K117&lt;L117,"Below price tier",IF(ISNUMBER(S117),IF(K117&gt;S117,"Quantity exceeds snapshot","Within quantity snapshot"),"Stock not stated")))</x:f>
        <x:v>Within quantity snapshot</x:v>
      </x:c>
      <x:c r="U117" s="2" t="str">
        <x:f>INDEX('Dated offers'!$C$7:$C$305,MATCH($Z117,'Dated offers'!$A$7:$A$305,0))</x:f>
        <x:v>LCSC</x:v>
      </x:c>
      <x:c r="V117" s="2" t="str">
        <x:f>INDEX('Dated offers'!$D$7:$D$305,MATCH($Z117,'Dated offers'!$A$7:$A$305,0))</x:f>
        <x:v>C3013605</x:v>
      </x:c>
      <x:c r="W117" s="24" t="n">
        <x:f>INDEX('Dated offers'!$E$7:$E$305,MATCH($Z117,'Dated offers'!$A$7:$A$305,0))</x:f>
        <x:v>46307.447465219906</x:v>
      </x:c>
      <x:c r="X117" s="2" t="b">
        <x:f>INDEX('Dated offers'!$N$7:$N$305,MATCH($Z117,'Dated offers'!$A$7:$A$305,0))</x:f>
        <x:v>0</x:v>
      </x:c>
      <x:c r="Y117" s="2" t="str">
        <x:f>INDEX('Dated offers'!$O$7:$O$305,MATCH($Z117,'Dated offers'!$A$7:$A$305,0))</x:f>
        <x:v>Unreserved inventory snapshot</x:v>
      </x:c>
      <x:c r="Z117" s="17" t="str">
        <x:v>OF0111</x:v>
      </x:c>
      <x:c r="AA117" s="2"/>
      <x:c r="AB117" s="2" t="str">
        <x:f>INDEX('Dated offers'!$Q$7:$Q$305,MATCH($Z117,'Dated offers'!$A$7:$A$305,0))</x:f>
        <x:v>https://www.lcsc.com/product-detail/C3013605.html</x:v>
      </x:c>
    </x:row>
    <x:row r="118" ht="24" customHeight="1">
      <x:c r="A118" s="2" t="str">
        <x:v>25 boards / nominal</x:v>
      </x:c>
      <x:c r="B118" s="17" t="str">
        <x:v>S1B-13-F</x:v>
      </x:c>
      <x:c r="C118" s="18" t="n">
        <x:v>25</x:v>
      </x:c>
      <x:c r="D118" s="27" t="n">
        <x:v>0</x:v>
      </x:c>
      <x:c r="E118" s="18" t="n">
        <x:f>INDEX('Assembly BOM'!$C$7:$C$162,MATCH($B118,'Assembly BOM'!$A$7:$A$162,0))</x:f>
        <x:v>1</x:v>
      </x:c>
      <x:c r="F118" s="18" t="n">
        <x:f>C118*E118</x:f>
        <x:v>25</x:v>
      </x:c>
      <x:c r="G118" s="18" t="n">
        <x:f>ROUNDUP(F118*(1+D118),0)</x:f>
        <x:v>25</x:v>
      </x:c>
      <x:c r="H118" s="18" t="n">
        <x:f>INDEX('Dated offers'!$F$7:$F$305,MATCH($Z118,'Dated offers'!$A$7:$A$305,0))</x:f>
        <x:v>1</x:v>
      </x:c>
      <x:c r="I118" s="18" t="n">
        <x:f>INDEX('Dated offers'!$G$7:$G$305,MATCH($Z118,'Dated offers'!$A$7:$A$305,0))</x:f>
        <x:v>1</x:v>
      </x:c>
      <x:c r="J118" s="18" t="n">
        <x:f>CEILING(MAX(G118,H118),I118)</x:f>
        <x:v>25</x:v>
      </x:c>
      <x:c r="K118" s="18" t="n">
        <x:v>25</x:v>
      </x:c>
      <x:c r="L118" s="18" t="n">
        <x:f>INDEX('Dated offers'!$I$7:$I$305,MATCH($Z118,'Dated offers'!$A$7:$A$305,0))</x:f>
        <x:v>25</x:v>
      </x:c>
      <x:c r="M118" s="25" t="n">
        <x:f>INDEX('Dated offers'!$J$7:$J$305,MATCH($Z118,'Dated offers'!$A$7:$A$305,0))</x:f>
        <x:v>0.1336</x:v>
      </x:c>
      <x:c r="N118" s="25" t="n">
        <x:f>INDEX('Dated offers'!$K$7:$K$305,MATCH($Z118,'Dated offers'!$A$7:$A$305,0))</x:f>
        <x:v>0</x:v>
      </x:c>
      <x:c r="O118" s="25" t="n">
        <x:f>F118*M118</x:f>
        <x:v>3.34</x:v>
      </x:c>
      <x:c r="P118" s="25" t="n">
        <x:f>G118*M118</x:f>
        <x:v>3.34</x:v>
      </x:c>
      <x:c r="Q118" s="25" t="n">
        <x:f>K118*M118+N118</x:f>
        <x:v>3.34</x:v>
      </x:c>
      <x:c r="R118" s="18" t="n">
        <x:f>K118-G118</x:f>
        <x:v>0</x:v>
      </x:c>
      <x:c r="S118" s="18" t="n">
        <x:f>INDEX('Dated offers'!$H$7:$H$305,MATCH($Z118,'Dated offers'!$A$7:$A$305,0))</x:f>
        <x:v>716497</x:v>
      </x:c>
      <x:c r="T118" s="2" t="str">
        <x:f>IF(K118&lt;G118,"Order below requirement",IF(K118&lt;L118,"Below price tier",IF(ISNUMBER(S118),IF(K118&gt;S118,"Quantity exceeds snapshot","Within quantity snapshot"),"Stock not stated")))</x:f>
        <x:v>Within quantity snapshot</x:v>
      </x:c>
      <x:c r="U118" s="2" t="str">
        <x:f>INDEX('Dated offers'!$C$7:$C$305,MATCH($Z118,'Dated offers'!$A$7:$A$305,0))</x:f>
        <x:v>DigiKey</x:v>
      </x:c>
      <x:c r="V118" s="2" t="str">
        <x:f>INDEX('Dated offers'!$D$7:$D$305,MATCH($Z118,'Dated offers'!$A$7:$A$305,0))</x:f>
        <x:v>Not stated</x:v>
      </x:c>
      <x:c r="W118" s="24" t="n">
        <x:f>INDEX('Dated offers'!$E$7:$E$305,MATCH($Z118,'Dated offers'!$A$7:$A$305,0))</x:f>
        <x:v>46307.47807256944</x:v>
      </x:c>
      <x:c r="X118" s="2" t="b">
        <x:f>INDEX('Dated offers'!$N$7:$N$305,MATCH($Z118,'Dated offers'!$A$7:$A$305,0))</x:f>
        <x:v>0</x:v>
      </x:c>
      <x:c r="Y118" s="2" t="str">
        <x:f>INDEX('Dated offers'!$O$7:$O$305,MATCH($Z118,'Dated offers'!$A$7:$A$305,0))</x:f>
        <x:v>Unreserved inventory snapshot</x:v>
      </x:c>
      <x:c r="Z118" s="17" t="str">
        <x:v>OF0112</x:v>
      </x:c>
      <x:c r="AA118" s="2"/>
      <x:c r="AB118" s="2" t="str">
        <x:f>INDEX('Dated offers'!$Q$7:$Q$305,MATCH($Z118,'Dated offers'!$A$7:$A$305,0))</x:f>
        <x:v>https://www.digikey.com/en/products/detail/diodes-incorporated/S1B-13-F/725026</x:v>
      </x:c>
    </x:row>
    <x:row r="119" ht="24" customHeight="1">
      <x:c r="A119" s="2" t="str">
        <x:v>25 boards / nominal</x:v>
      </x:c>
      <x:c r="B119" s="17" t="str">
        <x:v>SIM8066-6-1-14-01-A</x:v>
      </x:c>
      <x:c r="C119" s="18" t="n">
        <x:v>25</x:v>
      </x:c>
      <x:c r="D119" s="27" t="n">
        <x:v>0</x:v>
      </x:c>
      <x:c r="E119" s="18" t="n">
        <x:f>INDEX('Assembly BOM'!$C$7:$C$162,MATCH($B119,'Assembly BOM'!$A$7:$A$162,0))</x:f>
        <x:v>1</x:v>
      </x:c>
      <x:c r="F119" s="18" t="n">
        <x:f>C119*E119</x:f>
        <x:v>25</x:v>
      </x:c>
      <x:c r="G119" s="18" t="n">
        <x:f>ROUNDUP(F119*(1+D119),0)</x:f>
        <x:v>25</x:v>
      </x:c>
      <x:c r="H119" s="18" t="n">
        <x:f>INDEX('Dated offers'!$F$7:$F$305,MATCH($Z119,'Dated offers'!$A$7:$A$305,0))</x:f>
        <x:v>1</x:v>
      </x:c>
      <x:c r="I119" s="18" t="n">
        <x:f>INDEX('Dated offers'!$G$7:$G$305,MATCH($Z119,'Dated offers'!$A$7:$A$305,0))</x:f>
        <x:v>1</x:v>
      </x:c>
      <x:c r="J119" s="18" t="n">
        <x:f>CEILING(MAX(G119,H119),I119)</x:f>
        <x:v>25</x:v>
      </x:c>
      <x:c r="K119" s="18" t="n">
        <x:v>25</x:v>
      </x:c>
      <x:c r="L119" s="18" t="n">
        <x:f>INDEX('Dated offers'!$I$7:$I$305,MATCH($Z119,'Dated offers'!$A$7:$A$305,0))</x:f>
        <x:v>10</x:v>
      </x:c>
      <x:c r="M119" s="25" t="n">
        <x:f>INDEX('Dated offers'!$J$7:$J$305,MATCH($Z119,'Dated offers'!$A$7:$A$305,0))</x:f>
        <x:v>1.4045</x:v>
      </x:c>
      <x:c r="N119" s="25" t="n">
        <x:f>INDEX('Dated offers'!$K$7:$K$305,MATCH($Z119,'Dated offers'!$A$7:$A$305,0))</x:f>
        <x:v>0</x:v>
      </x:c>
      <x:c r="O119" s="25" t="n">
        <x:f>F119*M119</x:f>
        <x:v>35.112500000000004</x:v>
      </x:c>
      <x:c r="P119" s="25" t="n">
        <x:f>G119*M119</x:f>
        <x:v>35.112500000000004</x:v>
      </x:c>
      <x:c r="Q119" s="25" t="n">
        <x:f>K119*M119+N119</x:f>
        <x:v>35.112500000000004</x:v>
      </x:c>
      <x:c r="R119" s="18" t="n">
        <x:f>K119-G119</x:f>
        <x:v>0</x:v>
      </x:c>
      <x:c r="S119" s="18" t="n">
        <x:f>INDEX('Dated offers'!$H$7:$H$305,MATCH($Z119,'Dated offers'!$A$7:$A$305,0))</x:f>
        <x:v>1893</x:v>
      </x:c>
      <x:c r="T119" s="2" t="str">
        <x:f>IF(K119&lt;G119,"Order below requirement",IF(K119&lt;L119,"Below price tier",IF(ISNUMBER(S119),IF(K119&gt;S119,"Quantity exceeds snapshot","Within quantity snapshot"),"Stock not stated")))</x:f>
        <x:v>Within quantity snapshot</x:v>
      </x:c>
      <x:c r="U119" s="2" t="str">
        <x:f>INDEX('Dated offers'!$C$7:$C$305,MATCH($Z119,'Dated offers'!$A$7:$A$305,0))</x:f>
        <x:v>LCSC</x:v>
      </x:c>
      <x:c r="V119" s="2" t="str">
        <x:f>INDEX('Dated offers'!$D$7:$D$305,MATCH($Z119,'Dated offers'!$A$7:$A$305,0))</x:f>
        <x:v>C3032925</x:v>
      </x:c>
      <x:c r="W119" s="24" t="n">
        <x:f>INDEX('Dated offers'!$E$7:$E$305,MATCH($Z119,'Dated offers'!$A$7:$A$305,0))</x:f>
        <x:v>46307.447466805555</x:v>
      </x:c>
      <x:c r="X119" s="2" t="b">
        <x:f>INDEX('Dated offers'!$N$7:$N$305,MATCH($Z119,'Dated offers'!$A$7:$A$305,0))</x:f>
        <x:v>0</x:v>
      </x:c>
      <x:c r="Y119" s="2" t="str">
        <x:f>INDEX('Dated offers'!$O$7:$O$305,MATCH($Z119,'Dated offers'!$A$7:$A$305,0))</x:f>
        <x:v>Unreserved inventory snapshot</x:v>
      </x:c>
      <x:c r="Z119" s="17" t="str">
        <x:v>OF0113</x:v>
      </x:c>
      <x:c r="AA119" s="2"/>
      <x:c r="AB119" s="2" t="str">
        <x:f>INDEX('Dated offers'!$Q$7:$Q$305,MATCH($Z119,'Dated offers'!$A$7:$A$305,0))</x:f>
        <x:v>https://www.lcsc.com/product-detail/C3032925.html</x:v>
      </x:c>
    </x:row>
    <x:row r="120" ht="24" customHeight="1">
      <x:c r="A120" s="2" t="str">
        <x:v>25 boards / nominal</x:v>
      </x:c>
      <x:c r="B120" s="17" t="str">
        <x:v>SMBJ13A</x:v>
      </x:c>
      <x:c r="C120" s="18" t="n">
        <x:v>25</x:v>
      </x:c>
      <x:c r="D120" s="27" t="n">
        <x:v>0</x:v>
      </x:c>
      <x:c r="E120" s="18" t="n">
        <x:f>INDEX('Assembly BOM'!$C$7:$C$162,MATCH($B120,'Assembly BOM'!$A$7:$A$162,0))</x:f>
        <x:v>1</x:v>
      </x:c>
      <x:c r="F120" s="18" t="n">
        <x:f>C120*E120</x:f>
        <x:v>25</x:v>
      </x:c>
      <x:c r="G120" s="18" t="n">
        <x:f>ROUNDUP(F120*(1+D120),0)</x:f>
        <x:v>25</x:v>
      </x:c>
      <x:c r="H120" s="18" t="n">
        <x:f>INDEX('Dated offers'!$F$7:$F$305,MATCH($Z120,'Dated offers'!$A$7:$A$305,0))</x:f>
        <x:v>1</x:v>
      </x:c>
      <x:c r="I120" s="18" t="n">
        <x:f>INDEX('Dated offers'!$G$7:$G$305,MATCH($Z120,'Dated offers'!$A$7:$A$305,0))</x:f>
        <x:v>1</x:v>
      </x:c>
      <x:c r="J120" s="18" t="n">
        <x:f>CEILING(MAX(G120,H120),I120)</x:f>
        <x:v>25</x:v>
      </x:c>
      <x:c r="K120" s="18" t="n">
        <x:v>25</x:v>
      </x:c>
      <x:c r="L120" s="18" t="n">
        <x:f>INDEX('Dated offers'!$I$7:$I$305,MATCH($Z120,'Dated offers'!$A$7:$A$305,0))</x:f>
        <x:v>10</x:v>
      </x:c>
      <x:c r="M120" s="25" t="n">
        <x:f>INDEX('Dated offers'!$J$7:$J$305,MATCH($Z120,'Dated offers'!$A$7:$A$305,0))</x:f>
        <x:v>0.328</x:v>
      </x:c>
      <x:c r="N120" s="25" t="n">
        <x:f>INDEX('Dated offers'!$K$7:$K$305,MATCH($Z120,'Dated offers'!$A$7:$A$305,0))</x:f>
        <x:v>0</x:v>
      </x:c>
      <x:c r="O120" s="25" t="n">
        <x:f>F120*M120</x:f>
        <x:v>8.200000000000001</x:v>
      </x:c>
      <x:c r="P120" s="25" t="n">
        <x:f>G120*M120</x:f>
        <x:v>8.200000000000001</x:v>
      </x:c>
      <x:c r="Q120" s="25" t="n">
        <x:f>K120*M120+N120</x:f>
        <x:v>8.200000000000001</x:v>
      </x:c>
      <x:c r="R120" s="18" t="n">
        <x:f>K120-G120</x:f>
        <x:v>0</x:v>
      </x:c>
      <x:c r="S120" s="18" t="n">
        <x:f>INDEX('Dated offers'!$H$7:$H$305,MATCH($Z120,'Dated offers'!$A$7:$A$305,0))</x:f>
        <x:v>1346</x:v>
      </x:c>
      <x:c r="T120" s="2" t="str">
        <x:f>IF(K120&lt;G120,"Order below requirement",IF(K120&lt;L120,"Below price tier",IF(ISNUMBER(S120),IF(K120&gt;S120,"Quantity exceeds snapshot","Within quantity snapshot"),"Stock not stated")))</x:f>
        <x:v>Within quantity snapshot</x:v>
      </x:c>
      <x:c r="U120" s="2" t="str">
        <x:f>INDEX('Dated offers'!$C$7:$C$305,MATCH($Z120,'Dated offers'!$A$7:$A$305,0))</x:f>
        <x:v>DigiKey</x:v>
      </x:c>
      <x:c r="V120" s="2" t="str">
        <x:f>INDEX('Dated offers'!$D$7:$D$305,MATCH($Z120,'Dated offers'!$A$7:$A$305,0))</x:f>
        <x:v>Not stated</x:v>
      </x:c>
      <x:c r="W120" s="24" t="n">
        <x:f>INDEX('Dated offers'!$E$7:$E$305,MATCH($Z120,'Dated offers'!$A$7:$A$305,0))</x:f>
        <x:v>46307.47807256944</x:v>
      </x:c>
      <x:c r="X120" s="2" t="b">
        <x:f>INDEX('Dated offers'!$N$7:$N$305,MATCH($Z120,'Dated offers'!$A$7:$A$305,0))</x:f>
        <x:v>0</x:v>
      </x:c>
      <x:c r="Y120" s="2" t="str">
        <x:f>INDEX('Dated offers'!$O$7:$O$305,MATCH($Z120,'Dated offers'!$A$7:$A$305,0))</x:f>
        <x:v>Unreserved inventory snapshot</x:v>
      </x:c>
      <x:c r="Z120" s="17" t="str">
        <x:v>OF0114</x:v>
      </x:c>
      <x:c r="AA120" s="2"/>
      <x:c r="AB120" s="2" t="str">
        <x:f>INDEX('Dated offers'!$Q$7:$Q$305,MATCH($Z120,'Dated offers'!$A$7:$A$305,0))</x:f>
        <x:v>https://www.digikey.com/en/products/detail/littelfuse-inc/SMBJ13A/285974</x:v>
      </x:c>
    </x:row>
    <x:row r="121" ht="24" customHeight="1">
      <x:c r="A121" s="2" t="str">
        <x:v>25 boards / nominal</x:v>
      </x:c>
      <x:c r="B121" s="17" t="str">
        <x:v>SMCJ51A-E3/57T</x:v>
      </x:c>
      <x:c r="C121" s="18" t="n">
        <x:v>25</x:v>
      </x:c>
      <x:c r="D121" s="27" t="n">
        <x:v>0</x:v>
      </x:c>
      <x:c r="E121" s="18" t="n">
        <x:f>INDEX('Assembly BOM'!$C$7:$C$162,MATCH($B121,'Assembly BOM'!$A$7:$A$162,0))</x:f>
        <x:v>2</x:v>
      </x:c>
      <x:c r="F121" s="18" t="n">
        <x:f>C121*E121</x:f>
        <x:v>50</x:v>
      </x:c>
      <x:c r="G121" s="18" t="n">
        <x:f>ROUNDUP(F121*(1+D121),0)</x:f>
        <x:v>50</x:v>
      </x:c>
      <x:c r="H121" s="18" t="n">
        <x:f>INDEX('Dated offers'!$F$7:$F$305,MATCH($Z121,'Dated offers'!$A$7:$A$305,0))</x:f>
        <x:v>1</x:v>
      </x:c>
      <x:c r="I121" s="18" t="n">
        <x:f>INDEX('Dated offers'!$G$7:$G$305,MATCH($Z121,'Dated offers'!$A$7:$A$305,0))</x:f>
        <x:v>1</x:v>
      </x:c>
      <x:c r="J121" s="18" t="n">
        <x:f>CEILING(MAX(G121,H121),I121)</x:f>
        <x:v>50</x:v>
      </x:c>
      <x:c r="K121" s="18" t="n">
        <x:v>50</x:v>
      </x:c>
      <x:c r="L121" s="18" t="n">
        <x:f>INDEX('Dated offers'!$I$7:$I$305,MATCH($Z121,'Dated offers'!$A$7:$A$305,0))</x:f>
        <x:v>50</x:v>
      </x:c>
      <x:c r="M121" s="25" t="n">
        <x:f>INDEX('Dated offers'!$J$7:$J$305,MATCH($Z121,'Dated offers'!$A$7:$A$305,0))</x:f>
        <x:v>0.4978</x:v>
      </x:c>
      <x:c r="N121" s="25" t="n">
        <x:f>INDEX('Dated offers'!$K$7:$K$305,MATCH($Z121,'Dated offers'!$A$7:$A$305,0))</x:f>
        <x:v>0</x:v>
      </x:c>
      <x:c r="O121" s="25" t="n">
        <x:f>F121*M121</x:f>
        <x:v>24.89</x:v>
      </x:c>
      <x:c r="P121" s="25" t="n">
        <x:f>G121*M121</x:f>
        <x:v>24.89</x:v>
      </x:c>
      <x:c r="Q121" s="25" t="n">
        <x:f>K121*M121+N121</x:f>
        <x:v>24.89</x:v>
      </x:c>
      <x:c r="R121" s="18" t="n">
        <x:f>K121-G121</x:f>
        <x:v>0</x:v>
      </x:c>
      <x:c r="S121" s="18" t="n">
        <x:f>INDEX('Dated offers'!$H$7:$H$305,MATCH($Z121,'Dated offers'!$A$7:$A$305,0))</x:f>
        <x:v>214</x:v>
      </x:c>
      <x:c r="T121" s="2" t="str">
        <x:f>IF(K121&lt;G121,"Order below requirement",IF(K121&lt;L121,"Below price tier",IF(ISNUMBER(S121),IF(K121&gt;S121,"Quantity exceeds snapshot","Within quantity snapshot"),"Stock not stated")))</x:f>
        <x:v>Within quantity snapshot</x:v>
      </x:c>
      <x:c r="U121" s="2" t="str">
        <x:f>INDEX('Dated offers'!$C$7:$C$305,MATCH($Z121,'Dated offers'!$A$7:$A$305,0))</x:f>
        <x:v>DigiKey</x:v>
      </x:c>
      <x:c r="V121" s="2" t="str">
        <x:f>INDEX('Dated offers'!$D$7:$D$305,MATCH($Z121,'Dated offers'!$A$7:$A$305,0))</x:f>
        <x:v>Not stated</x:v>
      </x:c>
      <x:c r="W121" s="24" t="n">
        <x:f>INDEX('Dated offers'!$E$7:$E$305,MATCH($Z121,'Dated offers'!$A$7:$A$305,0))</x:f>
        <x:v>46307.47807258102</x:v>
      </x:c>
      <x:c r="X121" s="2" t="b">
        <x:f>INDEX('Dated offers'!$N$7:$N$305,MATCH($Z121,'Dated offers'!$A$7:$A$305,0))</x:f>
        <x:v>0</x:v>
      </x:c>
      <x:c r="Y121" s="2" t="str">
        <x:f>INDEX('Dated offers'!$O$7:$O$305,MATCH($Z121,'Dated offers'!$A$7:$A$305,0))</x:f>
        <x:v>Unreserved inventory snapshot</x:v>
      </x:c>
      <x:c r="Z121" s="17" t="str">
        <x:v>OF0115</x:v>
      </x:c>
      <x:c r="AA121" s="2"/>
      <x:c r="AB121" s="2" t="str">
        <x:f>INDEX('Dated offers'!$Q$7:$Q$305,MATCH($Z121,'Dated offers'!$A$7:$A$305,0))</x:f>
        <x:v>https://www.digikey.com/en/products/detail/vishay-general-semiconductor-diodes-division/SMCJ51A-E3-57T/2413463</x:v>
      </x:c>
    </x:row>
    <x:row r="122" ht="24" customHeight="1">
      <x:c r="A122" s="2" t="str">
        <x:v>25 boards / nominal</x:v>
      </x:c>
      <x:c r="B122" s="17" t="str">
        <x:v>SN74AUP1G17DBVR</x:v>
      </x:c>
      <x:c r="C122" s="18" t="n">
        <x:v>25</x:v>
      </x:c>
      <x:c r="D122" s="27" t="n">
        <x:v>0</x:v>
      </x:c>
      <x:c r="E122" s="18" t="n">
        <x:f>INDEX('Assembly BOM'!$C$7:$C$162,MATCH($B122,'Assembly BOM'!$A$7:$A$162,0))</x:f>
        <x:v>1</x:v>
      </x:c>
      <x:c r="F122" s="18" t="n">
        <x:f>C122*E122</x:f>
        <x:v>25</x:v>
      </x:c>
      <x:c r="G122" s="18" t="n">
        <x:f>ROUNDUP(F122*(1+D122),0)</x:f>
        <x:v>25</x:v>
      </x:c>
      <x:c r="H122" s="18" t="n">
        <x:f>INDEX('Dated offers'!$F$7:$F$305,MATCH($Z122,'Dated offers'!$A$7:$A$305,0))</x:f>
        <x:v>1</x:v>
      </x:c>
      <x:c r="I122" s="18" t="n">
        <x:f>INDEX('Dated offers'!$G$7:$G$305,MATCH($Z122,'Dated offers'!$A$7:$A$305,0))</x:f>
        <x:v>1</x:v>
      </x:c>
      <x:c r="J122" s="18" t="n">
        <x:f>CEILING(MAX(G122,H122),I122)</x:f>
        <x:v>25</x:v>
      </x:c>
      <x:c r="K122" s="18" t="n">
        <x:v>25</x:v>
      </x:c>
      <x:c r="L122" s="18" t="n">
        <x:f>INDEX('Dated offers'!$I$7:$I$305,MATCH($Z122,'Dated offers'!$A$7:$A$305,0))</x:f>
        <x:v>25</x:v>
      </x:c>
      <x:c r="M122" s="25" t="n">
        <x:f>INDEX('Dated offers'!$J$7:$J$305,MATCH($Z122,'Dated offers'!$A$7:$A$305,0))</x:f>
        <x:v>0.2496</x:v>
      </x:c>
      <x:c r="N122" s="25" t="n">
        <x:f>INDEX('Dated offers'!$K$7:$K$305,MATCH($Z122,'Dated offers'!$A$7:$A$305,0))</x:f>
        <x:v>0</x:v>
      </x:c>
      <x:c r="O122" s="25" t="n">
        <x:f>F122*M122</x:f>
        <x:v>6.239999999999999</x:v>
      </x:c>
      <x:c r="P122" s="25" t="n">
        <x:f>G122*M122</x:f>
        <x:v>6.239999999999999</x:v>
      </x:c>
      <x:c r="Q122" s="25" t="n">
        <x:f>K122*M122+N122</x:f>
        <x:v>6.239999999999999</x:v>
      </x:c>
      <x:c r="R122" s="18" t="n">
        <x:f>K122-G122</x:f>
        <x:v>0</x:v>
      </x:c>
      <x:c r="S122" s="18" t="n">
        <x:f>INDEX('Dated offers'!$H$7:$H$305,MATCH($Z122,'Dated offers'!$A$7:$A$305,0))</x:f>
        <x:v>7107</x:v>
      </x:c>
      <x:c r="T122" s="2" t="str">
        <x:f>IF(K122&lt;G122,"Order below requirement",IF(K122&lt;L122,"Below price tier",IF(ISNUMBER(S122),IF(K122&gt;S122,"Quantity exceeds snapshot","Within quantity snapshot"),"Stock not stated")))</x:f>
        <x:v>Within quantity snapshot</x:v>
      </x:c>
      <x:c r="U122" s="2" t="str">
        <x:f>INDEX('Dated offers'!$C$7:$C$305,MATCH($Z122,'Dated offers'!$A$7:$A$305,0))</x:f>
        <x:v>DigiKey</x:v>
      </x:c>
      <x:c r="V122" s="2" t="str">
        <x:f>INDEX('Dated offers'!$D$7:$D$305,MATCH($Z122,'Dated offers'!$A$7:$A$305,0))</x:f>
        <x:v>Not stated</x:v>
      </x:c>
      <x:c r="W122" s="24" t="n">
        <x:f>INDEX('Dated offers'!$E$7:$E$305,MATCH($Z122,'Dated offers'!$A$7:$A$305,0))</x:f>
        <x:v>46307.478072708334</x:v>
      </x:c>
      <x:c r="X122" s="2" t="b">
        <x:f>INDEX('Dated offers'!$N$7:$N$305,MATCH($Z122,'Dated offers'!$A$7:$A$305,0))</x:f>
        <x:v>0</x:v>
      </x:c>
      <x:c r="Y122" s="2" t="str">
        <x:f>INDEX('Dated offers'!$O$7:$O$305,MATCH($Z122,'Dated offers'!$A$7:$A$305,0))</x:f>
        <x:v>Unreserved inventory snapshot</x:v>
      </x:c>
      <x:c r="Z122" s="17" t="str">
        <x:v>OF0116</x:v>
      </x:c>
      <x:c r="AA122" s="2"/>
      <x:c r="AB122" s="2" t="str">
        <x:f>INDEX('Dated offers'!$Q$7:$Q$305,MATCH($Z122,'Dated offers'!$A$7:$A$305,0))</x:f>
        <x:v>https://www.digikey.com/en/products/detail/texas-instruments/SN74AUP1G17DBVR/864081</x:v>
      </x:c>
    </x:row>
    <x:row r="123" ht="24" customHeight="1">
      <x:c r="A123" s="2" t="str">
        <x:v>25 boards / nominal</x:v>
      </x:c>
      <x:c r="B123" s="17" t="str">
        <x:v>SN74AXC8T245PWR</x:v>
      </x:c>
      <x:c r="C123" s="18" t="n">
        <x:v>25</x:v>
      </x:c>
      <x:c r="D123" s="27" t="n">
        <x:v>0</x:v>
      </x:c>
      <x:c r="E123" s="18" t="n">
        <x:f>INDEX('Assembly BOM'!$C$7:$C$162,MATCH($B123,'Assembly BOM'!$A$7:$A$162,0))</x:f>
        <x:v>1</x:v>
      </x:c>
      <x:c r="F123" s="18" t="n">
        <x:f>C123*E123</x:f>
        <x:v>25</x:v>
      </x:c>
      <x:c r="G123" s="18" t="n">
        <x:f>ROUNDUP(F123*(1+D123),0)</x:f>
        <x:v>25</x:v>
      </x:c>
      <x:c r="H123" s="18" t="n">
        <x:f>INDEX('Dated offers'!$F$7:$F$305,MATCH($Z123,'Dated offers'!$A$7:$A$305,0))</x:f>
        <x:v>1</x:v>
      </x:c>
      <x:c r="I123" s="18" t="n">
        <x:f>INDEX('Dated offers'!$G$7:$G$305,MATCH($Z123,'Dated offers'!$A$7:$A$305,0))</x:f>
        <x:v>1</x:v>
      </x:c>
      <x:c r="J123" s="18" t="n">
        <x:f>CEILING(MAX(G123,H123),I123)</x:f>
        <x:v>25</x:v>
      </x:c>
      <x:c r="K123" s="18" t="n">
        <x:v>25</x:v>
      </x:c>
      <x:c r="L123" s="18" t="n">
        <x:f>INDEX('Dated offers'!$I$7:$I$305,MATCH($Z123,'Dated offers'!$A$7:$A$305,0))</x:f>
        <x:v>10</x:v>
      </x:c>
      <x:c r="M123" s="25" t="n">
        <x:f>INDEX('Dated offers'!$J$7:$J$305,MATCH($Z123,'Dated offers'!$A$7:$A$305,0))</x:f>
        <x:v>0.9272</x:v>
      </x:c>
      <x:c r="N123" s="25" t="n">
        <x:f>INDEX('Dated offers'!$K$7:$K$305,MATCH($Z123,'Dated offers'!$A$7:$A$305,0))</x:f>
        <x:v>0</x:v>
      </x:c>
      <x:c r="O123" s="25" t="n">
        <x:f>F123*M123</x:f>
        <x:v>23.18</x:v>
      </x:c>
      <x:c r="P123" s="25" t="n">
        <x:f>G123*M123</x:f>
        <x:v>23.18</x:v>
      </x:c>
      <x:c r="Q123" s="25" t="n">
        <x:f>K123*M123+N123</x:f>
        <x:v>23.18</x:v>
      </x:c>
      <x:c r="R123" s="18" t="n">
        <x:f>K123-G123</x:f>
        <x:v>0</x:v>
      </x:c>
      <x:c r="S123" s="18" t="n">
        <x:f>INDEX('Dated offers'!$H$7:$H$305,MATCH($Z123,'Dated offers'!$A$7:$A$305,0))</x:f>
        <x:v>9132</x:v>
      </x:c>
      <x:c r="T123" s="2" t="str">
        <x:f>IF(K123&lt;G123,"Order below requirement",IF(K123&lt;L123,"Below price tier",IF(ISNUMBER(S123),IF(K123&gt;S123,"Quantity exceeds snapshot","Within quantity snapshot"),"Stock not stated")))</x:f>
        <x:v>Within quantity snapshot</x:v>
      </x:c>
      <x:c r="U123" s="2" t="str">
        <x:f>INDEX('Dated offers'!$C$7:$C$305,MATCH($Z123,'Dated offers'!$A$7:$A$305,0))</x:f>
        <x:v>LCSC</x:v>
      </x:c>
      <x:c r="V123" s="2" t="str">
        <x:f>INDEX('Dated offers'!$D$7:$D$305,MATCH($Z123,'Dated offers'!$A$7:$A$305,0))</x:f>
        <x:v>C882718</x:v>
      </x:c>
      <x:c r="W123" s="24" t="n">
        <x:f>INDEX('Dated offers'!$E$7:$E$305,MATCH($Z123,'Dated offers'!$A$7:$A$305,0))</x:f>
        <x:v>46307.447469618055</x:v>
      </x:c>
      <x:c r="X123" s="2" t="b">
        <x:f>INDEX('Dated offers'!$N$7:$N$305,MATCH($Z123,'Dated offers'!$A$7:$A$305,0))</x:f>
        <x:v>0</x:v>
      </x:c>
      <x:c r="Y123" s="2" t="str">
        <x:f>INDEX('Dated offers'!$O$7:$O$305,MATCH($Z123,'Dated offers'!$A$7:$A$305,0))</x:f>
        <x:v>Unreserved inventory snapshot</x:v>
      </x:c>
      <x:c r="Z123" s="17" t="str">
        <x:v>OF0117</x:v>
      </x:c>
      <x:c r="AA123" s="2"/>
      <x:c r="AB123" s="2" t="str">
        <x:f>INDEX('Dated offers'!$Q$7:$Q$305,MATCH($Z123,'Dated offers'!$A$7:$A$305,0))</x:f>
        <x:v>https://www.lcsc.com/product-detail/C882718.html</x:v>
      </x:c>
    </x:row>
    <x:row r="124" ht="24" customHeight="1">
      <x:c r="A124" s="2" t="str">
        <x:v>25 boards / nominal</x:v>
      </x:c>
      <x:c r="B124" s="17" t="str">
        <x:v>SN74LVC1G00DBVR</x:v>
      </x:c>
      <x:c r="C124" s="18" t="n">
        <x:v>25</x:v>
      </x:c>
      <x:c r="D124" s="27" t="n">
        <x:v>0</x:v>
      </x:c>
      <x:c r="E124" s="18" t="n">
        <x:f>INDEX('Assembly BOM'!$C$7:$C$162,MATCH($B124,'Assembly BOM'!$A$7:$A$162,0))</x:f>
        <x:v>2</x:v>
      </x:c>
      <x:c r="F124" s="18" t="n">
        <x:f>C124*E124</x:f>
        <x:v>50</x:v>
      </x:c>
      <x:c r="G124" s="18" t="n">
        <x:f>ROUNDUP(F124*(1+D124),0)</x:f>
        <x:v>50</x:v>
      </x:c>
      <x:c r="H124" s="18" t="n">
        <x:f>INDEX('Dated offers'!$F$7:$F$305,MATCH($Z124,'Dated offers'!$A$7:$A$305,0))</x:f>
        <x:v>5</x:v>
      </x:c>
      <x:c r="I124" s="18" t="n">
        <x:f>INDEX('Dated offers'!$G$7:$G$305,MATCH($Z124,'Dated offers'!$A$7:$A$305,0))</x:f>
        <x:v>5</x:v>
      </x:c>
      <x:c r="J124" s="18" t="n">
        <x:f>CEILING(MAX(G124,H124),I124)</x:f>
        <x:v>50</x:v>
      </x:c>
      <x:c r="K124" s="18" t="n">
        <x:v>50</x:v>
      </x:c>
      <x:c r="L124" s="18" t="n">
        <x:f>INDEX('Dated offers'!$I$7:$I$305,MATCH($Z124,'Dated offers'!$A$7:$A$305,0))</x:f>
        <x:v>50</x:v>
      </x:c>
      <x:c r="M124" s="25" t="n">
        <x:f>INDEX('Dated offers'!$J$7:$J$305,MATCH($Z124,'Dated offers'!$A$7:$A$305,0))</x:f>
        <x:v>0.103</x:v>
      </x:c>
      <x:c r="N124" s="25" t="n">
        <x:f>INDEX('Dated offers'!$K$7:$K$305,MATCH($Z124,'Dated offers'!$A$7:$A$305,0))</x:f>
        <x:v>0</x:v>
      </x:c>
      <x:c r="O124" s="25" t="n">
        <x:f>F124*M124</x:f>
        <x:v>5.1499999999999995</x:v>
      </x:c>
      <x:c r="P124" s="25" t="n">
        <x:f>G124*M124</x:f>
        <x:v>5.1499999999999995</x:v>
      </x:c>
      <x:c r="Q124" s="25" t="n">
        <x:f>K124*M124+N124</x:f>
        <x:v>5.1499999999999995</x:v>
      </x:c>
      <x:c r="R124" s="18" t="n">
        <x:f>K124-G124</x:f>
        <x:v>0</x:v>
      </x:c>
      <x:c r="S124" s="18" t="n">
        <x:f>INDEX('Dated offers'!$H$7:$H$305,MATCH($Z124,'Dated offers'!$A$7:$A$305,0))</x:f>
        <x:v>4575</x:v>
      </x:c>
      <x:c r="T124" s="2" t="str">
        <x:f>IF(K124&lt;G124,"Order below requirement",IF(K124&lt;L124,"Below price tier",IF(ISNUMBER(S124),IF(K124&gt;S124,"Quantity exceeds snapshot","Within quantity snapshot"),"Stock not stated")))</x:f>
        <x:v>Within quantity snapshot</x:v>
      </x:c>
      <x:c r="U124" s="2" t="str">
        <x:f>INDEX('Dated offers'!$C$7:$C$305,MATCH($Z124,'Dated offers'!$A$7:$A$305,0))</x:f>
        <x:v>LCSC</x:v>
      </x:c>
      <x:c r="V124" s="2" t="str">
        <x:f>INDEX('Dated offers'!$D$7:$D$305,MATCH($Z124,'Dated offers'!$A$7:$A$305,0))</x:f>
        <x:v>C7826</x:v>
      </x:c>
      <x:c r="W124" s="24" t="n">
        <x:f>INDEX('Dated offers'!$E$7:$E$305,MATCH($Z124,'Dated offers'!$A$7:$A$305,0))</x:f>
        <x:v>46307.447470416664</x:v>
      </x:c>
      <x:c r="X124" s="2" t="b">
        <x:f>INDEX('Dated offers'!$N$7:$N$305,MATCH($Z124,'Dated offers'!$A$7:$A$305,0))</x:f>
        <x:v>0</x:v>
      </x:c>
      <x:c r="Y124" s="2" t="str">
        <x:f>INDEX('Dated offers'!$O$7:$O$305,MATCH($Z124,'Dated offers'!$A$7:$A$305,0))</x:f>
        <x:v>Unreserved inventory snapshot</x:v>
      </x:c>
      <x:c r="Z124" s="17" t="str">
        <x:v>OF0118</x:v>
      </x:c>
      <x:c r="AA124" s="2"/>
      <x:c r="AB124" s="2" t="str">
        <x:f>INDEX('Dated offers'!$Q$7:$Q$305,MATCH($Z124,'Dated offers'!$A$7:$A$305,0))</x:f>
        <x:v>https://www.lcsc.com/product-detail/C7826.html</x:v>
      </x:c>
    </x:row>
    <x:row r="125" ht="24" customHeight="1">
      <x:c r="A125" s="2" t="str">
        <x:v>25 boards / nominal</x:v>
      </x:c>
      <x:c r="B125" s="17" t="str">
        <x:v>SN74LVC1G04DBVR</x:v>
      </x:c>
      <x:c r="C125" s="18" t="n">
        <x:v>25</x:v>
      </x:c>
      <x:c r="D125" s="27" t="n">
        <x:v>0</x:v>
      </x:c>
      <x:c r="E125" s="18" t="n">
        <x:f>INDEX('Assembly BOM'!$C$7:$C$162,MATCH($B125,'Assembly BOM'!$A$7:$A$162,0))</x:f>
        <x:v>1</x:v>
      </x:c>
      <x:c r="F125" s="18" t="n">
        <x:f>C125*E125</x:f>
        <x:v>25</x:v>
      </x:c>
      <x:c r="G125" s="18" t="n">
        <x:f>ROUNDUP(F125*(1+D125),0)</x:f>
        <x:v>25</x:v>
      </x:c>
      <x:c r="H125" s="18" t="n">
        <x:f>INDEX('Dated offers'!$F$7:$F$305,MATCH($Z125,'Dated offers'!$A$7:$A$305,0))</x:f>
        <x:v>1</x:v>
      </x:c>
      <x:c r="I125" s="18" t="n">
        <x:f>INDEX('Dated offers'!$G$7:$G$305,MATCH($Z125,'Dated offers'!$A$7:$A$305,0))</x:f>
        <x:v>1</x:v>
      </x:c>
      <x:c r="J125" s="18" t="n">
        <x:f>CEILING(MAX(G125,H125),I125)</x:f>
        <x:v>25</x:v>
      </x:c>
      <x:c r="K125" s="18" t="n">
        <x:v>25</x:v>
      </x:c>
      <x:c r="L125" s="18" t="n">
        <x:f>INDEX('Dated offers'!$I$7:$I$305,MATCH($Z125,'Dated offers'!$A$7:$A$305,0))</x:f>
        <x:v>25</x:v>
      </x:c>
      <x:c r="M125" s="25" t="n">
        <x:f>INDEX('Dated offers'!$J$7:$J$305,MATCH($Z125,'Dated offers'!$A$7:$A$305,0))</x:f>
        <x:v>0.0868</x:v>
      </x:c>
      <x:c r="N125" s="25" t="n">
        <x:f>INDEX('Dated offers'!$K$7:$K$305,MATCH($Z125,'Dated offers'!$A$7:$A$305,0))</x:f>
        <x:v>0</x:v>
      </x:c>
      <x:c r="O125" s="25" t="n">
        <x:f>F125*M125</x:f>
        <x:v>2.17</x:v>
      </x:c>
      <x:c r="P125" s="25" t="n">
        <x:f>G125*M125</x:f>
        <x:v>2.17</x:v>
      </x:c>
      <x:c r="Q125" s="25" t="n">
        <x:f>K125*M125+N125</x:f>
        <x:v>2.17</x:v>
      </x:c>
      <x:c r="R125" s="18" t="n">
        <x:f>K125-G125</x:f>
        <x:v>0</x:v>
      </x:c>
      <x:c r="S125" s="18" t="n">
        <x:f>INDEX('Dated offers'!$H$7:$H$305,MATCH($Z125,'Dated offers'!$A$7:$A$305,0))</x:f>
        <x:v>353596</x:v>
      </x:c>
      <x:c r="T125" s="2" t="str">
        <x:f>IF(K125&lt;G125,"Order below requirement",IF(K125&lt;L125,"Below price tier",IF(ISNUMBER(S125),IF(K125&gt;S125,"Quantity exceeds snapshot","Within quantity snapshot"),"Stock not stated")))</x:f>
        <x:v>Within quantity snapshot</x:v>
      </x:c>
      <x:c r="U125" s="2" t="str">
        <x:f>INDEX('Dated offers'!$C$7:$C$305,MATCH($Z125,'Dated offers'!$A$7:$A$305,0))</x:f>
        <x:v>DigiKey</x:v>
      </x:c>
      <x:c r="V125" s="2" t="str">
        <x:f>INDEX('Dated offers'!$D$7:$D$305,MATCH($Z125,'Dated offers'!$A$7:$A$305,0))</x:f>
        <x:v>Not stated</x:v>
      </x:c>
      <x:c r="W125" s="24" t="n">
        <x:f>INDEX('Dated offers'!$E$7:$E$305,MATCH($Z125,'Dated offers'!$A$7:$A$305,0))</x:f>
        <x:v>46307.478072708334</x:v>
      </x:c>
      <x:c r="X125" s="2" t="b">
        <x:f>INDEX('Dated offers'!$N$7:$N$305,MATCH($Z125,'Dated offers'!$A$7:$A$305,0))</x:f>
        <x:v>0</x:v>
      </x:c>
      <x:c r="Y125" s="2" t="str">
        <x:f>INDEX('Dated offers'!$O$7:$O$305,MATCH($Z125,'Dated offers'!$A$7:$A$305,0))</x:f>
        <x:v>Unreserved inventory snapshot</x:v>
      </x:c>
      <x:c r="Z125" s="17" t="str">
        <x:v>OF0119</x:v>
      </x:c>
      <x:c r="AA125" s="2"/>
      <x:c r="AB125" s="2" t="str">
        <x:f>INDEX('Dated offers'!$Q$7:$Q$305,MATCH($Z125,'Dated offers'!$A$7:$A$305,0))</x:f>
        <x:v>https://www.digikey.com/en/products/detail/texas-instruments/SN74LVC1G04DBVR/385716</x:v>
      </x:c>
    </x:row>
    <x:row r="126" ht="24" customHeight="1">
      <x:c r="A126" s="2" t="str">
        <x:v>25 boards / nominal</x:v>
      </x:c>
      <x:c r="B126" s="17" t="str">
        <x:v>SN74LVC1G08DBVR</x:v>
      </x:c>
      <x:c r="C126" s="18" t="n">
        <x:v>25</x:v>
      </x:c>
      <x:c r="D126" s="27" t="n">
        <x:v>0</x:v>
      </x:c>
      <x:c r="E126" s="18" t="n">
        <x:f>INDEX('Assembly BOM'!$C$7:$C$162,MATCH($B126,'Assembly BOM'!$A$7:$A$162,0))</x:f>
        <x:v>2</x:v>
      </x:c>
      <x:c r="F126" s="18" t="n">
        <x:f>C126*E126</x:f>
        <x:v>50</x:v>
      </x:c>
      <x:c r="G126" s="18" t="n">
        <x:f>ROUNDUP(F126*(1+D126),0)</x:f>
        <x:v>50</x:v>
      </x:c>
      <x:c r="H126" s="18" t="n">
        <x:f>INDEX('Dated offers'!$F$7:$F$305,MATCH($Z126,'Dated offers'!$A$7:$A$305,0))</x:f>
        <x:v>1</x:v>
      </x:c>
      <x:c r="I126" s="18" t="n">
        <x:f>INDEX('Dated offers'!$G$7:$G$305,MATCH($Z126,'Dated offers'!$A$7:$A$305,0))</x:f>
        <x:v>1</x:v>
      </x:c>
      <x:c r="J126" s="18" t="n">
        <x:f>CEILING(MAX(G126,H126),I126)</x:f>
        <x:v>50</x:v>
      </x:c>
      <x:c r="K126" s="18" t="n">
        <x:v>50</x:v>
      </x:c>
      <x:c r="L126" s="18" t="n">
        <x:f>INDEX('Dated offers'!$I$7:$I$305,MATCH($Z126,'Dated offers'!$A$7:$A$305,0))</x:f>
        <x:v>25</x:v>
      </x:c>
      <x:c r="M126" s="25" t="n">
        <x:f>INDEX('Dated offers'!$J$7:$J$305,MATCH($Z126,'Dated offers'!$A$7:$A$305,0))</x:f>
        <x:v>0.0712</x:v>
      </x:c>
      <x:c r="N126" s="25" t="n">
        <x:f>INDEX('Dated offers'!$K$7:$K$305,MATCH($Z126,'Dated offers'!$A$7:$A$305,0))</x:f>
        <x:v>0</x:v>
      </x:c>
      <x:c r="O126" s="25" t="n">
        <x:f>F126*M126</x:f>
        <x:v>3.56</x:v>
      </x:c>
      <x:c r="P126" s="25" t="n">
        <x:f>G126*M126</x:f>
        <x:v>3.56</x:v>
      </x:c>
      <x:c r="Q126" s="25" t="n">
        <x:f>K126*M126+N126</x:f>
        <x:v>3.56</x:v>
      </x:c>
      <x:c r="R126" s="18" t="n">
        <x:f>K126-G126</x:f>
        <x:v>0</x:v>
      </x:c>
      <x:c r="S126" s="18" t="n">
        <x:f>INDEX('Dated offers'!$H$7:$H$305,MATCH($Z126,'Dated offers'!$A$7:$A$305,0))</x:f>
        <x:v>112885</x:v>
      </x:c>
      <x:c r="T126" s="2" t="str">
        <x:f>IF(K126&lt;G126,"Order below requirement",IF(K126&lt;L126,"Below price tier",IF(ISNUMBER(S126),IF(K126&gt;S126,"Quantity exceeds snapshot","Within quantity snapshot"),"Stock not stated")))</x:f>
        <x:v>Within quantity snapshot</x:v>
      </x:c>
      <x:c r="U126" s="2" t="str">
        <x:f>INDEX('Dated offers'!$C$7:$C$305,MATCH($Z126,'Dated offers'!$A$7:$A$305,0))</x:f>
        <x:v>DigiKey</x:v>
      </x:c>
      <x:c r="V126" s="2" t="str">
        <x:f>INDEX('Dated offers'!$D$7:$D$305,MATCH($Z126,'Dated offers'!$A$7:$A$305,0))</x:f>
        <x:v>Not stated</x:v>
      </x:c>
      <x:c r="W126" s="24" t="n">
        <x:f>INDEX('Dated offers'!$E$7:$E$305,MATCH($Z126,'Dated offers'!$A$7:$A$305,0))</x:f>
        <x:v>46307.47807271991</x:v>
      </x:c>
      <x:c r="X126" s="2" t="b">
        <x:f>INDEX('Dated offers'!$N$7:$N$305,MATCH($Z126,'Dated offers'!$A$7:$A$305,0))</x:f>
        <x:v>0</x:v>
      </x:c>
      <x:c r="Y126" s="2" t="str">
        <x:f>INDEX('Dated offers'!$O$7:$O$305,MATCH($Z126,'Dated offers'!$A$7:$A$305,0))</x:f>
        <x:v>Unreserved inventory snapshot</x:v>
      </x:c>
      <x:c r="Z126" s="17" t="str">
        <x:v>OF0120</x:v>
      </x:c>
      <x:c r="AA126" s="2"/>
      <x:c r="AB126" s="2" t="str">
        <x:f>INDEX('Dated offers'!$Q$7:$Q$305,MATCH($Z126,'Dated offers'!$A$7:$A$305,0))</x:f>
        <x:v>https://www.digikey.com/en/products/detail/texas-instruments/SN74LVC1G08DBVR/385718</x:v>
      </x:c>
    </x:row>
    <x:row r="127" ht="24" customHeight="1">
      <x:c r="A127" s="2" t="str">
        <x:v>25 boards / nominal</x:v>
      </x:c>
      <x:c r="B127" s="17" t="str">
        <x:v>SN74LVC1G11DBVR</x:v>
      </x:c>
      <x:c r="C127" s="18" t="n">
        <x:v>25</x:v>
      </x:c>
      <x:c r="D127" s="27" t="n">
        <x:v>0</x:v>
      </x:c>
      <x:c r="E127" s="18" t="n">
        <x:f>INDEX('Assembly BOM'!$C$7:$C$162,MATCH($B127,'Assembly BOM'!$A$7:$A$162,0))</x:f>
        <x:v>3</x:v>
      </x:c>
      <x:c r="F127" s="18" t="n">
        <x:f>C127*E127</x:f>
        <x:v>75</x:v>
      </x:c>
      <x:c r="G127" s="18" t="n">
        <x:f>ROUNDUP(F127*(1+D127),0)</x:f>
        <x:v>75</x:v>
      </x:c>
      <x:c r="H127" s="18" t="n">
        <x:f>INDEX('Dated offers'!$F$7:$F$305,MATCH($Z127,'Dated offers'!$A$7:$A$305,0))</x:f>
        <x:v>1</x:v>
      </x:c>
      <x:c r="I127" s="18" t="n">
        <x:f>INDEX('Dated offers'!$G$7:$G$305,MATCH($Z127,'Dated offers'!$A$7:$A$305,0))</x:f>
        <x:v>1</x:v>
      </x:c>
      <x:c r="J127" s="18" t="n">
        <x:f>CEILING(MAX(G127,H127),I127)</x:f>
        <x:v>75</x:v>
      </x:c>
      <x:c r="K127" s="18" t="n">
        <x:v>75</x:v>
      </x:c>
      <x:c r="L127" s="18" t="n">
        <x:f>INDEX('Dated offers'!$I$7:$I$305,MATCH($Z127,'Dated offers'!$A$7:$A$305,0))</x:f>
        <x:v>25</x:v>
      </x:c>
      <x:c r="M127" s="25" t="n">
        <x:f>INDEX('Dated offers'!$J$7:$J$305,MATCH($Z127,'Dated offers'!$A$7:$A$305,0))</x:f>
        <x:v>0.234</x:v>
      </x:c>
      <x:c r="N127" s="25" t="n">
        <x:f>INDEX('Dated offers'!$K$7:$K$305,MATCH($Z127,'Dated offers'!$A$7:$A$305,0))</x:f>
        <x:v>0</x:v>
      </x:c>
      <x:c r="O127" s="25" t="n">
        <x:f>F127*M127</x:f>
        <x:v>17.55</x:v>
      </x:c>
      <x:c r="P127" s="25" t="n">
        <x:f>G127*M127</x:f>
        <x:v>17.55</x:v>
      </x:c>
      <x:c r="Q127" s="25" t="n">
        <x:f>K127*M127+N127</x:f>
        <x:v>17.55</x:v>
      </x:c>
      <x:c r="R127" s="18" t="n">
        <x:f>K127-G127</x:f>
        <x:v>0</x:v>
      </x:c>
      <x:c r="S127" s="18" t="n">
        <x:f>INDEX('Dated offers'!$H$7:$H$305,MATCH($Z127,'Dated offers'!$A$7:$A$305,0))</x:f>
        <x:v>90366</x:v>
      </x:c>
      <x:c r="T127" s="2" t="str">
        <x:f>IF(K127&lt;G127,"Order below requirement",IF(K127&lt;L127,"Below price tier",IF(ISNUMBER(S127),IF(K127&gt;S127,"Quantity exceeds snapshot","Within quantity snapshot"),"Stock not stated")))</x:f>
        <x:v>Within quantity snapshot</x:v>
      </x:c>
      <x:c r="U127" s="2" t="str">
        <x:f>INDEX('Dated offers'!$C$7:$C$305,MATCH($Z127,'Dated offers'!$A$7:$A$305,0))</x:f>
        <x:v>DigiKey</x:v>
      </x:c>
      <x:c r="V127" s="2" t="str">
        <x:f>INDEX('Dated offers'!$D$7:$D$305,MATCH($Z127,'Dated offers'!$A$7:$A$305,0))</x:f>
        <x:v>Not stated</x:v>
      </x:c>
      <x:c r="W127" s="24" t="n">
        <x:f>INDEX('Dated offers'!$E$7:$E$305,MATCH($Z127,'Dated offers'!$A$7:$A$305,0))</x:f>
        <x:v>46307.478072708334</x:v>
      </x:c>
      <x:c r="X127" s="2" t="b">
        <x:f>INDEX('Dated offers'!$N$7:$N$305,MATCH($Z127,'Dated offers'!$A$7:$A$305,0))</x:f>
        <x:v>0</x:v>
      </x:c>
      <x:c r="Y127" s="2" t="str">
        <x:f>INDEX('Dated offers'!$O$7:$O$305,MATCH($Z127,'Dated offers'!$A$7:$A$305,0))</x:f>
        <x:v>Unreserved inventory snapshot</x:v>
      </x:c>
      <x:c r="Z127" s="17" t="str">
        <x:v>OF0121</x:v>
      </x:c>
      <x:c r="AA127" s="2"/>
      <x:c r="AB127" s="2" t="str">
        <x:f>INDEX('Dated offers'!$Q$7:$Q$305,MATCH($Z127,'Dated offers'!$A$7:$A$305,0))</x:f>
        <x:v>https://www.digikey.com/en/products/detail/texas-instruments/SN74LVC1G11DBVR/637182</x:v>
      </x:c>
    </x:row>
    <x:row r="128" ht="24" customHeight="1">
      <x:c r="A128" s="2" t="str">
        <x:v>25 boards / nominal</x:v>
      </x:c>
      <x:c r="B128" s="17" t="str">
        <x:v>SN74LVC1G32DBVR</x:v>
      </x:c>
      <x:c r="C128" s="18" t="n">
        <x:v>25</x:v>
      </x:c>
      <x:c r="D128" s="27" t="n">
        <x:v>0</x:v>
      </x:c>
      <x:c r="E128" s="18" t="n">
        <x:f>INDEX('Assembly BOM'!$C$7:$C$162,MATCH($B128,'Assembly BOM'!$A$7:$A$162,0))</x:f>
        <x:v>1</x:v>
      </x:c>
      <x:c r="F128" s="18" t="n">
        <x:f>C128*E128</x:f>
        <x:v>25</x:v>
      </x:c>
      <x:c r="G128" s="18" t="n">
        <x:f>ROUNDUP(F128*(1+D128),0)</x:f>
        <x:v>25</x:v>
      </x:c>
      <x:c r="H128" s="18" t="n">
        <x:f>INDEX('Dated offers'!$F$7:$F$305,MATCH($Z128,'Dated offers'!$A$7:$A$305,0))</x:f>
        <x:v>10</x:v>
      </x:c>
      <x:c r="I128" s="18" t="n">
        <x:f>INDEX('Dated offers'!$G$7:$G$305,MATCH($Z128,'Dated offers'!$A$7:$A$305,0))</x:f>
        <x:v>10</x:v>
      </x:c>
      <x:c r="J128" s="18" t="n">
        <x:f>CEILING(MAX(G128,H128),I128)</x:f>
        <x:v>30</x:v>
      </x:c>
      <x:c r="K128" s="18" t="n">
        <x:v>30</x:v>
      </x:c>
      <x:c r="L128" s="18" t="n">
        <x:f>INDEX('Dated offers'!$I$7:$I$305,MATCH($Z128,'Dated offers'!$A$7:$A$305,0))</x:f>
        <x:v>10</x:v>
      </x:c>
      <x:c r="M128" s="25" t="n">
        <x:f>INDEX('Dated offers'!$J$7:$J$305,MATCH($Z128,'Dated offers'!$A$7:$A$305,0))</x:f>
        <x:v>0.0715</x:v>
      </x:c>
      <x:c r="N128" s="25" t="n">
        <x:f>INDEX('Dated offers'!$K$7:$K$305,MATCH($Z128,'Dated offers'!$A$7:$A$305,0))</x:f>
        <x:v>0</x:v>
      </x:c>
      <x:c r="O128" s="25" t="n">
        <x:f>F128*M128</x:f>
        <x:v>1.7874999999999999</x:v>
      </x:c>
      <x:c r="P128" s="25" t="n">
        <x:f>G128*M128</x:f>
        <x:v>1.7874999999999999</x:v>
      </x:c>
      <x:c r="Q128" s="25" t="n">
        <x:f>K128*M128+N128</x:f>
        <x:v>2.145</x:v>
      </x:c>
      <x:c r="R128" s="18" t="n">
        <x:f>K128-G128</x:f>
        <x:v>5</x:v>
      </x:c>
      <x:c r="S128" s="18" t="n">
        <x:f>INDEX('Dated offers'!$H$7:$H$305,MATCH($Z128,'Dated offers'!$A$7:$A$305,0))</x:f>
        <x:v>108990</x:v>
      </x:c>
      <x:c r="T128" s="2" t="str">
        <x:f>IF(K128&lt;G128,"Order below requirement",IF(K128&lt;L128,"Below price tier",IF(ISNUMBER(S128),IF(K128&gt;S128,"Quantity exceeds snapshot","Within quantity snapshot"),"Stock not stated")))</x:f>
        <x:v>Within quantity snapshot</x:v>
      </x:c>
      <x:c r="U128" s="2" t="str">
        <x:f>INDEX('Dated offers'!$C$7:$C$305,MATCH($Z128,'Dated offers'!$A$7:$A$305,0))</x:f>
        <x:v>LCSC</x:v>
      </x:c>
      <x:c r="V128" s="2" t="str">
        <x:f>INDEX('Dated offers'!$D$7:$D$305,MATCH($Z128,'Dated offers'!$A$7:$A$305,0))</x:f>
        <x:v>C10096</x:v>
      </x:c>
      <x:c r="W128" s="24" t="n">
        <x:f>INDEX('Dated offers'!$E$7:$E$305,MATCH($Z128,'Dated offers'!$A$7:$A$305,0))</x:f>
        <x:v>46307.447472025466</x:v>
      </x:c>
      <x:c r="X128" s="2" t="b">
        <x:f>INDEX('Dated offers'!$N$7:$N$305,MATCH($Z128,'Dated offers'!$A$7:$A$305,0))</x:f>
        <x:v>0</x:v>
      </x:c>
      <x:c r="Y128" s="2" t="str">
        <x:f>INDEX('Dated offers'!$O$7:$O$305,MATCH($Z128,'Dated offers'!$A$7:$A$305,0))</x:f>
        <x:v>Unreserved inventory snapshot</x:v>
      </x:c>
      <x:c r="Z128" s="17" t="str">
        <x:v>OF0122</x:v>
      </x:c>
      <x:c r="AA128" s="2"/>
      <x:c r="AB128" s="2" t="str">
        <x:f>INDEX('Dated offers'!$Q$7:$Q$305,MATCH($Z128,'Dated offers'!$A$7:$A$305,0))</x:f>
        <x:v>https://www.lcsc.com/product-detail/C10096.html</x:v>
      </x:c>
    </x:row>
    <x:row r="129" ht="24" customHeight="1">
      <x:c r="A129" s="2" t="str">
        <x:v>25 boards / nominal</x:v>
      </x:c>
      <x:c r="B129" s="17" t="str">
        <x:v>SN74LVC1G97DBVR</x:v>
      </x:c>
      <x:c r="C129" s="18" t="n">
        <x:v>25</x:v>
      </x:c>
      <x:c r="D129" s="27" t="n">
        <x:v>0</x:v>
      </x:c>
      <x:c r="E129" s="18" t="n">
        <x:f>INDEX('Assembly BOM'!$C$7:$C$162,MATCH($B129,'Assembly BOM'!$A$7:$A$162,0))</x:f>
        <x:v>3</x:v>
      </x:c>
      <x:c r="F129" s="18" t="n">
        <x:f>C129*E129</x:f>
        <x:v>75</x:v>
      </x:c>
      <x:c r="G129" s="18" t="n">
        <x:f>ROUNDUP(F129*(1+D129),0)</x:f>
        <x:v>75</x:v>
      </x:c>
      <x:c r="H129" s="18" t="n">
        <x:f>INDEX('Dated offers'!$F$7:$F$305,MATCH($Z129,'Dated offers'!$A$7:$A$305,0))</x:f>
        <x:v>1</x:v>
      </x:c>
      <x:c r="I129" s="18" t="n">
        <x:f>INDEX('Dated offers'!$G$7:$G$305,MATCH($Z129,'Dated offers'!$A$7:$A$305,0))</x:f>
        <x:v>1</x:v>
      </x:c>
      <x:c r="J129" s="18" t="n">
        <x:f>CEILING(MAX(G129,H129),I129)</x:f>
        <x:v>75</x:v>
      </x:c>
      <x:c r="K129" s="18" t="n">
        <x:v>75</x:v>
      </x:c>
      <x:c r="L129" s="18" t="n">
        <x:f>INDEX('Dated offers'!$I$7:$I$305,MATCH($Z129,'Dated offers'!$A$7:$A$305,0))</x:f>
        <x:v>25</x:v>
      </x:c>
      <x:c r="M129" s="25" t="n">
        <x:f>INDEX('Dated offers'!$J$7:$J$305,MATCH($Z129,'Dated offers'!$A$7:$A$305,0))</x:f>
        <x:v>0.142</x:v>
      </x:c>
      <x:c r="N129" s="25" t="n">
        <x:f>INDEX('Dated offers'!$K$7:$K$305,MATCH($Z129,'Dated offers'!$A$7:$A$305,0))</x:f>
        <x:v>0</x:v>
      </x:c>
      <x:c r="O129" s="25" t="n">
        <x:f>F129*M129</x:f>
        <x:v>10.649999999999999</x:v>
      </x:c>
      <x:c r="P129" s="25" t="n">
        <x:f>G129*M129</x:f>
        <x:v>10.649999999999999</x:v>
      </x:c>
      <x:c r="Q129" s="25" t="n">
        <x:f>K129*M129+N129</x:f>
        <x:v>10.649999999999999</x:v>
      </x:c>
      <x:c r="R129" s="18" t="n">
        <x:f>K129-G129</x:f>
        <x:v>0</x:v>
      </x:c>
      <x:c r="S129" s="18" t="n">
        <x:f>INDEX('Dated offers'!$H$7:$H$305,MATCH($Z129,'Dated offers'!$A$7:$A$305,0))</x:f>
        <x:v>24044</x:v>
      </x:c>
      <x:c r="T129" s="2" t="str">
        <x:f>IF(K129&lt;G129,"Order below requirement",IF(K129&lt;L129,"Below price tier",IF(ISNUMBER(S129),IF(K129&gt;S129,"Quantity exceeds snapshot","Within quantity snapshot"),"Stock not stated")))</x:f>
        <x:v>Within quantity snapshot</x:v>
      </x:c>
      <x:c r="U129" s="2" t="str">
        <x:f>INDEX('Dated offers'!$C$7:$C$305,MATCH($Z129,'Dated offers'!$A$7:$A$305,0))</x:f>
        <x:v>DigiKey</x:v>
      </x:c>
      <x:c r="V129" s="2" t="str">
        <x:f>INDEX('Dated offers'!$D$7:$D$305,MATCH($Z129,'Dated offers'!$A$7:$A$305,0))</x:f>
        <x:v>Not stated</x:v>
      </x:c>
      <x:c r="W129" s="24" t="n">
        <x:f>INDEX('Dated offers'!$E$7:$E$305,MATCH($Z129,'Dated offers'!$A$7:$A$305,0))</x:f>
        <x:v>46307.47807267361</x:v>
      </x:c>
      <x:c r="X129" s="2" t="b">
        <x:f>INDEX('Dated offers'!$N$7:$N$305,MATCH($Z129,'Dated offers'!$A$7:$A$305,0))</x:f>
        <x:v>0</x:v>
      </x:c>
      <x:c r="Y129" s="2" t="str">
        <x:f>INDEX('Dated offers'!$O$7:$O$305,MATCH($Z129,'Dated offers'!$A$7:$A$305,0))</x:f>
        <x:v>Unreserved inventory snapshot</x:v>
      </x:c>
      <x:c r="Z129" s="17" t="str">
        <x:v>OF0123</x:v>
      </x:c>
      <x:c r="AA129" s="2"/>
      <x:c r="AB129" s="2" t="str">
        <x:f>INDEX('Dated offers'!$Q$7:$Q$305,MATCH($Z129,'Dated offers'!$A$7:$A$305,0))</x:f>
        <x:v>https://www.digikey.com/en/products/detail/texas-instruments/SN74LVC1G97DBVR/571196</x:v>
      </x:c>
    </x:row>
    <x:row r="130" ht="24" customHeight="1">
      <x:c r="A130" s="2" t="str">
        <x:v>25 boards / nominal</x:v>
      </x:c>
      <x:c r="B130" s="17" t="str">
        <x:v>SN74LVC2G125DCUR</x:v>
      </x:c>
      <x:c r="C130" s="18" t="n">
        <x:v>25</x:v>
      </x:c>
      <x:c r="D130" s="27" t="n">
        <x:v>0</x:v>
      </x:c>
      <x:c r="E130" s="18" t="n">
        <x:f>INDEX('Assembly BOM'!$C$7:$C$162,MATCH($B130,'Assembly BOM'!$A$7:$A$162,0))</x:f>
        <x:v>1</x:v>
      </x:c>
      <x:c r="F130" s="18" t="n">
        <x:f>C130*E130</x:f>
        <x:v>25</x:v>
      </x:c>
      <x:c r="G130" s="18" t="n">
        <x:f>ROUNDUP(F130*(1+D130),0)</x:f>
        <x:v>25</x:v>
      </x:c>
      <x:c r="H130" s="18" t="n">
        <x:f>INDEX('Dated offers'!$F$7:$F$305,MATCH($Z130,'Dated offers'!$A$7:$A$305,0))</x:f>
        <x:v>5</x:v>
      </x:c>
      <x:c r="I130" s="18" t="n">
        <x:f>INDEX('Dated offers'!$G$7:$G$305,MATCH($Z130,'Dated offers'!$A$7:$A$305,0))</x:f>
        <x:v>5</x:v>
      </x:c>
      <x:c r="J130" s="18" t="n">
        <x:f>CEILING(MAX(G130,H130),I130)</x:f>
        <x:v>25</x:v>
      </x:c>
      <x:c r="K130" s="18" t="n">
        <x:v>25</x:v>
      </x:c>
      <x:c r="L130" s="18" t="n">
        <x:f>INDEX('Dated offers'!$I$7:$I$305,MATCH($Z130,'Dated offers'!$A$7:$A$305,0))</x:f>
        <x:v>5</x:v>
      </x:c>
      <x:c r="M130" s="25" t="n">
        <x:f>INDEX('Dated offers'!$J$7:$J$305,MATCH($Z130,'Dated offers'!$A$7:$A$305,0))</x:f>
        <x:v>0.2091</x:v>
      </x:c>
      <x:c r="N130" s="25" t="n">
        <x:f>INDEX('Dated offers'!$K$7:$K$305,MATCH($Z130,'Dated offers'!$A$7:$A$305,0))</x:f>
        <x:v>0</x:v>
      </x:c>
      <x:c r="O130" s="25" t="n">
        <x:f>F130*M130</x:f>
        <x:v>5.2275</x:v>
      </x:c>
      <x:c r="P130" s="25" t="n">
        <x:f>G130*M130</x:f>
        <x:v>5.2275</x:v>
      </x:c>
      <x:c r="Q130" s="25" t="n">
        <x:f>K130*M130+N130</x:f>
        <x:v>5.2275</x:v>
      </x:c>
      <x:c r="R130" s="18" t="n">
        <x:f>K130-G130</x:f>
        <x:v>0</x:v>
      </x:c>
      <x:c r="S130" s="18" t="n">
        <x:f>INDEX('Dated offers'!$H$7:$H$305,MATCH($Z130,'Dated offers'!$A$7:$A$305,0))</x:f>
        <x:v>255</x:v>
      </x:c>
      <x:c r="T130" s="2" t="str">
        <x:f>IF(K130&lt;G130,"Order below requirement",IF(K130&lt;L130,"Below price tier",IF(ISNUMBER(S130),IF(K130&gt;S130,"Quantity exceeds snapshot","Within quantity snapshot"),"Stock not stated")))</x:f>
        <x:v>Within quantity snapshot</x:v>
      </x:c>
      <x:c r="U130" s="2" t="str">
        <x:f>INDEX('Dated offers'!$C$7:$C$305,MATCH($Z130,'Dated offers'!$A$7:$A$305,0))</x:f>
        <x:v>LCSC</x:v>
      </x:c>
      <x:c r="V130" s="2" t="str">
        <x:f>INDEX('Dated offers'!$D$7:$D$305,MATCH($Z130,'Dated offers'!$A$7:$A$305,0))</x:f>
        <x:v>C21404</x:v>
      </x:c>
      <x:c r="W130" s="24" t="n">
        <x:f>INDEX('Dated offers'!$E$7:$E$305,MATCH($Z130,'Dated offers'!$A$7:$A$305,0))</x:f>
        <x:v>46307.44747895833</x:v>
      </x:c>
      <x:c r="X130" s="2" t="b">
        <x:f>INDEX('Dated offers'!$N$7:$N$305,MATCH($Z130,'Dated offers'!$A$7:$A$305,0))</x:f>
        <x:v>0</x:v>
      </x:c>
      <x:c r="Y130" s="2" t="str">
        <x:f>INDEX('Dated offers'!$O$7:$O$305,MATCH($Z130,'Dated offers'!$A$7:$A$305,0))</x:f>
        <x:v>Unreserved inventory snapshot</x:v>
      </x:c>
      <x:c r="Z130" s="17" t="str">
        <x:v>OF0124</x:v>
      </x:c>
      <x:c r="AA130" s="2"/>
      <x:c r="AB130" s="2" t="str">
        <x:f>INDEX('Dated offers'!$Q$7:$Q$305,MATCH($Z130,'Dated offers'!$A$7:$A$305,0))</x:f>
        <x:v>https://www.lcsc.com/product-detail/C21404.html</x:v>
      </x:c>
    </x:row>
    <x:row r="131" ht="24" customHeight="1">
      <x:c r="A131" s="2" t="str">
        <x:v>25 boards / nominal</x:v>
      </x:c>
      <x:c r="B131" s="17" t="str">
        <x:v>SN74LVC3G17DCUR</x:v>
      </x:c>
      <x:c r="C131" s="18" t="n">
        <x:v>25</x:v>
      </x:c>
      <x:c r="D131" s="27" t="n">
        <x:v>0</x:v>
      </x:c>
      <x:c r="E131" s="18" t="n">
        <x:f>INDEX('Assembly BOM'!$C$7:$C$162,MATCH($B131,'Assembly BOM'!$A$7:$A$162,0))</x:f>
        <x:v>1</x:v>
      </x:c>
      <x:c r="F131" s="18" t="n">
        <x:f>C131*E131</x:f>
        <x:v>25</x:v>
      </x:c>
      <x:c r="G131" s="18" t="n">
        <x:f>ROUNDUP(F131*(1+D131),0)</x:f>
        <x:v>25</x:v>
      </x:c>
      <x:c r="H131" s="18" t="n">
        <x:f>INDEX('Dated offers'!$F$7:$F$305,MATCH($Z131,'Dated offers'!$A$7:$A$305,0))</x:f>
        <x:v>1</x:v>
      </x:c>
      <x:c r="I131" s="18" t="n">
        <x:f>INDEX('Dated offers'!$G$7:$G$305,MATCH($Z131,'Dated offers'!$A$7:$A$305,0))</x:f>
        <x:v>1</x:v>
      </x:c>
      <x:c r="J131" s="18" t="n">
        <x:f>CEILING(MAX(G131,H131),I131)</x:f>
        <x:v>25</x:v>
      </x:c>
      <x:c r="K131" s="18" t="n">
        <x:v>25</x:v>
      </x:c>
      <x:c r="L131" s="18" t="n">
        <x:f>INDEX('Dated offers'!$I$7:$I$305,MATCH($Z131,'Dated offers'!$A$7:$A$305,0))</x:f>
        <x:v>25</x:v>
      </x:c>
      <x:c r="M131" s="25" t="n">
        <x:f>INDEX('Dated offers'!$J$7:$J$305,MATCH($Z131,'Dated offers'!$A$7:$A$305,0))</x:f>
        <x:v>0.286</x:v>
      </x:c>
      <x:c r="N131" s="25" t="n">
        <x:f>INDEX('Dated offers'!$K$7:$K$305,MATCH($Z131,'Dated offers'!$A$7:$A$305,0))</x:f>
        <x:v>0</x:v>
      </x:c>
      <x:c r="O131" s="25" t="n">
        <x:f>F131*M131</x:f>
        <x:v>7.1499999999999995</x:v>
      </x:c>
      <x:c r="P131" s="25" t="n">
        <x:f>G131*M131</x:f>
        <x:v>7.1499999999999995</x:v>
      </x:c>
      <x:c r="Q131" s="25" t="n">
        <x:f>K131*M131+N131</x:f>
        <x:v>7.1499999999999995</x:v>
      </x:c>
      <x:c r="R131" s="18" t="n">
        <x:f>K131-G131</x:f>
        <x:v>0</x:v>
      </x:c>
      <x:c r="S131" s="18" t="n">
        <x:f>INDEX('Dated offers'!$H$7:$H$305,MATCH($Z131,'Dated offers'!$A$7:$A$305,0))</x:f>
        <x:v>7399</x:v>
      </x:c>
      <x:c r="T131" s="2" t="str">
        <x:f>IF(K131&lt;G131,"Order below requirement",IF(K131&lt;L131,"Below price tier",IF(ISNUMBER(S131),IF(K131&gt;S131,"Quantity exceeds snapshot","Within quantity snapshot"),"Stock not stated")))</x:f>
        <x:v>Within quantity snapshot</x:v>
      </x:c>
      <x:c r="U131" s="2" t="str">
        <x:f>INDEX('Dated offers'!$C$7:$C$305,MATCH($Z131,'Dated offers'!$A$7:$A$305,0))</x:f>
        <x:v>DigiKey</x:v>
      </x:c>
      <x:c r="V131" s="2" t="str">
        <x:f>INDEX('Dated offers'!$D$7:$D$305,MATCH($Z131,'Dated offers'!$A$7:$A$305,0))</x:f>
        <x:v>Not stated</x:v>
      </x:c>
      <x:c r="W131" s="24" t="n">
        <x:f>INDEX('Dated offers'!$E$7:$E$305,MATCH($Z131,'Dated offers'!$A$7:$A$305,0))</x:f>
        <x:v>46307.47807267361</x:v>
      </x:c>
      <x:c r="X131" s="2" t="b">
        <x:f>INDEX('Dated offers'!$N$7:$N$305,MATCH($Z131,'Dated offers'!$A$7:$A$305,0))</x:f>
        <x:v>0</x:v>
      </x:c>
      <x:c r="Y131" s="2" t="str">
        <x:f>INDEX('Dated offers'!$O$7:$O$305,MATCH($Z131,'Dated offers'!$A$7:$A$305,0))</x:f>
        <x:v>Unreserved inventory snapshot</x:v>
      </x:c>
      <x:c r="Z131" s="17" t="str">
        <x:v>OF0125</x:v>
      </x:c>
      <x:c r="AA131" s="2"/>
      <x:c r="AB131" s="2" t="str">
        <x:f>INDEX('Dated offers'!$Q$7:$Q$305,MATCH($Z131,'Dated offers'!$A$7:$A$305,0))</x:f>
        <x:v>https://www.digikey.com/en/products/detail/texas-instruments/SN74LVC3G17DCUR/863652</x:v>
      </x:c>
    </x:row>
    <x:row r="132" ht="24" customHeight="1">
      <x:c r="A132" s="2" t="str">
        <x:v>25 boards / nominal</x:v>
      </x:c>
      <x:c r="B132" s="17" t="str">
        <x:v>SRP1265A-220M</x:v>
      </x:c>
      <x:c r="C132" s="18" t="n">
        <x:v>25</x:v>
      </x:c>
      <x:c r="D132" s="27" t="n">
        <x:v>0</x:v>
      </x:c>
      <x:c r="E132" s="18" t="n">
        <x:f>INDEX('Assembly BOM'!$C$7:$C$162,MATCH($B132,'Assembly BOM'!$A$7:$A$162,0))</x:f>
        <x:v>1</x:v>
      </x:c>
      <x:c r="F132" s="18" t="n">
        <x:f>C132*E132</x:f>
        <x:v>25</x:v>
      </x:c>
      <x:c r="G132" s="18" t="n">
        <x:f>ROUNDUP(F132*(1+D132),0)</x:f>
        <x:v>25</x:v>
      </x:c>
      <x:c r="H132" s="18" t="n">
        <x:f>INDEX('Dated offers'!$F$7:$F$305,MATCH($Z132,'Dated offers'!$A$7:$A$305,0))</x:f>
        <x:v>1</x:v>
      </x:c>
      <x:c r="I132" s="18" t="n">
        <x:f>INDEX('Dated offers'!$G$7:$G$305,MATCH($Z132,'Dated offers'!$A$7:$A$305,0))</x:f>
        <x:v>1</x:v>
      </x:c>
      <x:c r="J132" s="18" t="n">
        <x:f>CEILING(MAX(G132,H132),I132)</x:f>
        <x:v>25</x:v>
      </x:c>
      <x:c r="K132" s="18" t="n">
        <x:v>25</x:v>
      </x:c>
      <x:c r="L132" s="18" t="n">
        <x:f>INDEX('Dated offers'!$I$7:$I$305,MATCH($Z132,'Dated offers'!$A$7:$A$305,0))</x:f>
        <x:v>25</x:v>
      </x:c>
      <x:c r="M132" s="25" t="n">
        <x:f>INDEX('Dated offers'!$J$7:$J$305,MATCH($Z132,'Dated offers'!$A$7:$A$305,0))</x:f>
        <x:v>1.27</x:v>
      </x:c>
      <x:c r="N132" s="25" t="n">
        <x:f>INDEX('Dated offers'!$K$7:$K$305,MATCH($Z132,'Dated offers'!$A$7:$A$305,0))</x:f>
        <x:v>0</x:v>
      </x:c>
      <x:c r="O132" s="25" t="n">
        <x:f>F132*M132</x:f>
        <x:v>31.75</x:v>
      </x:c>
      <x:c r="P132" s="25" t="n">
        <x:f>G132*M132</x:f>
        <x:v>31.75</x:v>
      </x:c>
      <x:c r="Q132" s="25" t="n">
        <x:f>K132*M132+N132</x:f>
        <x:v>31.75</x:v>
      </x:c>
      <x:c r="R132" s="18" t="n">
        <x:f>K132-G132</x:f>
        <x:v>0</x:v>
      </x:c>
      <x:c r="S132" s="18" t="n">
        <x:f>INDEX('Dated offers'!$H$7:$H$305,MATCH($Z132,'Dated offers'!$A$7:$A$305,0))</x:f>
        <x:v>5520</x:v>
      </x:c>
      <x:c r="T132" s="2" t="str">
        <x:f>IF(K132&lt;G132,"Order below requirement",IF(K132&lt;L132,"Below price tier",IF(ISNUMBER(S132),IF(K132&gt;S132,"Quantity exceeds snapshot","Within quantity snapshot"),"Stock not stated")))</x:f>
        <x:v>Within quantity snapshot</x:v>
      </x:c>
      <x:c r="U132" s="2" t="str">
        <x:f>INDEX('Dated offers'!$C$7:$C$305,MATCH($Z132,'Dated offers'!$A$7:$A$305,0))</x:f>
        <x:v>DigiKey</x:v>
      </x:c>
      <x:c r="V132" s="2" t="str">
        <x:f>INDEX('Dated offers'!$D$7:$D$305,MATCH($Z132,'Dated offers'!$A$7:$A$305,0))</x:f>
        <x:v>Not stated</x:v>
      </x:c>
      <x:c r="W132" s="24" t="n">
        <x:f>INDEX('Dated offers'!$E$7:$E$305,MATCH($Z132,'Dated offers'!$A$7:$A$305,0))</x:f>
        <x:v>46307.47807266204</x:v>
      </x:c>
      <x:c r="X132" s="2" t="b">
        <x:f>INDEX('Dated offers'!$N$7:$N$305,MATCH($Z132,'Dated offers'!$A$7:$A$305,0))</x:f>
        <x:v>0</x:v>
      </x:c>
      <x:c r="Y132" s="2" t="str">
        <x:f>INDEX('Dated offers'!$O$7:$O$305,MATCH($Z132,'Dated offers'!$A$7:$A$305,0))</x:f>
        <x:v>Unreserved inventory snapshot</x:v>
      </x:c>
      <x:c r="Z132" s="17" t="str">
        <x:v>OF0126</x:v>
      </x:c>
      <x:c r="AA132" s="2"/>
      <x:c r="AB132" s="2" t="str">
        <x:f>INDEX('Dated offers'!$Q$7:$Q$305,MATCH($Z132,'Dated offers'!$A$7:$A$305,0))</x:f>
        <x:v>https://www.digikey.com/en/products/detail/bourns-inc/SRP1265A-220M/4876624</x:v>
      </x:c>
    </x:row>
    <x:row r="133" ht="24" customHeight="1">
      <x:c r="A133" s="2" t="str">
        <x:v>25 boards / nominal</x:v>
      </x:c>
      <x:c r="B133" s="17" t="str">
        <x:v>SRP5030TA-2R2M</x:v>
      </x:c>
      <x:c r="C133" s="18" t="n">
        <x:v>25</x:v>
      </x:c>
      <x:c r="D133" s="27" t="n">
        <x:v>0</x:v>
      </x:c>
      <x:c r="E133" s="18" t="n">
        <x:f>INDEX('Assembly BOM'!$C$7:$C$162,MATCH($B133,'Assembly BOM'!$A$7:$A$162,0))</x:f>
        <x:v>4</x:v>
      </x:c>
      <x:c r="F133" s="18" t="n">
        <x:f>C133*E133</x:f>
        <x:v>100</x:v>
      </x:c>
      <x:c r="G133" s="18" t="n">
        <x:f>ROUNDUP(F133*(1+D133),0)</x:f>
        <x:v>100</x:v>
      </x:c>
      <x:c r="H133" s="18" t="n">
        <x:f>INDEX('Dated offers'!$F$7:$F$305,MATCH($Z133,'Dated offers'!$A$7:$A$305,0))</x:f>
        <x:v>1</x:v>
      </x:c>
      <x:c r="I133" s="18" t="n">
        <x:f>INDEX('Dated offers'!$G$7:$G$305,MATCH($Z133,'Dated offers'!$A$7:$A$305,0))</x:f>
        <x:v>1</x:v>
      </x:c>
      <x:c r="J133" s="18" t="n">
        <x:f>CEILING(MAX(G133,H133),I133)</x:f>
        <x:v>100</x:v>
      </x:c>
      <x:c r="K133" s="18" t="n">
        <x:v>100</x:v>
      </x:c>
      <x:c r="L133" s="18" t="n">
        <x:f>INDEX('Dated offers'!$I$7:$I$305,MATCH($Z133,'Dated offers'!$A$7:$A$305,0))</x:f>
        <x:v>100</x:v>
      </x:c>
      <x:c r="M133" s="25" t="n">
        <x:f>INDEX('Dated offers'!$J$7:$J$305,MATCH($Z133,'Dated offers'!$A$7:$A$305,0))</x:f>
        <x:v>0.7012</x:v>
      </x:c>
      <x:c r="N133" s="25" t="n">
        <x:f>INDEX('Dated offers'!$K$7:$K$305,MATCH($Z133,'Dated offers'!$A$7:$A$305,0))</x:f>
        <x:v>0</x:v>
      </x:c>
      <x:c r="O133" s="25" t="n">
        <x:f>F133*M133</x:f>
        <x:v>70.12</x:v>
      </x:c>
      <x:c r="P133" s="25" t="n">
        <x:f>G133*M133</x:f>
        <x:v>70.12</x:v>
      </x:c>
      <x:c r="Q133" s="25" t="n">
        <x:f>K133*M133+N133</x:f>
        <x:v>70.12</x:v>
      </x:c>
      <x:c r="R133" s="18" t="n">
        <x:f>K133-G133</x:f>
        <x:v>0</x:v>
      </x:c>
      <x:c r="S133" s="18" t="n">
        <x:f>INDEX('Dated offers'!$H$7:$H$305,MATCH($Z133,'Dated offers'!$A$7:$A$305,0))</x:f>
        <x:v>7030</x:v>
      </x:c>
      <x:c r="T133" s="2" t="str">
        <x:f>IF(K133&lt;G133,"Order below requirement",IF(K133&lt;L133,"Below price tier",IF(ISNUMBER(S133),IF(K133&gt;S133,"Quantity exceeds snapshot","Within quantity snapshot"),"Stock not stated")))</x:f>
        <x:v>Within quantity snapshot</x:v>
      </x:c>
      <x:c r="U133" s="2" t="str">
        <x:f>INDEX('Dated offers'!$C$7:$C$305,MATCH($Z133,'Dated offers'!$A$7:$A$305,0))</x:f>
        <x:v>DigiKey</x:v>
      </x:c>
      <x:c r="V133" s="2" t="str">
        <x:f>INDEX('Dated offers'!$D$7:$D$305,MATCH($Z133,'Dated offers'!$A$7:$A$305,0))</x:f>
        <x:v>Not stated</x:v>
      </x:c>
      <x:c r="W133" s="24" t="n">
        <x:f>INDEX('Dated offers'!$E$7:$E$305,MATCH($Z133,'Dated offers'!$A$7:$A$305,0))</x:f>
        <x:v>46307.47807266204</x:v>
      </x:c>
      <x:c r="X133" s="2" t="b">
        <x:f>INDEX('Dated offers'!$N$7:$N$305,MATCH($Z133,'Dated offers'!$A$7:$A$305,0))</x:f>
        <x:v>0</x:v>
      </x:c>
      <x:c r="Y133" s="2" t="str">
        <x:f>INDEX('Dated offers'!$O$7:$O$305,MATCH($Z133,'Dated offers'!$A$7:$A$305,0))</x:f>
        <x:v>Unreserved inventory snapshot</x:v>
      </x:c>
      <x:c r="Z133" s="17" t="str">
        <x:v>OF0127</x:v>
      </x:c>
      <x:c r="AA133" s="2"/>
      <x:c r="AB133" s="2" t="str">
        <x:f>INDEX('Dated offers'!$Q$7:$Q$305,MATCH($Z133,'Dated offers'!$A$7:$A$305,0))</x:f>
        <x:v>https://www.digikey.com/en/products/detail/bourns-inc/SRP5030TA-2R2M/5429671</x:v>
      </x:c>
    </x:row>
    <x:row r="134" ht="24" customHeight="1">
      <x:c r="A134" s="2" t="str">
        <x:v>25 boards / nominal</x:v>
      </x:c>
      <x:c r="B134" s="17" t="str">
        <x:v>SRP6030CA-2R2M</x:v>
      </x:c>
      <x:c r="C134" s="18" t="n">
        <x:v>25</x:v>
      </x:c>
      <x:c r="D134" s="27" t="n">
        <x:v>0</x:v>
      </x:c>
      <x:c r="E134" s="18" t="n">
        <x:f>INDEX('Assembly BOM'!$C$7:$C$162,MATCH($B134,'Assembly BOM'!$A$7:$A$162,0))</x:f>
        <x:v>1</x:v>
      </x:c>
      <x:c r="F134" s="18" t="n">
        <x:f>C134*E134</x:f>
        <x:v>25</x:v>
      </x:c>
      <x:c r="G134" s="18" t="n">
        <x:f>ROUNDUP(F134*(1+D134),0)</x:f>
        <x:v>25</x:v>
      </x:c>
      <x:c r="H134" s="18" t="n">
        <x:f>INDEX('Dated offers'!$F$7:$F$305,MATCH($Z134,'Dated offers'!$A$7:$A$305,0))</x:f>
        <x:v>1</x:v>
      </x:c>
      <x:c r="I134" s="18" t="n">
        <x:f>INDEX('Dated offers'!$G$7:$G$305,MATCH($Z134,'Dated offers'!$A$7:$A$305,0))</x:f>
        <x:v>1</x:v>
      </x:c>
      <x:c r="J134" s="18" t="n">
        <x:f>CEILING(MAX(G134,H134),I134)</x:f>
        <x:v>25</x:v>
      </x:c>
      <x:c r="K134" s="18" t="n">
        <x:v>25</x:v>
      </x:c>
      <x:c r="L134" s="18" t="n">
        <x:f>INDEX('Dated offers'!$I$7:$I$305,MATCH($Z134,'Dated offers'!$A$7:$A$305,0))</x:f>
        <x:v>25</x:v>
      </x:c>
      <x:c r="M134" s="25" t="n">
        <x:f>INDEX('Dated offers'!$J$7:$J$305,MATCH($Z134,'Dated offers'!$A$7:$A$305,0))</x:f>
        <x:v>1.204</x:v>
      </x:c>
      <x:c r="N134" s="25" t="n">
        <x:f>INDEX('Dated offers'!$K$7:$K$305,MATCH($Z134,'Dated offers'!$A$7:$A$305,0))</x:f>
        <x:v>0</x:v>
      </x:c>
      <x:c r="O134" s="25" t="n">
        <x:f>F134*M134</x:f>
        <x:v>30.099999999999998</x:v>
      </x:c>
      <x:c r="P134" s="25" t="n">
        <x:f>G134*M134</x:f>
        <x:v>30.099999999999998</x:v>
      </x:c>
      <x:c r="Q134" s="25" t="n">
        <x:f>K134*M134+N134</x:f>
        <x:v>30.099999999999998</x:v>
      </x:c>
      <x:c r="R134" s="18" t="n">
        <x:f>K134-G134</x:f>
        <x:v>0</x:v>
      </x:c>
      <x:c r="S134" s="18" t="n">
        <x:f>INDEX('Dated offers'!$H$7:$H$305,MATCH($Z134,'Dated offers'!$A$7:$A$305,0))</x:f>
        <x:v>5195</x:v>
      </x:c>
      <x:c r="T134" s="2" t="str">
        <x:f>IF(K134&lt;G134,"Order below requirement",IF(K134&lt;L134,"Below price tier",IF(ISNUMBER(S134),IF(K134&gt;S134,"Quantity exceeds snapshot","Within quantity snapshot"),"Stock not stated")))</x:f>
        <x:v>Within quantity snapshot</x:v>
      </x:c>
      <x:c r="U134" s="2" t="str">
        <x:f>INDEX('Dated offers'!$C$7:$C$305,MATCH($Z134,'Dated offers'!$A$7:$A$305,0))</x:f>
        <x:v>DigiKey</x:v>
      </x:c>
      <x:c r="V134" s="2" t="str">
        <x:f>INDEX('Dated offers'!$D$7:$D$305,MATCH($Z134,'Dated offers'!$A$7:$A$305,0))</x:f>
        <x:v>Not stated</x:v>
      </x:c>
      <x:c r="W134" s="24" t="n">
        <x:f>INDEX('Dated offers'!$E$7:$E$305,MATCH($Z134,'Dated offers'!$A$7:$A$305,0))</x:f>
        <x:v>46307.47807255787</x:v>
      </x:c>
      <x:c r="X134" s="2" t="b">
        <x:f>INDEX('Dated offers'!$N$7:$N$305,MATCH($Z134,'Dated offers'!$A$7:$A$305,0))</x:f>
        <x:v>0</x:v>
      </x:c>
      <x:c r="Y134" s="2" t="str">
        <x:f>INDEX('Dated offers'!$O$7:$O$305,MATCH($Z134,'Dated offers'!$A$7:$A$305,0))</x:f>
        <x:v>Unreserved inventory snapshot</x:v>
      </x:c>
      <x:c r="Z134" s="17" t="str">
        <x:v>OF0128</x:v>
      </x:c>
      <x:c r="AA134" s="2"/>
      <x:c r="AB134" s="2" t="str">
        <x:f>INDEX('Dated offers'!$Q$7:$Q$305,MATCH($Z134,'Dated offers'!$A$7:$A$305,0))</x:f>
        <x:v>https://www.digikey.com/en/products/detail/bourns-inc/SRP6030CA-2R2M/9351038</x:v>
      </x:c>
    </x:row>
    <x:row r="135" ht="24" customHeight="1">
      <x:c r="A135" s="2" t="str">
        <x:v>25 boards / nominal</x:v>
      </x:c>
      <x:c r="B135" s="17" t="str">
        <x:v>SS-7188S-A-NF</x:v>
      </x:c>
      <x:c r="C135" s="18" t="n">
        <x:v>25</x:v>
      </x:c>
      <x:c r="D135" s="27" t="n">
        <x:v>0</x:v>
      </x:c>
      <x:c r="E135" s="18" t="n">
        <x:f>INDEX('Assembly BOM'!$C$7:$C$162,MATCH($B135,'Assembly BOM'!$A$7:$A$162,0))</x:f>
        <x:v>1</x:v>
      </x:c>
      <x:c r="F135" s="18" t="n">
        <x:f>C135*E135</x:f>
        <x:v>25</x:v>
      </x:c>
      <x:c r="G135" s="18" t="n">
        <x:f>ROUNDUP(F135*(1+D135),0)</x:f>
        <x:v>25</x:v>
      </x:c>
      <x:c r="H135" s="18" t="n">
        <x:f>INDEX('Dated offers'!$F$7:$F$305,MATCH($Z135,'Dated offers'!$A$7:$A$305,0))</x:f>
        <x:v>1</x:v>
      </x:c>
      <x:c r="I135" s="18" t="n">
        <x:f>INDEX('Dated offers'!$G$7:$G$305,MATCH($Z135,'Dated offers'!$A$7:$A$305,0))</x:f>
        <x:v>1</x:v>
      </x:c>
      <x:c r="J135" s="18" t="n">
        <x:f>CEILING(MAX(G135,H135),I135)</x:f>
        <x:v>25</x:v>
      </x:c>
      <x:c r="K135" s="18" t="n">
        <x:v>25</x:v>
      </x:c>
      <x:c r="L135" s="18" t="n">
        <x:f>INDEX('Dated offers'!$I$7:$I$305,MATCH($Z135,'Dated offers'!$A$7:$A$305,0))</x:f>
        <x:v>10</x:v>
      </x:c>
      <x:c r="M135" s="25" t="n">
        <x:f>INDEX('Dated offers'!$J$7:$J$305,MATCH($Z135,'Dated offers'!$A$7:$A$305,0))</x:f>
        <x:v>2.36</x:v>
      </x:c>
      <x:c r="N135" s="25" t="n">
        <x:f>INDEX('Dated offers'!$K$7:$K$305,MATCH($Z135,'Dated offers'!$A$7:$A$305,0))</x:f>
        <x:v>0</x:v>
      </x:c>
      <x:c r="O135" s="25" t="n">
        <x:f>F135*M135</x:f>
        <x:v>59</x:v>
      </x:c>
      <x:c r="P135" s="25" t="n">
        <x:f>G135*M135</x:f>
        <x:v>59</x:v>
      </x:c>
      <x:c r="Q135" s="25" t="n">
        <x:f>K135*M135+N135</x:f>
        <x:v>59</x:v>
      </x:c>
      <x:c r="R135" s="18" t="n">
        <x:f>K135-G135</x:f>
        <x:v>0</x:v>
      </x:c>
      <x:c r="S135" s="18" t="n">
        <x:f>INDEX('Dated offers'!$H$7:$H$305,MATCH($Z135,'Dated offers'!$A$7:$A$305,0))</x:f>
        <x:v>5038</x:v>
      </x:c>
      <x:c r="T135" s="2" t="str">
        <x:f>IF(K135&lt;G135,"Order below requirement",IF(K135&lt;L135,"Below price tier",IF(ISNUMBER(S135),IF(K135&gt;S135,"Quantity exceeds snapshot","Within quantity snapshot"),"Stock not stated")))</x:f>
        <x:v>Within quantity snapshot</x:v>
      </x:c>
      <x:c r="U135" s="2" t="str">
        <x:f>INDEX('Dated offers'!$C$7:$C$305,MATCH($Z135,'Dated offers'!$A$7:$A$305,0))</x:f>
        <x:v>DigiKey</x:v>
      </x:c>
      <x:c r="V135" s="2" t="str">
        <x:f>INDEX('Dated offers'!$D$7:$D$305,MATCH($Z135,'Dated offers'!$A$7:$A$305,0))</x:f>
        <x:v>Not stated</x:v>
      </x:c>
      <x:c r="W135" s="24" t="n">
        <x:f>INDEX('Dated offers'!$E$7:$E$305,MATCH($Z135,'Dated offers'!$A$7:$A$305,0))</x:f>
        <x:v>46307.478072592596</x:v>
      </x:c>
      <x:c r="X135" s="2" t="b">
        <x:f>INDEX('Dated offers'!$N$7:$N$305,MATCH($Z135,'Dated offers'!$A$7:$A$305,0))</x:f>
        <x:v>0</x:v>
      </x:c>
      <x:c r="Y135" s="2" t="str">
        <x:f>INDEX('Dated offers'!$O$7:$O$305,MATCH($Z135,'Dated offers'!$A$7:$A$305,0))</x:f>
        <x:v>Unreserved inventory snapshot</x:v>
      </x:c>
      <x:c r="Z135" s="17" t="str">
        <x:v>OF0129</x:v>
      </x:c>
      <x:c r="AA135" s="2"/>
      <x:c r="AB135" s="2" t="str">
        <x:f>INDEX('Dated offers'!$Q$7:$Q$305,MATCH($Z135,'Dated offers'!$A$7:$A$305,0))</x:f>
        <x:v>https://www.digikey.com/en/products/detail/stewart-connector/SS-7188S-A-NF/388309</x:v>
      </x:c>
    </x:row>
    <x:row r="136" ht="24" customHeight="1">
      <x:c r="A136" s="2" t="str">
        <x:v>25 boards / nominal</x:v>
      </x:c>
      <x:c r="B136" s="17" t="str">
        <x:v>ST4SI3M004600HFW</x:v>
      </x:c>
      <x:c r="C136" s="18" t="n">
        <x:v>25</x:v>
      </x:c>
      <x:c r="D136" s="27" t="n">
        <x:v>0</x:v>
      </x:c>
      <x:c r="E136" s="18" t="n">
        <x:f>INDEX('Assembly BOM'!$C$7:$C$162,MATCH($B136,'Assembly BOM'!$A$7:$A$162,0))</x:f>
        <x:v>1</x:v>
      </x:c>
      <x:c r="F136" s="18" t="n">
        <x:f>C136*E136</x:f>
        <x:v>25</x:v>
      </x:c>
      <x:c r="G136" s="18" t="n">
        <x:f>ROUNDUP(F136*(1+D136),0)</x:f>
        <x:v>25</x:v>
      </x:c>
      <x:c r="H136" s="18" t="n">
        <x:f>INDEX('Dated offers'!$F$7:$F$305,MATCH($Z136,'Dated offers'!$A$7:$A$305,0))</x:f>
        <x:v>1</x:v>
      </x:c>
      <x:c r="I136" s="18" t="n">
        <x:f>INDEX('Dated offers'!$G$7:$G$305,MATCH($Z136,'Dated offers'!$A$7:$A$305,0))</x:f>
        <x:v>1</x:v>
      </x:c>
      <x:c r="J136" s="18" t="n">
        <x:f>CEILING(MAX(G136,H136),I136)</x:f>
        <x:v>25</x:v>
      </x:c>
      <x:c r="K136" s="18" t="n">
        <x:v>25</x:v>
      </x:c>
      <x:c r="L136" s="18" t="n">
        <x:f>INDEX('Dated offers'!$I$7:$I$305,MATCH($Z136,'Dated offers'!$A$7:$A$305,0))</x:f>
        <x:v>25</x:v>
      </x:c>
      <x:c r="M136" s="25" t="n">
        <x:f>INDEX('Dated offers'!$J$7:$J$305,MATCH($Z136,'Dated offers'!$A$7:$A$305,0))</x:f>
        <x:v>3.2436</x:v>
      </x:c>
      <x:c r="N136" s="25" t="n">
        <x:f>INDEX('Dated offers'!$K$7:$K$305,MATCH($Z136,'Dated offers'!$A$7:$A$305,0))</x:f>
        <x:v>0</x:v>
      </x:c>
      <x:c r="O136" s="25" t="n">
        <x:f>F136*M136</x:f>
        <x:v>81.08999999999999</x:v>
      </x:c>
      <x:c r="P136" s="25" t="n">
        <x:f>G136*M136</x:f>
        <x:v>81.08999999999999</x:v>
      </x:c>
      <x:c r="Q136" s="25" t="n">
        <x:f>K136*M136+N136</x:f>
        <x:v>81.08999999999999</x:v>
      </x:c>
      <x:c r="R136" s="18" t="n">
        <x:f>K136-G136</x:f>
        <x:v>0</x:v>
      </x:c>
      <x:c r="S136" s="18" t="n">
        <x:f>INDEX('Dated offers'!$H$7:$H$305,MATCH($Z136,'Dated offers'!$A$7:$A$305,0))</x:f>
        <x:v>978</x:v>
      </x:c>
      <x:c r="T136" s="2" t="str">
        <x:f>IF(K136&lt;G136,"Order below requirement",IF(K136&lt;L136,"Below price tier",IF(ISNUMBER(S136),IF(K136&gt;S136,"Quantity exceeds snapshot","Within quantity snapshot"),"Stock not stated")))</x:f>
        <x:v>Within quantity snapshot</x:v>
      </x:c>
      <x:c r="U136" s="2" t="str">
        <x:f>INDEX('Dated offers'!$C$7:$C$305,MATCH($Z136,'Dated offers'!$A$7:$A$305,0))</x:f>
        <x:v>DigiKey</x:v>
      </x:c>
      <x:c r="V136" s="2" t="str">
        <x:f>INDEX('Dated offers'!$D$7:$D$305,MATCH($Z136,'Dated offers'!$A$7:$A$305,0))</x:f>
        <x:v>Not stated</x:v>
      </x:c>
      <x:c r="W136" s="24" t="n">
        <x:f>INDEX('Dated offers'!$E$7:$E$305,MATCH($Z136,'Dated offers'!$A$7:$A$305,0))</x:f>
        <x:v>46307.478072592596</x:v>
      </x:c>
      <x:c r="X136" s="2" t="b">
        <x:f>INDEX('Dated offers'!$N$7:$N$305,MATCH($Z136,'Dated offers'!$A$7:$A$305,0))</x:f>
        <x:v>0</x:v>
      </x:c>
      <x:c r="Y136" s="2" t="str">
        <x:f>INDEX('Dated offers'!$O$7:$O$305,MATCH($Z136,'Dated offers'!$A$7:$A$305,0))</x:f>
        <x:v>Unreserved inventory snapshot</x:v>
      </x:c>
      <x:c r="Z136" s="17" t="str">
        <x:v>OF0130</x:v>
      </x:c>
      <x:c r="AA136" s="2"/>
      <x:c r="AB136" s="2" t="str">
        <x:f>INDEX('Dated offers'!$Q$7:$Q$305,MATCH($Z136,'Dated offers'!$A$7:$A$305,0))</x:f>
        <x:v>https://www.digikey.com/en/products/detail/stmicroelectronics/ST4SI3M004600HFW/27684322</x:v>
      </x:c>
    </x:row>
    <x:row r="137" ht="24" customHeight="1">
      <x:c r="A137" s="2" t="str">
        <x:v>25 boards / nominal</x:v>
      </x:c>
      <x:c r="B137" s="17" t="str">
        <x:v>TLV7011DBVR</x:v>
      </x:c>
      <x:c r="C137" s="18" t="n">
        <x:v>25</x:v>
      </x:c>
      <x:c r="D137" s="27" t="n">
        <x:v>0</x:v>
      </x:c>
      <x:c r="E137" s="18" t="n">
        <x:f>INDEX('Assembly BOM'!$C$7:$C$162,MATCH($B137,'Assembly BOM'!$A$7:$A$162,0))</x:f>
        <x:v>1</x:v>
      </x:c>
      <x:c r="F137" s="18" t="n">
        <x:f>C137*E137</x:f>
        <x:v>25</x:v>
      </x:c>
      <x:c r="G137" s="18" t="n">
        <x:f>ROUNDUP(F137*(1+D137),0)</x:f>
        <x:v>25</x:v>
      </x:c>
      <x:c r="H137" s="18" t="n">
        <x:f>INDEX('Dated offers'!$F$7:$F$305,MATCH($Z137,'Dated offers'!$A$7:$A$305,0))</x:f>
        <x:v>1</x:v>
      </x:c>
      <x:c r="I137" s="18" t="n">
        <x:f>INDEX('Dated offers'!$G$7:$G$305,MATCH($Z137,'Dated offers'!$A$7:$A$305,0))</x:f>
        <x:v>1</x:v>
      </x:c>
      <x:c r="J137" s="18" t="n">
        <x:f>CEILING(MAX(G137,H137),I137)</x:f>
        <x:v>25</x:v>
      </x:c>
      <x:c r="K137" s="18" t="n">
        <x:v>25</x:v>
      </x:c>
      <x:c r="L137" s="18" t="n">
        <x:f>INDEX('Dated offers'!$I$7:$I$305,MATCH($Z137,'Dated offers'!$A$7:$A$305,0))</x:f>
        <x:v>10</x:v>
      </x:c>
      <x:c r="M137" s="25" t="n">
        <x:f>INDEX('Dated offers'!$J$7:$J$305,MATCH($Z137,'Dated offers'!$A$7:$A$305,0))</x:f>
        <x:v>0.4402</x:v>
      </x:c>
      <x:c r="N137" s="25" t="n">
        <x:f>INDEX('Dated offers'!$K$7:$K$305,MATCH($Z137,'Dated offers'!$A$7:$A$305,0))</x:f>
        <x:v>0</x:v>
      </x:c>
      <x:c r="O137" s="25" t="n">
        <x:f>F137*M137</x:f>
        <x:v>11.004999999999999</x:v>
      </x:c>
      <x:c r="P137" s="25" t="n">
        <x:f>G137*M137</x:f>
        <x:v>11.004999999999999</x:v>
      </x:c>
      <x:c r="Q137" s="25" t="n">
        <x:f>K137*M137+N137</x:f>
        <x:v>11.004999999999999</x:v>
      </x:c>
      <x:c r="R137" s="18" t="n">
        <x:f>K137-G137</x:f>
        <x:v>0</x:v>
      </x:c>
      <x:c r="S137" s="18" t="n">
        <x:f>INDEX('Dated offers'!$H$7:$H$305,MATCH($Z137,'Dated offers'!$A$7:$A$305,0))</x:f>
        <x:v>7083</x:v>
      </x:c>
      <x:c r="T137" s="2" t="str">
        <x:f>IF(K137&lt;G137,"Order below requirement",IF(K137&lt;L137,"Below price tier",IF(ISNUMBER(S137),IF(K137&gt;S137,"Quantity exceeds snapshot","Within quantity snapshot"),"Stock not stated")))</x:f>
        <x:v>Within quantity snapshot</x:v>
      </x:c>
      <x:c r="U137" s="2" t="str">
        <x:f>INDEX('Dated offers'!$C$7:$C$305,MATCH($Z137,'Dated offers'!$A$7:$A$305,0))</x:f>
        <x:v>LCSC</x:v>
      </x:c>
      <x:c r="V137" s="2" t="str">
        <x:f>INDEX('Dated offers'!$D$7:$D$305,MATCH($Z137,'Dated offers'!$A$7:$A$305,0))</x:f>
        <x:v>C702117</x:v>
      </x:c>
      <x:c r="W137" s="24" t="n">
        <x:f>INDEX('Dated offers'!$E$7:$E$305,MATCH($Z137,'Dated offers'!$A$7:$A$305,0))</x:f>
        <x:v>46307.44747554398</x:v>
      </x:c>
      <x:c r="X137" s="2" t="b">
        <x:f>INDEX('Dated offers'!$N$7:$N$305,MATCH($Z137,'Dated offers'!$A$7:$A$305,0))</x:f>
        <x:v>0</x:v>
      </x:c>
      <x:c r="Y137" s="2" t="str">
        <x:f>INDEX('Dated offers'!$O$7:$O$305,MATCH($Z137,'Dated offers'!$A$7:$A$305,0))</x:f>
        <x:v>Unreserved inventory snapshot</x:v>
      </x:c>
      <x:c r="Z137" s="17" t="str">
        <x:v>OF0131</x:v>
      </x:c>
      <x:c r="AA137" s="2"/>
      <x:c r="AB137" s="2" t="str">
        <x:f>INDEX('Dated offers'!$Q$7:$Q$305,MATCH($Z137,'Dated offers'!$A$7:$A$305,0))</x:f>
        <x:v>https://www.lcsc.com/product-detail/C702117.html</x:v>
      </x:c>
    </x:row>
    <x:row r="138" ht="24" customHeight="1">
      <x:c r="A138" s="2" t="str">
        <x:v>25 boards / nominal</x:v>
      </x:c>
      <x:c r="B138" s="17" t="str">
        <x:v>TMP102AIDRLR</x:v>
      </x:c>
      <x:c r="C138" s="18" t="n">
        <x:v>25</x:v>
      </x:c>
      <x:c r="D138" s="27" t="n">
        <x:v>0</x:v>
      </x:c>
      <x:c r="E138" s="18" t="n">
        <x:f>INDEX('Assembly BOM'!$C$7:$C$162,MATCH($B138,'Assembly BOM'!$A$7:$A$162,0))</x:f>
        <x:v>1</x:v>
      </x:c>
      <x:c r="F138" s="18" t="n">
        <x:f>C138*E138</x:f>
        <x:v>25</x:v>
      </x:c>
      <x:c r="G138" s="18" t="n">
        <x:f>ROUNDUP(F138*(1+D138),0)</x:f>
        <x:v>25</x:v>
      </x:c>
      <x:c r="H138" s="18" t="n">
        <x:f>INDEX('Dated offers'!$F$7:$F$305,MATCH($Z138,'Dated offers'!$A$7:$A$305,0))</x:f>
        <x:v>1</x:v>
      </x:c>
      <x:c r="I138" s="18" t="n">
        <x:f>INDEX('Dated offers'!$G$7:$G$305,MATCH($Z138,'Dated offers'!$A$7:$A$305,0))</x:f>
        <x:v>1</x:v>
      </x:c>
      <x:c r="J138" s="18" t="n">
        <x:f>CEILING(MAX(G138,H138),I138)</x:f>
        <x:v>25</x:v>
      </x:c>
      <x:c r="K138" s="18" t="n">
        <x:v>25</x:v>
      </x:c>
      <x:c r="L138" s="18" t="n">
        <x:f>INDEX('Dated offers'!$I$7:$I$305,MATCH($Z138,'Dated offers'!$A$7:$A$305,0))</x:f>
        <x:v>10</x:v>
      </x:c>
      <x:c r="M138" s="25" t="n">
        <x:f>INDEX('Dated offers'!$J$7:$J$305,MATCH($Z138,'Dated offers'!$A$7:$A$305,0))</x:f>
        <x:v>0.6314</x:v>
      </x:c>
      <x:c r="N138" s="25" t="n">
        <x:f>INDEX('Dated offers'!$K$7:$K$305,MATCH($Z138,'Dated offers'!$A$7:$A$305,0))</x:f>
        <x:v>0</x:v>
      </x:c>
      <x:c r="O138" s="25" t="n">
        <x:f>F138*M138</x:f>
        <x:v>15.784999999999998</x:v>
      </x:c>
      <x:c r="P138" s="25" t="n">
        <x:f>G138*M138</x:f>
        <x:v>15.784999999999998</x:v>
      </x:c>
      <x:c r="Q138" s="25" t="n">
        <x:f>K138*M138+N138</x:f>
        <x:v>15.784999999999998</x:v>
      </x:c>
      <x:c r="R138" s="18" t="n">
        <x:f>K138-G138</x:f>
        <x:v>0</x:v>
      </x:c>
      <x:c r="S138" s="18" t="n">
        <x:f>INDEX('Dated offers'!$H$7:$H$305,MATCH($Z138,'Dated offers'!$A$7:$A$305,0))</x:f>
        <x:v>37099</x:v>
      </x:c>
      <x:c r="T138" s="2" t="str">
        <x:f>IF(K138&lt;G138,"Order below requirement",IF(K138&lt;L138,"Below price tier",IF(ISNUMBER(S138),IF(K138&gt;S138,"Quantity exceeds snapshot","Within quantity snapshot"),"Stock not stated")))</x:f>
        <x:v>Within quantity snapshot</x:v>
      </x:c>
      <x:c r="U138" s="2" t="str">
        <x:f>INDEX('Dated offers'!$C$7:$C$305,MATCH($Z138,'Dated offers'!$A$7:$A$305,0))</x:f>
        <x:v>LCSC</x:v>
      </x:c>
      <x:c r="V138" s="2" t="str">
        <x:f>INDEX('Dated offers'!$D$7:$D$305,MATCH($Z138,'Dated offers'!$A$7:$A$305,0))</x:f>
        <x:v>C99269</x:v>
      </x:c>
      <x:c r="W138" s="24" t="n">
        <x:f>INDEX('Dated offers'!$E$7:$E$305,MATCH($Z138,'Dated offers'!$A$7:$A$305,0))</x:f>
        <x:v>46307.447477141206</x:v>
      </x:c>
      <x:c r="X138" s="2" t="b">
        <x:f>INDEX('Dated offers'!$N$7:$N$305,MATCH($Z138,'Dated offers'!$A$7:$A$305,0))</x:f>
        <x:v>0</x:v>
      </x:c>
      <x:c r="Y138" s="2" t="str">
        <x:f>INDEX('Dated offers'!$O$7:$O$305,MATCH($Z138,'Dated offers'!$A$7:$A$305,0))</x:f>
        <x:v>Unreserved inventory snapshot</x:v>
      </x:c>
      <x:c r="Z138" s="17" t="str">
        <x:v>OF0132</x:v>
      </x:c>
      <x:c r="AA138" s="2"/>
      <x:c r="AB138" s="2" t="str">
        <x:f>INDEX('Dated offers'!$Q$7:$Q$305,MATCH($Z138,'Dated offers'!$A$7:$A$305,0))</x:f>
        <x:v>https://www.lcsc.com/product-detail/C99269.html</x:v>
      </x:c>
    </x:row>
    <x:row r="139" ht="24" customHeight="1">
      <x:c r="A139" s="2" t="str">
        <x:v>25 boards / nominal</x:v>
      </x:c>
      <x:c r="B139" s="17" t="str">
        <x:v>TMUX1511PWR</x:v>
      </x:c>
      <x:c r="C139" s="18" t="n">
        <x:v>25</x:v>
      </x:c>
      <x:c r="D139" s="27" t="n">
        <x:v>0</x:v>
      </x:c>
      <x:c r="E139" s="18" t="n">
        <x:f>INDEX('Assembly BOM'!$C$7:$C$162,MATCH($B139,'Assembly BOM'!$A$7:$A$162,0))</x:f>
        <x:v>3</x:v>
      </x:c>
      <x:c r="F139" s="18" t="n">
        <x:f>C139*E139</x:f>
        <x:v>75</x:v>
      </x:c>
      <x:c r="G139" s="18" t="n">
        <x:f>ROUNDUP(F139*(1+D139),0)</x:f>
        <x:v>75</x:v>
      </x:c>
      <x:c r="H139" s="18" t="n">
        <x:f>INDEX('Dated offers'!$F$7:$F$305,MATCH($Z139,'Dated offers'!$A$7:$A$305,0))</x:f>
        <x:v>1</x:v>
      </x:c>
      <x:c r="I139" s="18" t="n">
        <x:f>INDEX('Dated offers'!$G$7:$G$305,MATCH($Z139,'Dated offers'!$A$7:$A$305,0))</x:f>
        <x:v>1</x:v>
      </x:c>
      <x:c r="J139" s="18" t="n">
        <x:f>CEILING(MAX(G139,H139),I139)</x:f>
        <x:v>75</x:v>
      </x:c>
      <x:c r="K139" s="18" t="n">
        <x:v>75</x:v>
      </x:c>
      <x:c r="L139" s="18" t="n">
        <x:f>INDEX('Dated offers'!$I$7:$I$305,MATCH($Z139,'Dated offers'!$A$7:$A$305,0))</x:f>
        <x:v>30</x:v>
      </x:c>
      <x:c r="M139" s="25" t="n">
        <x:f>INDEX('Dated offers'!$J$7:$J$305,MATCH($Z139,'Dated offers'!$A$7:$A$305,0))</x:f>
        <x:v>0.3305</x:v>
      </x:c>
      <x:c r="N139" s="25" t="n">
        <x:f>INDEX('Dated offers'!$K$7:$K$305,MATCH($Z139,'Dated offers'!$A$7:$A$305,0))</x:f>
        <x:v>0</x:v>
      </x:c>
      <x:c r="O139" s="25" t="n">
        <x:f>F139*M139</x:f>
        <x:v>24.7875</x:v>
      </x:c>
      <x:c r="P139" s="25" t="n">
        <x:f>G139*M139</x:f>
        <x:v>24.7875</x:v>
      </x:c>
      <x:c r="Q139" s="25" t="n">
        <x:f>K139*M139+N139</x:f>
        <x:v>24.7875</x:v>
      </x:c>
      <x:c r="R139" s="18" t="n">
        <x:f>K139-G139</x:f>
        <x:v>0</x:v>
      </x:c>
      <x:c r="S139" s="18" t="n">
        <x:f>INDEX('Dated offers'!$H$7:$H$305,MATCH($Z139,'Dated offers'!$A$7:$A$305,0))</x:f>
        <x:v>8282</x:v>
      </x:c>
      <x:c r="T139" s="2" t="str">
        <x:f>IF(K139&lt;G139,"Order below requirement",IF(K139&lt;L139,"Below price tier",IF(ISNUMBER(S139),IF(K139&gt;S139,"Quantity exceeds snapshot","Within quantity snapshot"),"Stock not stated")))</x:f>
        <x:v>Within quantity snapshot</x:v>
      </x:c>
      <x:c r="U139" s="2" t="str">
        <x:f>INDEX('Dated offers'!$C$7:$C$305,MATCH($Z139,'Dated offers'!$A$7:$A$305,0))</x:f>
        <x:v>LCSC</x:v>
      </x:c>
      <x:c r="V139" s="2" t="str">
        <x:f>INDEX('Dated offers'!$D$7:$D$305,MATCH($Z139,'Dated offers'!$A$7:$A$305,0))</x:f>
        <x:v>C2866750</x:v>
      </x:c>
      <x:c r="W139" s="24" t="n">
        <x:f>INDEX('Dated offers'!$E$7:$E$305,MATCH($Z139,'Dated offers'!$A$7:$A$305,0))</x:f>
        <x:v>46307.4474805787</x:v>
      </x:c>
      <x:c r="X139" s="2" t="b">
        <x:f>INDEX('Dated offers'!$N$7:$N$305,MATCH($Z139,'Dated offers'!$A$7:$A$305,0))</x:f>
        <x:v>0</x:v>
      </x:c>
      <x:c r="Y139" s="2" t="str">
        <x:f>INDEX('Dated offers'!$O$7:$O$305,MATCH($Z139,'Dated offers'!$A$7:$A$305,0))</x:f>
        <x:v>Unreserved inventory snapshot</x:v>
      </x:c>
      <x:c r="Z139" s="17" t="str">
        <x:v>OF0133</x:v>
      </x:c>
      <x:c r="AA139" s="2"/>
      <x:c r="AB139" s="2" t="str">
        <x:f>INDEX('Dated offers'!$Q$7:$Q$305,MATCH($Z139,'Dated offers'!$A$7:$A$305,0))</x:f>
        <x:v>https://www.lcsc.com/product-detail/C2866750.html</x:v>
      </x:c>
    </x:row>
    <x:row r="140" ht="24" customHeight="1">
      <x:c r="A140" s="2" t="str">
        <x:v>25 boards / nominal</x:v>
      </x:c>
      <x:c r="B140" s="17" t="str">
        <x:v>TNPW0402100KBEED</x:v>
      </x:c>
      <x:c r="C140" s="18" t="n">
        <x:v>25</x:v>
      </x:c>
      <x:c r="D140" s="27" t="n">
        <x:v>0</x:v>
      </x:c>
      <x:c r="E140" s="18" t="n">
        <x:f>INDEX('Assembly BOM'!$C$7:$C$162,MATCH($B140,'Assembly BOM'!$A$7:$A$162,0))</x:f>
        <x:v>3</x:v>
      </x:c>
      <x:c r="F140" s="18" t="n">
        <x:f>C140*E140</x:f>
        <x:v>75</x:v>
      </x:c>
      <x:c r="G140" s="18" t="n">
        <x:f>ROUNDUP(F140*(1+D140),0)</x:f>
        <x:v>75</x:v>
      </x:c>
      <x:c r="H140" s="18" t="n">
        <x:f>INDEX('Dated offers'!$F$7:$F$305,MATCH($Z140,'Dated offers'!$A$7:$A$305,0))</x:f>
        <x:v>1</x:v>
      </x:c>
      <x:c r="I140" s="18" t="n">
        <x:f>INDEX('Dated offers'!$G$7:$G$305,MATCH($Z140,'Dated offers'!$A$7:$A$305,0))</x:f>
        <x:v>1</x:v>
      </x:c>
      <x:c r="J140" s="18" t="n">
        <x:f>CEILING(MAX(G140,H140),I140)</x:f>
        <x:v>75</x:v>
      </x:c>
      <x:c r="K140" s="18" t="n">
        <x:v>75</x:v>
      </x:c>
      <x:c r="L140" s="18" t="n">
        <x:f>INDEX('Dated offers'!$I$7:$I$305,MATCH($Z140,'Dated offers'!$A$7:$A$305,0))</x:f>
        <x:v>50</x:v>
      </x:c>
      <x:c r="M140" s="25" t="n">
        <x:f>INDEX('Dated offers'!$J$7:$J$305,MATCH($Z140,'Dated offers'!$A$7:$A$305,0))</x:f>
        <x:v>0.1918</x:v>
      </x:c>
      <x:c r="N140" s="25" t="n">
        <x:f>INDEX('Dated offers'!$K$7:$K$305,MATCH($Z140,'Dated offers'!$A$7:$A$305,0))</x:f>
        <x:v>0</x:v>
      </x:c>
      <x:c r="O140" s="25" t="n">
        <x:f>F140*M140</x:f>
        <x:v>14.385</x:v>
      </x:c>
      <x:c r="P140" s="25" t="n">
        <x:f>G140*M140</x:f>
        <x:v>14.385</x:v>
      </x:c>
      <x:c r="Q140" s="25" t="n">
        <x:f>K140*M140+N140</x:f>
        <x:v>14.385</x:v>
      </x:c>
      <x:c r="R140" s="18" t="n">
        <x:f>K140-G140</x:f>
        <x:v>0</x:v>
      </x:c>
      <x:c r="S140" s="18" t="n">
        <x:f>INDEX('Dated offers'!$H$7:$H$305,MATCH($Z140,'Dated offers'!$A$7:$A$305,0))</x:f>
        <x:v>244638</x:v>
      </x:c>
      <x:c r="T140" s="2" t="str">
        <x:f>IF(K140&lt;G140,"Order below requirement",IF(K140&lt;L140,"Below price tier",IF(ISNUMBER(S140),IF(K140&gt;S140,"Quantity exceeds snapshot","Within quantity snapshot"),"Stock not stated")))</x:f>
        <x:v>Within quantity snapshot</x:v>
      </x:c>
      <x:c r="U140" s="2" t="str">
        <x:f>INDEX('Dated offers'!$C$7:$C$305,MATCH($Z140,'Dated offers'!$A$7:$A$305,0))</x:f>
        <x:v>DigiKey</x:v>
      </x:c>
      <x:c r="V140" s="2" t="str">
        <x:f>INDEX('Dated offers'!$D$7:$D$305,MATCH($Z140,'Dated offers'!$A$7:$A$305,0))</x:f>
        <x:v>Not stated</x:v>
      </x:c>
      <x:c r="W140" s="24" t="n">
        <x:f>INDEX('Dated offers'!$E$7:$E$305,MATCH($Z140,'Dated offers'!$A$7:$A$305,0))</x:f>
        <x:v>46307.478072592596</x:v>
      </x:c>
      <x:c r="X140" s="2" t="b">
        <x:f>INDEX('Dated offers'!$N$7:$N$305,MATCH($Z140,'Dated offers'!$A$7:$A$305,0))</x:f>
        <x:v>0</x:v>
      </x:c>
      <x:c r="Y140" s="2" t="str">
        <x:f>INDEX('Dated offers'!$O$7:$O$305,MATCH($Z140,'Dated offers'!$A$7:$A$305,0))</x:f>
        <x:v>Unreserved inventory snapshot</x:v>
      </x:c>
      <x:c r="Z140" s="17" t="str">
        <x:v>OF0134</x:v>
      </x:c>
      <x:c r="AA140" s="2"/>
      <x:c r="AB140" s="2" t="str">
        <x:f>INDEX('Dated offers'!$Q$7:$Q$305,MATCH($Z140,'Dated offers'!$A$7:$A$305,0))</x:f>
        <x:v>https://www.digikey.com/en/products/detail/vishay-dale/TNPW0402100KBEED/1857037</x:v>
      </x:c>
    </x:row>
    <x:row r="141" ht="24" customHeight="1">
      <x:c r="A141" s="2" t="str">
        <x:v>25 boards / nominal</x:v>
      </x:c>
      <x:c r="B141" s="17" t="str">
        <x:v>TNPW040210K0BEED</x:v>
      </x:c>
      <x:c r="C141" s="18" t="n">
        <x:v>25</x:v>
      </x:c>
      <x:c r="D141" s="27" t="n">
        <x:v>0</x:v>
      </x:c>
      <x:c r="E141" s="18" t="n">
        <x:f>INDEX('Assembly BOM'!$C$7:$C$162,MATCH($B141,'Assembly BOM'!$A$7:$A$162,0))</x:f>
        <x:v>18</x:v>
      </x:c>
      <x:c r="F141" s="18" t="n">
        <x:f>C141*E141</x:f>
        <x:v>450</x:v>
      </x:c>
      <x:c r="G141" s="18" t="n">
        <x:f>ROUNDUP(F141*(1+D141),0)</x:f>
        <x:v>450</x:v>
      </x:c>
      <x:c r="H141" s="18" t="n">
        <x:f>INDEX('Dated offers'!$F$7:$F$305,MATCH($Z141,'Dated offers'!$A$7:$A$305,0))</x:f>
        <x:v>10</x:v>
      </x:c>
      <x:c r="I141" s="18" t="n">
        <x:f>INDEX('Dated offers'!$G$7:$G$305,MATCH($Z141,'Dated offers'!$A$7:$A$305,0))</x:f>
        <x:v>10</x:v>
      </x:c>
      <x:c r="J141" s="18" t="n">
        <x:f>CEILING(MAX(G141,H141),I141)</x:f>
        <x:v>450</x:v>
      </x:c>
      <x:c r="K141" s="18" t="n">
        <x:v>450</x:v>
      </x:c>
      <x:c r="L141" s="18" t="n">
        <x:f>INDEX('Dated offers'!$I$7:$I$305,MATCH($Z141,'Dated offers'!$A$7:$A$305,0))</x:f>
        <x:v>300</x:v>
      </x:c>
      <x:c r="M141" s="25" t="n">
        <x:f>INDEX('Dated offers'!$J$7:$J$305,MATCH($Z141,'Dated offers'!$A$7:$A$305,0))</x:f>
        <x:v>0.0538</x:v>
      </x:c>
      <x:c r="N141" s="25" t="n">
        <x:f>INDEX('Dated offers'!$K$7:$K$305,MATCH($Z141,'Dated offers'!$A$7:$A$305,0))</x:f>
        <x:v>0</x:v>
      </x:c>
      <x:c r="O141" s="25" t="n">
        <x:f>F141*M141</x:f>
        <x:v>24.21</x:v>
      </x:c>
      <x:c r="P141" s="25" t="n">
        <x:f>G141*M141</x:f>
        <x:v>24.21</x:v>
      </x:c>
      <x:c r="Q141" s="25" t="n">
        <x:f>K141*M141+N141</x:f>
        <x:v>24.21</x:v>
      </x:c>
      <x:c r="R141" s="18" t="n">
        <x:f>K141-G141</x:f>
        <x:v>0</x:v>
      </x:c>
      <x:c r="S141" s="18" t="n">
        <x:f>INDEX('Dated offers'!$H$7:$H$305,MATCH($Z141,'Dated offers'!$A$7:$A$305,0))</x:f>
        <x:v>44520</x:v>
      </x:c>
      <x:c r="T141" s="2" t="str">
        <x:f>IF(K141&lt;G141,"Order below requirement",IF(K141&lt;L141,"Below price tier",IF(ISNUMBER(S141),IF(K141&gt;S141,"Quantity exceeds snapshot","Within quantity snapshot"),"Stock not stated")))</x:f>
        <x:v>Within quantity snapshot</x:v>
      </x:c>
      <x:c r="U141" s="2" t="str">
        <x:f>INDEX('Dated offers'!$C$7:$C$305,MATCH($Z141,'Dated offers'!$A$7:$A$305,0))</x:f>
        <x:v>LCSC</x:v>
      </x:c>
      <x:c r="V141" s="2" t="str">
        <x:f>INDEX('Dated offers'!$D$7:$D$305,MATCH($Z141,'Dated offers'!$A$7:$A$305,0))</x:f>
        <x:v>C844452</x:v>
      </x:c>
      <x:c r="W141" s="24" t="n">
        <x:f>INDEX('Dated offers'!$E$7:$E$305,MATCH($Z141,'Dated offers'!$A$7:$A$305,0))</x:f>
        <x:v>46307.447482916665</x:v>
      </x:c>
      <x:c r="X141" s="2" t="b">
        <x:f>INDEX('Dated offers'!$N$7:$N$305,MATCH($Z141,'Dated offers'!$A$7:$A$305,0))</x:f>
        <x:v>0</x:v>
      </x:c>
      <x:c r="Y141" s="2" t="str">
        <x:f>INDEX('Dated offers'!$O$7:$O$305,MATCH($Z141,'Dated offers'!$A$7:$A$305,0))</x:f>
        <x:v>Unreserved inventory snapshot</x:v>
      </x:c>
      <x:c r="Z141" s="17" t="str">
        <x:v>OF0135</x:v>
      </x:c>
      <x:c r="AA141" s="2"/>
      <x:c r="AB141" s="2" t="str">
        <x:f>INDEX('Dated offers'!$Q$7:$Q$305,MATCH($Z141,'Dated offers'!$A$7:$A$305,0))</x:f>
        <x:v>https://www.lcsc.com/product-detail/C844452.html</x:v>
      </x:c>
    </x:row>
    <x:row r="142" ht="24" customHeight="1">
      <x:c r="A142" s="2" t="str">
        <x:v>25 boards / nominal</x:v>
      </x:c>
      <x:c r="B142" s="17" t="str">
        <x:v>TNPW04021K24BEED</x:v>
      </x:c>
      <x:c r="C142" s="18" t="n">
        <x:v>25</x:v>
      </x:c>
      <x:c r="D142" s="27" t="n">
        <x:v>0</x:v>
      </x:c>
      <x:c r="E142" s="18" t="n">
        <x:f>INDEX('Assembly BOM'!$C$7:$C$162,MATCH($B142,'Assembly BOM'!$A$7:$A$162,0))</x:f>
        <x:v>1</x:v>
      </x:c>
      <x:c r="F142" s="18" t="n">
        <x:f>C142*E142</x:f>
        <x:v>25</x:v>
      </x:c>
      <x:c r="G142" s="18" t="n">
        <x:f>ROUNDUP(F142*(1+D142),0)</x:f>
        <x:v>25</x:v>
      </x:c>
      <x:c r="H142" s="18" t="n">
        <x:f>INDEX('Dated offers'!$F$7:$F$305,MATCH($Z142,'Dated offers'!$A$7:$A$305,0))</x:f>
        <x:v>1</x:v>
      </x:c>
      <x:c r="I142" s="18" t="n">
        <x:f>INDEX('Dated offers'!$G$7:$G$305,MATCH($Z142,'Dated offers'!$A$7:$A$305,0))</x:f>
        <x:v>1</x:v>
      </x:c>
      <x:c r="J142" s="18" t="n">
        <x:f>CEILING(MAX(G142,H142),I142)</x:f>
        <x:v>25</x:v>
      </x:c>
      <x:c r="K142" s="18" t="n">
        <x:v>25</x:v>
      </x:c>
      <x:c r="L142" s="18" t="n">
        <x:f>INDEX('Dated offers'!$I$7:$I$305,MATCH($Z142,'Dated offers'!$A$7:$A$305,0))</x:f>
        <x:v>10</x:v>
      </x:c>
      <x:c r="M142" s="25" t="n">
        <x:f>INDEX('Dated offers'!$J$7:$J$305,MATCH($Z142,'Dated offers'!$A$7:$A$305,0))</x:f>
        <x:v>0.219</x:v>
      </x:c>
      <x:c r="N142" s="25" t="n">
        <x:f>INDEX('Dated offers'!$K$7:$K$305,MATCH($Z142,'Dated offers'!$A$7:$A$305,0))</x:f>
        <x:v>0</x:v>
      </x:c>
      <x:c r="O142" s="25" t="n">
        <x:f>F142*M142</x:f>
        <x:v>5.475</x:v>
      </x:c>
      <x:c r="P142" s="25" t="n">
        <x:f>G142*M142</x:f>
        <x:v>5.475</x:v>
      </x:c>
      <x:c r="Q142" s="25" t="n">
        <x:f>K142*M142+N142</x:f>
        <x:v>5.475</x:v>
      </x:c>
      <x:c r="R142" s="18" t="n">
        <x:f>K142-G142</x:f>
        <x:v>0</x:v>
      </x:c>
      <x:c r="S142" s="18" t="n">
        <x:f>INDEX('Dated offers'!$H$7:$H$305,MATCH($Z142,'Dated offers'!$A$7:$A$305,0))</x:f>
        <x:v>9768</x:v>
      </x:c>
      <x:c r="T142" s="2" t="str">
        <x:f>IF(K142&lt;G142,"Order below requirement",IF(K142&lt;L142,"Below price tier",IF(ISNUMBER(S142),IF(K142&gt;S142,"Quantity exceeds snapshot","Within quantity snapshot"),"Stock not stated")))</x:f>
        <x:v>Within quantity snapshot</x:v>
      </x:c>
      <x:c r="U142" s="2" t="str">
        <x:f>INDEX('Dated offers'!$C$7:$C$305,MATCH($Z142,'Dated offers'!$A$7:$A$305,0))</x:f>
        <x:v>DigiKey</x:v>
      </x:c>
      <x:c r="V142" s="2" t="str">
        <x:f>INDEX('Dated offers'!$D$7:$D$305,MATCH($Z142,'Dated offers'!$A$7:$A$305,0))</x:f>
        <x:v>Not stated</x:v>
      </x:c>
      <x:c r="W142" s="24" t="n">
        <x:f>INDEX('Dated offers'!$E$7:$E$305,MATCH($Z142,'Dated offers'!$A$7:$A$305,0))</x:f>
        <x:v>46307.4780725</x:v>
      </x:c>
      <x:c r="X142" s="2" t="b">
        <x:f>INDEX('Dated offers'!$N$7:$N$305,MATCH($Z142,'Dated offers'!$A$7:$A$305,0))</x:f>
        <x:v>0</x:v>
      </x:c>
      <x:c r="Y142" s="2" t="str">
        <x:f>INDEX('Dated offers'!$O$7:$O$305,MATCH($Z142,'Dated offers'!$A$7:$A$305,0))</x:f>
        <x:v>Unreserved inventory snapshot</x:v>
      </x:c>
      <x:c r="Z142" s="17" t="str">
        <x:v>OF0136</x:v>
      </x:c>
      <x:c r="AA142" s="2"/>
      <x:c r="AB142" s="2" t="str">
        <x:f>INDEX('Dated offers'!$Q$7:$Q$305,MATCH($Z142,'Dated offers'!$A$7:$A$305,0))</x:f>
        <x:v>https://www.digikey.com/en/products/detail/vishay-dale/TNPW04021K24BEED/4876054</x:v>
      </x:c>
    </x:row>
    <x:row r="143" ht="24" customHeight="1">
      <x:c r="A143" s="2" t="str">
        <x:v>25 boards / nominal</x:v>
      </x:c>
      <x:c r="B143" s="17" t="str">
        <x:v>TNPW04024K87BEED</x:v>
      </x:c>
      <x:c r="C143" s="18" t="n">
        <x:v>25</x:v>
      </x:c>
      <x:c r="D143" s="27" t="n">
        <x:v>0</x:v>
      </x:c>
      <x:c r="E143" s="18" t="n">
        <x:f>INDEX('Assembly BOM'!$C$7:$C$162,MATCH($B143,'Assembly BOM'!$A$7:$A$162,0))</x:f>
        <x:v>1</x:v>
      </x:c>
      <x:c r="F143" s="18" t="n">
        <x:f>C143*E143</x:f>
        <x:v>25</x:v>
      </x:c>
      <x:c r="G143" s="18" t="n">
        <x:f>ROUNDUP(F143*(1+D143),0)</x:f>
        <x:v>25</x:v>
      </x:c>
      <x:c r="H143" s="18" t="n">
        <x:f>INDEX('Dated offers'!$F$7:$F$305,MATCH($Z143,'Dated offers'!$A$7:$A$305,0))</x:f>
        <x:v>1</x:v>
      </x:c>
      <x:c r="I143" s="18" t="n">
        <x:f>INDEX('Dated offers'!$G$7:$G$305,MATCH($Z143,'Dated offers'!$A$7:$A$305,0))</x:f>
        <x:v>1</x:v>
      </x:c>
      <x:c r="J143" s="18" t="n">
        <x:f>CEILING(MAX(G143,H143),I143)</x:f>
        <x:v>25</x:v>
      </x:c>
      <x:c r="K143" s="18" t="n">
        <x:v>25</x:v>
      </x:c>
      <x:c r="L143" s="18" t="n">
        <x:f>INDEX('Dated offers'!$I$7:$I$305,MATCH($Z143,'Dated offers'!$A$7:$A$305,0))</x:f>
        <x:v>10</x:v>
      </x:c>
      <x:c r="M143" s="25" t="n">
        <x:f>INDEX('Dated offers'!$J$7:$J$305,MATCH($Z143,'Dated offers'!$A$7:$A$305,0))</x:f>
        <x:v>0.219</x:v>
      </x:c>
      <x:c r="N143" s="25" t="n">
        <x:f>INDEX('Dated offers'!$K$7:$K$305,MATCH($Z143,'Dated offers'!$A$7:$A$305,0))</x:f>
        <x:v>0</x:v>
      </x:c>
      <x:c r="O143" s="25" t="n">
        <x:f>F143*M143</x:f>
        <x:v>5.475</x:v>
      </x:c>
      <x:c r="P143" s="25" t="n">
        <x:f>G143*M143</x:f>
        <x:v>5.475</x:v>
      </x:c>
      <x:c r="Q143" s="25" t="n">
        <x:f>K143*M143+N143</x:f>
        <x:v>5.475</x:v>
      </x:c>
      <x:c r="R143" s="18" t="n">
        <x:f>K143-G143</x:f>
        <x:v>0</x:v>
      </x:c>
      <x:c r="S143" s="18" t="n">
        <x:f>INDEX('Dated offers'!$H$7:$H$305,MATCH($Z143,'Dated offers'!$A$7:$A$305,0))</x:f>
        <x:v>8176</x:v>
      </x:c>
      <x:c r="T143" s="2" t="str">
        <x:f>IF(K143&lt;G143,"Order below requirement",IF(K143&lt;L143,"Below price tier",IF(ISNUMBER(S143),IF(K143&gt;S143,"Quantity exceeds snapshot","Within quantity snapshot"),"Stock not stated")))</x:f>
        <x:v>Within quantity snapshot</x:v>
      </x:c>
      <x:c r="U143" s="2" t="str">
        <x:f>INDEX('Dated offers'!$C$7:$C$305,MATCH($Z143,'Dated offers'!$A$7:$A$305,0))</x:f>
        <x:v>DigiKey</x:v>
      </x:c>
      <x:c r="V143" s="2" t="str">
        <x:f>INDEX('Dated offers'!$D$7:$D$305,MATCH($Z143,'Dated offers'!$A$7:$A$305,0))</x:f>
        <x:v>Not stated</x:v>
      </x:c>
      <x:c r="W143" s="24" t="n">
        <x:f>INDEX('Dated offers'!$E$7:$E$305,MATCH($Z143,'Dated offers'!$A$7:$A$305,0))</x:f>
        <x:v>46307.4780725</x:v>
      </x:c>
      <x:c r="X143" s="2" t="b">
        <x:f>INDEX('Dated offers'!$N$7:$N$305,MATCH($Z143,'Dated offers'!$A$7:$A$305,0))</x:f>
        <x:v>0</x:v>
      </x:c>
      <x:c r="Y143" s="2" t="str">
        <x:f>INDEX('Dated offers'!$O$7:$O$305,MATCH($Z143,'Dated offers'!$A$7:$A$305,0))</x:f>
        <x:v>Unreserved inventory snapshot</x:v>
      </x:c>
      <x:c r="Z143" s="17" t="str">
        <x:v>OF0137</x:v>
      </x:c>
      <x:c r="AA143" s="2"/>
      <x:c r="AB143" s="2" t="str">
        <x:f>INDEX('Dated offers'!$Q$7:$Q$305,MATCH($Z143,'Dated offers'!$A$7:$A$305,0))</x:f>
        <x:v>https://www.digikey.com/en/products/detail/vishay-dale/TNPW04024K87BEED/2217770</x:v>
      </x:c>
    </x:row>
    <x:row r="144" ht="24" customHeight="1">
      <x:c r="A144" s="2" t="str">
        <x:v>25 boards / nominal</x:v>
      </x:c>
      <x:c r="B144" s="17" t="str">
        <x:v>TNPW0603100KBEEA</x:v>
      </x:c>
      <x:c r="C144" s="18" t="n">
        <x:v>25</x:v>
      </x:c>
      <x:c r="D144" s="27" t="n">
        <x:v>0</x:v>
      </x:c>
      <x:c r="E144" s="18" t="n">
        <x:f>INDEX('Assembly BOM'!$C$7:$C$162,MATCH($B144,'Assembly BOM'!$A$7:$A$162,0))</x:f>
        <x:v>1</x:v>
      </x:c>
      <x:c r="F144" s="18" t="n">
        <x:f>C144*E144</x:f>
        <x:v>25</x:v>
      </x:c>
      <x:c r="G144" s="18" t="n">
        <x:f>ROUNDUP(F144*(1+D144),0)</x:f>
        <x:v>25</x:v>
      </x:c>
      <x:c r="H144" s="18" t="n">
        <x:f>INDEX('Dated offers'!$F$7:$F$305,MATCH($Z144,'Dated offers'!$A$7:$A$305,0))</x:f>
        <x:v>1</x:v>
      </x:c>
      <x:c r="I144" s="18" t="n">
        <x:f>INDEX('Dated offers'!$G$7:$G$305,MATCH($Z144,'Dated offers'!$A$7:$A$305,0))</x:f>
        <x:v>1</x:v>
      </x:c>
      <x:c r="J144" s="18" t="n">
        <x:f>CEILING(MAX(G144,H144),I144)</x:f>
        <x:v>25</x:v>
      </x:c>
      <x:c r="K144" s="18" t="n">
        <x:v>25</x:v>
      </x:c>
      <x:c r="L144" s="18" t="n">
        <x:f>INDEX('Dated offers'!$I$7:$I$305,MATCH($Z144,'Dated offers'!$A$7:$A$305,0))</x:f>
        <x:v>10</x:v>
      </x:c>
      <x:c r="M144" s="25" t="n">
        <x:f>INDEX('Dated offers'!$J$7:$J$305,MATCH($Z144,'Dated offers'!$A$7:$A$305,0))</x:f>
        <x:v>0.219</x:v>
      </x:c>
      <x:c r="N144" s="25" t="n">
        <x:f>INDEX('Dated offers'!$K$7:$K$305,MATCH($Z144,'Dated offers'!$A$7:$A$305,0))</x:f>
        <x:v>0</x:v>
      </x:c>
      <x:c r="O144" s="25" t="n">
        <x:f>F144*M144</x:f>
        <x:v>5.475</x:v>
      </x:c>
      <x:c r="P144" s="25" t="n">
        <x:f>G144*M144</x:f>
        <x:v>5.475</x:v>
      </x:c>
      <x:c r="Q144" s="25" t="n">
        <x:f>K144*M144+N144</x:f>
        <x:v>5.475</x:v>
      </x:c>
      <x:c r="R144" s="18" t="n">
        <x:f>K144-G144</x:f>
        <x:v>0</x:v>
      </x:c>
      <x:c r="S144" s="18" t="n">
        <x:f>INDEX('Dated offers'!$H$7:$H$305,MATCH($Z144,'Dated offers'!$A$7:$A$305,0))</x:f>
        <x:v>88719</x:v>
      </x:c>
      <x:c r="T144" s="2" t="str">
        <x:f>IF(K144&lt;G144,"Order below requirement",IF(K144&lt;L144,"Below price tier",IF(ISNUMBER(S144),IF(K144&gt;S144,"Quantity exceeds snapshot","Within quantity snapshot"),"Stock not stated")))</x:f>
        <x:v>Within quantity snapshot</x:v>
      </x:c>
      <x:c r="U144" s="2" t="str">
        <x:f>INDEX('Dated offers'!$C$7:$C$305,MATCH($Z144,'Dated offers'!$A$7:$A$305,0))</x:f>
        <x:v>DigiKey</x:v>
      </x:c>
      <x:c r="V144" s="2" t="str">
        <x:f>INDEX('Dated offers'!$D$7:$D$305,MATCH($Z144,'Dated offers'!$A$7:$A$305,0))</x:f>
        <x:v>Not stated</x:v>
      </x:c>
      <x:c r="W144" s="24" t="n">
        <x:f>INDEX('Dated offers'!$E$7:$E$305,MATCH($Z144,'Dated offers'!$A$7:$A$305,0))</x:f>
        <x:v>46307.4780725</x:v>
      </x:c>
      <x:c r="X144" s="2" t="b">
        <x:f>INDEX('Dated offers'!$N$7:$N$305,MATCH($Z144,'Dated offers'!$A$7:$A$305,0))</x:f>
        <x:v>0</x:v>
      </x:c>
      <x:c r="Y144" s="2" t="str">
        <x:f>INDEX('Dated offers'!$O$7:$O$305,MATCH($Z144,'Dated offers'!$A$7:$A$305,0))</x:f>
        <x:v>Unreserved inventory snapshot</x:v>
      </x:c>
      <x:c r="Z144" s="17" t="str">
        <x:v>OF0138</x:v>
      </x:c>
      <x:c r="AA144" s="2"/>
      <x:c r="AB144" s="2" t="str">
        <x:f>INDEX('Dated offers'!$Q$7:$Q$305,MATCH($Z144,'Dated offers'!$A$7:$A$305,0))</x:f>
        <x:v>https://www.digikey.com/en/products/detail/vishay-dale/TNPW0603100KBEEA/1857055</x:v>
      </x:c>
    </x:row>
    <x:row r="145" ht="24" customHeight="1">
      <x:c r="A145" s="2" t="str">
        <x:v>25 boards / nominal</x:v>
      </x:c>
      <x:c r="B145" s="17" t="str">
        <x:v>TPD1E05U06DPYR</x:v>
      </x:c>
      <x:c r="C145" s="18" t="n">
        <x:v>25</x:v>
      </x:c>
      <x:c r="D145" s="27" t="n">
        <x:v>0</x:v>
      </x:c>
      <x:c r="E145" s="18" t="n">
        <x:f>INDEX('Assembly BOM'!$C$7:$C$162,MATCH($B145,'Assembly BOM'!$A$7:$A$162,0))</x:f>
        <x:v>3</x:v>
      </x:c>
      <x:c r="F145" s="18" t="n">
        <x:f>C145*E145</x:f>
        <x:v>75</x:v>
      </x:c>
      <x:c r="G145" s="18" t="n">
        <x:f>ROUNDUP(F145*(1+D145),0)</x:f>
        <x:v>75</x:v>
      </x:c>
      <x:c r="H145" s="18" t="n">
        <x:f>INDEX('Dated offers'!$F$7:$F$305,MATCH($Z145,'Dated offers'!$A$7:$A$305,0))</x:f>
        <x:v>1</x:v>
      </x:c>
      <x:c r="I145" s="18" t="n">
        <x:f>INDEX('Dated offers'!$G$7:$G$305,MATCH($Z145,'Dated offers'!$A$7:$A$305,0))</x:f>
        <x:v>1</x:v>
      </x:c>
      <x:c r="J145" s="18" t="n">
        <x:f>CEILING(MAX(G145,H145),I145)</x:f>
        <x:v>75</x:v>
      </x:c>
      <x:c r="K145" s="18" t="n">
        <x:v>75</x:v>
      </x:c>
      <x:c r="L145" s="18" t="n">
        <x:f>INDEX('Dated offers'!$I$7:$I$305,MATCH($Z145,'Dated offers'!$A$7:$A$305,0))</x:f>
        <x:v>50</x:v>
      </x:c>
      <x:c r="M145" s="25" t="n">
        <x:f>INDEX('Dated offers'!$J$7:$J$305,MATCH($Z145,'Dated offers'!$A$7:$A$305,0))</x:f>
        <x:v>0.1928</x:v>
      </x:c>
      <x:c r="N145" s="25" t="n">
        <x:f>INDEX('Dated offers'!$K$7:$K$305,MATCH($Z145,'Dated offers'!$A$7:$A$305,0))</x:f>
        <x:v>0</x:v>
      </x:c>
      <x:c r="O145" s="25" t="n">
        <x:f>F145*M145</x:f>
        <x:v>14.459999999999999</x:v>
      </x:c>
      <x:c r="P145" s="25" t="n">
        <x:f>G145*M145</x:f>
        <x:v>14.459999999999999</x:v>
      </x:c>
      <x:c r="Q145" s="25" t="n">
        <x:f>K145*M145+N145</x:f>
        <x:v>14.459999999999999</x:v>
      </x:c>
      <x:c r="R145" s="18" t="n">
        <x:f>K145-G145</x:f>
        <x:v>0</x:v>
      </x:c>
      <x:c r="S145" s="18" t="n">
        <x:f>INDEX('Dated offers'!$H$7:$H$305,MATCH($Z145,'Dated offers'!$A$7:$A$305,0))</x:f>
        <x:v>590494</x:v>
      </x:c>
      <x:c r="T145" s="2" t="str">
        <x:f>IF(K145&lt;G145,"Order below requirement",IF(K145&lt;L145,"Below price tier",IF(ISNUMBER(S145),IF(K145&gt;S145,"Quantity exceeds snapshot","Within quantity snapshot"),"Stock not stated")))</x:f>
        <x:v>Within quantity snapshot</x:v>
      </x:c>
      <x:c r="U145" s="2" t="str">
        <x:f>INDEX('Dated offers'!$C$7:$C$305,MATCH($Z145,'Dated offers'!$A$7:$A$305,0))</x:f>
        <x:v>DigiKey</x:v>
      </x:c>
      <x:c r="V145" s="2" t="str">
        <x:f>INDEX('Dated offers'!$D$7:$D$305,MATCH($Z145,'Dated offers'!$A$7:$A$305,0))</x:f>
        <x:v>Not stated</x:v>
      </x:c>
      <x:c r="W145" s="24" t="n">
        <x:f>INDEX('Dated offers'!$E$7:$E$305,MATCH($Z145,'Dated offers'!$A$7:$A$305,0))</x:f>
        <x:v>46307.4780725</x:v>
      </x:c>
      <x:c r="X145" s="2" t="b">
        <x:f>INDEX('Dated offers'!$N$7:$N$305,MATCH($Z145,'Dated offers'!$A$7:$A$305,0))</x:f>
        <x:v>0</x:v>
      </x:c>
      <x:c r="Y145" s="2" t="str">
        <x:f>INDEX('Dated offers'!$O$7:$O$305,MATCH($Z145,'Dated offers'!$A$7:$A$305,0))</x:f>
        <x:v>Unreserved inventory snapshot</x:v>
      </x:c>
      <x:c r="Z145" s="17" t="str">
        <x:v>OF0139</x:v>
      </x:c>
      <x:c r="AA145" s="2"/>
      <x:c r="AB145" s="2" t="str">
        <x:f>INDEX('Dated offers'!$Q$7:$Q$305,MATCH($Z145,'Dated offers'!$A$7:$A$305,0))</x:f>
        <x:v>https://www.digikey.com/en/products/detail/texas-instruments/TPD1E05U06DPYR/3844805</x:v>
      </x:c>
    </x:row>
    <x:row r="146" ht="24" customHeight="1">
      <x:c r="A146" s="2" t="str">
        <x:v>25 boards / nominal</x:v>
      </x:c>
      <x:c r="B146" s="17" t="str">
        <x:v>TPD4E1U06DBVR</x:v>
      </x:c>
      <x:c r="C146" s="18" t="n">
        <x:v>25</x:v>
      </x:c>
      <x:c r="D146" s="27" t="n">
        <x:v>0</x:v>
      </x:c>
      <x:c r="E146" s="18" t="n">
        <x:f>INDEX('Assembly BOM'!$C$7:$C$162,MATCH($B146,'Assembly BOM'!$A$7:$A$162,0))</x:f>
        <x:v>1</x:v>
      </x:c>
      <x:c r="F146" s="18" t="n">
        <x:f>C146*E146</x:f>
        <x:v>25</x:v>
      </x:c>
      <x:c r="G146" s="18" t="n">
        <x:f>ROUNDUP(F146*(1+D146),0)</x:f>
        <x:v>25</x:v>
      </x:c>
      <x:c r="H146" s="18" t="n">
        <x:f>INDEX('Dated offers'!$F$7:$F$305,MATCH($Z146,'Dated offers'!$A$7:$A$305,0))</x:f>
        <x:v>1</x:v>
      </x:c>
      <x:c r="I146" s="18" t="n">
        <x:f>INDEX('Dated offers'!$G$7:$G$305,MATCH($Z146,'Dated offers'!$A$7:$A$305,0))</x:f>
        <x:v>1</x:v>
      </x:c>
      <x:c r="J146" s="18" t="n">
        <x:f>CEILING(MAX(G146,H146),I146)</x:f>
        <x:v>25</x:v>
      </x:c>
      <x:c r="K146" s="18" t="n">
        <x:v>25</x:v>
      </x:c>
      <x:c r="L146" s="18" t="n">
        <x:f>INDEX('Dated offers'!$I$7:$I$305,MATCH($Z146,'Dated offers'!$A$7:$A$305,0))</x:f>
        <x:v>10</x:v>
      </x:c>
      <x:c r="M146" s="25" t="n">
        <x:f>INDEX('Dated offers'!$J$7:$J$305,MATCH($Z146,'Dated offers'!$A$7:$A$305,0))</x:f>
        <x:v>0.587</x:v>
      </x:c>
      <x:c r="N146" s="25" t="n">
        <x:f>INDEX('Dated offers'!$K$7:$K$305,MATCH($Z146,'Dated offers'!$A$7:$A$305,0))</x:f>
        <x:v>0</x:v>
      </x:c>
      <x:c r="O146" s="25" t="n">
        <x:f>F146*M146</x:f>
        <x:v>14.674999999999999</x:v>
      </x:c>
      <x:c r="P146" s="25" t="n">
        <x:f>G146*M146</x:f>
        <x:v>14.674999999999999</x:v>
      </x:c>
      <x:c r="Q146" s="25" t="n">
        <x:f>K146*M146+N146</x:f>
        <x:v>14.674999999999999</x:v>
      </x:c>
      <x:c r="R146" s="18" t="n">
        <x:f>K146-G146</x:f>
        <x:v>0</x:v>
      </x:c>
      <x:c r="S146" s="18" t="n">
        <x:f>INDEX('Dated offers'!$H$7:$H$305,MATCH($Z146,'Dated offers'!$A$7:$A$305,0))</x:f>
        <x:v>28706</x:v>
      </x:c>
      <x:c r="T146" s="2" t="str">
        <x:f>IF(K146&lt;G146,"Order below requirement",IF(K146&lt;L146,"Below price tier",IF(ISNUMBER(S146),IF(K146&gt;S146,"Quantity exceeds snapshot","Within quantity snapshot"),"Stock not stated")))</x:f>
        <x:v>Within quantity snapshot</x:v>
      </x:c>
      <x:c r="U146" s="2" t="str">
        <x:f>INDEX('Dated offers'!$C$7:$C$305,MATCH($Z146,'Dated offers'!$A$7:$A$305,0))</x:f>
        <x:v>DigiKey</x:v>
      </x:c>
      <x:c r="V146" s="2" t="str">
        <x:f>INDEX('Dated offers'!$D$7:$D$305,MATCH($Z146,'Dated offers'!$A$7:$A$305,0))</x:f>
        <x:v>Not stated</x:v>
      </x:c>
      <x:c r="W146" s="24" t="n">
        <x:f>INDEX('Dated offers'!$E$7:$E$305,MATCH($Z146,'Dated offers'!$A$7:$A$305,0))</x:f>
        <x:v>46307.47807255787</x:v>
      </x:c>
      <x:c r="X146" s="2" t="b">
        <x:f>INDEX('Dated offers'!$N$7:$N$305,MATCH($Z146,'Dated offers'!$A$7:$A$305,0))</x:f>
        <x:v>0</x:v>
      </x:c>
      <x:c r="Y146" s="2" t="str">
        <x:f>INDEX('Dated offers'!$O$7:$O$305,MATCH($Z146,'Dated offers'!$A$7:$A$305,0))</x:f>
        <x:v>Unreserved inventory snapshot</x:v>
      </x:c>
      <x:c r="Z146" s="17" t="str">
        <x:v>OF0140</x:v>
      </x:c>
      <x:c r="AA146" s="2"/>
      <x:c r="AB146" s="2" t="str">
        <x:f>INDEX('Dated offers'!$Q$7:$Q$305,MATCH($Z146,'Dated offers'!$A$7:$A$305,0))</x:f>
        <x:v>https://www.digikey.com/en/products/detail/texas-instruments/TPD4E1U06DBVR/3929533</x:v>
      </x:c>
    </x:row>
    <x:row r="147" ht="24" customHeight="1">
      <x:c r="A147" s="2" t="str">
        <x:v>25 boards / nominal</x:v>
      </x:c>
      <x:c r="B147" s="17" t="str">
        <x:v>TPS2490DGSR</x:v>
      </x:c>
      <x:c r="C147" s="18" t="n">
        <x:v>25</x:v>
      </x:c>
      <x:c r="D147" s="27" t="n">
        <x:v>0</x:v>
      </x:c>
      <x:c r="E147" s="18" t="n">
        <x:f>INDEX('Assembly BOM'!$C$7:$C$162,MATCH($B147,'Assembly BOM'!$A$7:$A$162,0))</x:f>
        <x:v>1</x:v>
      </x:c>
      <x:c r="F147" s="18" t="n">
        <x:f>C147*E147</x:f>
        <x:v>25</x:v>
      </x:c>
      <x:c r="G147" s="18" t="n">
        <x:f>ROUNDUP(F147*(1+D147),0)</x:f>
        <x:v>25</x:v>
      </x:c>
      <x:c r="H147" s="18" t="n">
        <x:f>INDEX('Dated offers'!$F$7:$F$305,MATCH($Z147,'Dated offers'!$A$7:$A$305,0))</x:f>
        <x:v>1</x:v>
      </x:c>
      <x:c r="I147" s="18" t="n">
        <x:f>INDEX('Dated offers'!$G$7:$G$305,MATCH($Z147,'Dated offers'!$A$7:$A$305,0))</x:f>
        <x:v>1</x:v>
      </x:c>
      <x:c r="J147" s="18" t="n">
        <x:f>CEILING(MAX(G147,H147),I147)</x:f>
        <x:v>25</x:v>
      </x:c>
      <x:c r="K147" s="18" t="n">
        <x:v>25</x:v>
      </x:c>
      <x:c r="L147" s="18" t="n">
        <x:f>INDEX('Dated offers'!$I$7:$I$305,MATCH($Z147,'Dated offers'!$A$7:$A$305,0))</x:f>
        <x:v>10</x:v>
      </x:c>
      <x:c r="M147" s="25" t="n">
        <x:f>INDEX('Dated offers'!$J$7:$J$305,MATCH($Z147,'Dated offers'!$A$7:$A$305,0))</x:f>
        <x:v>2.9487</x:v>
      </x:c>
      <x:c r="N147" s="25" t="n">
        <x:f>INDEX('Dated offers'!$K$7:$K$305,MATCH($Z147,'Dated offers'!$A$7:$A$305,0))</x:f>
        <x:v>0</x:v>
      </x:c>
      <x:c r="O147" s="25" t="n">
        <x:f>F147*M147</x:f>
        <x:v>73.7175</x:v>
      </x:c>
      <x:c r="P147" s="25" t="n">
        <x:f>G147*M147</x:f>
        <x:v>73.7175</x:v>
      </x:c>
      <x:c r="Q147" s="25" t="n">
        <x:f>K147*M147+N147</x:f>
        <x:v>73.7175</x:v>
      </x:c>
      <x:c r="R147" s="18" t="n">
        <x:f>K147-G147</x:f>
        <x:v>0</x:v>
      </x:c>
      <x:c r="S147" s="18" t="n">
        <x:f>INDEX('Dated offers'!$H$7:$H$305,MATCH($Z147,'Dated offers'!$A$7:$A$305,0))</x:f>
        <x:v>3000</x:v>
      </x:c>
      <x:c r="T147" s="2" t="str">
        <x:f>IF(K147&lt;G147,"Order below requirement",IF(K147&lt;L147,"Below price tier",IF(ISNUMBER(S147),IF(K147&gt;S147,"Quantity exceeds snapshot","Within quantity snapshot"),"Stock not stated")))</x:f>
        <x:v>Within quantity snapshot</x:v>
      </x:c>
      <x:c r="U147" s="2" t="str">
        <x:f>INDEX('Dated offers'!$C$7:$C$305,MATCH($Z147,'Dated offers'!$A$7:$A$305,0))</x:f>
        <x:v>LCSC</x:v>
      </x:c>
      <x:c r="V147" s="2" t="str">
        <x:f>INDEX('Dated offers'!$D$7:$D$305,MATCH($Z147,'Dated offers'!$A$7:$A$305,0))</x:f>
        <x:v>C139631</x:v>
      </x:c>
      <x:c r="W147" s="24" t="n">
        <x:f>INDEX('Dated offers'!$E$7:$E$305,MATCH($Z147,'Dated offers'!$A$7:$A$305,0))</x:f>
        <x:v>46307.44748415509</x:v>
      </x:c>
      <x:c r="X147" s="2" t="b">
        <x:f>INDEX('Dated offers'!$N$7:$N$305,MATCH($Z147,'Dated offers'!$A$7:$A$305,0))</x:f>
        <x:v>0</x:v>
      </x:c>
      <x:c r="Y147" s="2" t="str">
        <x:f>INDEX('Dated offers'!$O$7:$O$305,MATCH($Z147,'Dated offers'!$A$7:$A$305,0))</x:f>
        <x:v>Unreserved inventory snapshot</x:v>
      </x:c>
      <x:c r="Z147" s="17" t="str">
        <x:v>OF0141</x:v>
      </x:c>
      <x:c r="AA147" s="2"/>
      <x:c r="AB147" s="2" t="str">
        <x:f>INDEX('Dated offers'!$Q$7:$Q$305,MATCH($Z147,'Dated offers'!$A$7:$A$305,0))</x:f>
        <x:v>https://www.lcsc.com/product-detail/C139631.html</x:v>
      </x:c>
    </x:row>
    <x:row r="148" ht="24" customHeight="1">
      <x:c r="A148" s="2" t="str">
        <x:v>25 boards / nominal</x:v>
      </x:c>
      <x:c r="B148" s="17" t="str">
        <x:v>TPS2553DBVR-1</x:v>
      </x:c>
      <x:c r="C148" s="18" t="n">
        <x:v>25</x:v>
      </x:c>
      <x:c r="D148" s="27" t="n">
        <x:v>0</x:v>
      </x:c>
      <x:c r="E148" s="18" t="n">
        <x:f>INDEX('Assembly BOM'!$C$7:$C$162,MATCH($B148,'Assembly BOM'!$A$7:$A$162,0))</x:f>
        <x:v>1</x:v>
      </x:c>
      <x:c r="F148" s="18" t="n">
        <x:f>C148*E148</x:f>
        <x:v>25</x:v>
      </x:c>
      <x:c r="G148" s="18" t="n">
        <x:f>ROUNDUP(F148*(1+D148),0)</x:f>
        <x:v>25</x:v>
      </x:c>
      <x:c r="H148" s="18" t="n">
        <x:f>INDEX('Dated offers'!$F$7:$F$305,MATCH($Z148,'Dated offers'!$A$7:$A$305,0))</x:f>
        <x:v>5</x:v>
      </x:c>
      <x:c r="I148" s="18" t="n">
        <x:f>INDEX('Dated offers'!$G$7:$G$305,MATCH($Z148,'Dated offers'!$A$7:$A$305,0))</x:f>
        <x:v>5</x:v>
      </x:c>
      <x:c r="J148" s="18" t="n">
        <x:f>CEILING(MAX(G148,H148),I148)</x:f>
        <x:v>25</x:v>
      </x:c>
      <x:c r="K148" s="18" t="n">
        <x:v>25</x:v>
      </x:c>
      <x:c r="L148" s="18" t="n">
        <x:f>INDEX('Dated offers'!$I$7:$I$305,MATCH($Z148,'Dated offers'!$A$7:$A$305,0))</x:f>
        <x:v>5</x:v>
      </x:c>
      <x:c r="M148" s="25" t="n">
        <x:f>INDEX('Dated offers'!$J$7:$J$305,MATCH($Z148,'Dated offers'!$A$7:$A$305,0))</x:f>
        <x:v>0.2955</x:v>
      </x:c>
      <x:c r="N148" s="25" t="n">
        <x:f>INDEX('Dated offers'!$K$7:$K$305,MATCH($Z148,'Dated offers'!$A$7:$A$305,0))</x:f>
        <x:v>0</x:v>
      </x:c>
      <x:c r="O148" s="25" t="n">
        <x:f>F148*M148</x:f>
        <x:v>7.387499999999999</x:v>
      </x:c>
      <x:c r="P148" s="25" t="n">
        <x:f>G148*M148</x:f>
        <x:v>7.387499999999999</x:v>
      </x:c>
      <x:c r="Q148" s="25" t="n">
        <x:f>K148*M148+N148</x:f>
        <x:v>7.387499999999999</x:v>
      </x:c>
      <x:c r="R148" s="18" t="n">
        <x:f>K148-G148</x:f>
        <x:v>0</x:v>
      </x:c>
      <x:c r="S148" s="18" t="n">
        <x:f>INDEX('Dated offers'!$H$7:$H$305,MATCH($Z148,'Dated offers'!$A$7:$A$305,0))</x:f>
        <x:v>12040</x:v>
      </x:c>
      <x:c r="T148" s="2" t="str">
        <x:f>IF(K148&lt;G148,"Order below requirement",IF(K148&lt;L148,"Below price tier",IF(ISNUMBER(S148),IF(K148&gt;S148,"Quantity exceeds snapshot","Within quantity snapshot"),"Stock not stated")))</x:f>
        <x:v>Within quantity snapshot</x:v>
      </x:c>
      <x:c r="U148" s="2" t="str">
        <x:f>INDEX('Dated offers'!$C$7:$C$305,MATCH($Z148,'Dated offers'!$A$7:$A$305,0))</x:f>
        <x:v>LCSC</x:v>
      </x:c>
      <x:c r="V148" s="2" t="str">
        <x:f>INDEX('Dated offers'!$D$7:$D$305,MATCH($Z148,'Dated offers'!$A$7:$A$305,0))</x:f>
        <x:v>C111738</x:v>
      </x:c>
      <x:c r="W148" s="24" t="n">
        <x:f>INDEX('Dated offers'!$E$7:$E$305,MATCH($Z148,'Dated offers'!$A$7:$A$305,0))</x:f>
        <x:v>46307.44748585648</x:v>
      </x:c>
      <x:c r="X148" s="2" t="b">
        <x:f>INDEX('Dated offers'!$N$7:$N$305,MATCH($Z148,'Dated offers'!$A$7:$A$305,0))</x:f>
        <x:v>0</x:v>
      </x:c>
      <x:c r="Y148" s="2" t="str">
        <x:f>INDEX('Dated offers'!$O$7:$O$305,MATCH($Z148,'Dated offers'!$A$7:$A$305,0))</x:f>
        <x:v>Unreserved inventory snapshot</x:v>
      </x:c>
      <x:c r="Z148" s="17" t="str">
        <x:v>OF0142</x:v>
      </x:c>
      <x:c r="AA148" s="2"/>
      <x:c r="AB148" s="2" t="str">
        <x:f>INDEX('Dated offers'!$Q$7:$Q$305,MATCH($Z148,'Dated offers'!$A$7:$A$305,0))</x:f>
        <x:v>https://www.lcsc.com/product-detail/C111738.html</x:v>
      </x:c>
    </x:row>
    <x:row r="149" ht="24" customHeight="1">
      <x:c r="A149" s="2" t="str">
        <x:v>25 boards / nominal</x:v>
      </x:c>
      <x:c r="B149" s="17" t="str">
        <x:v>TPS259474ARPWR</x:v>
      </x:c>
      <x:c r="C149" s="18" t="n">
        <x:v>25</x:v>
      </x:c>
      <x:c r="D149" s="27" t="n">
        <x:v>0</x:v>
      </x:c>
      <x:c r="E149" s="18" t="n">
        <x:f>INDEX('Assembly BOM'!$C$7:$C$162,MATCH($B149,'Assembly BOM'!$A$7:$A$162,0))</x:f>
        <x:v>1</x:v>
      </x:c>
      <x:c r="F149" s="18" t="n">
        <x:f>C149*E149</x:f>
        <x:v>25</x:v>
      </x:c>
      <x:c r="G149" s="18" t="n">
        <x:f>ROUNDUP(F149*(1+D149),0)</x:f>
        <x:v>25</x:v>
      </x:c>
      <x:c r="H149" s="18" t="n">
        <x:f>INDEX('Dated offers'!$F$7:$F$305,MATCH($Z149,'Dated offers'!$A$7:$A$305,0))</x:f>
        <x:v>1</x:v>
      </x:c>
      <x:c r="I149" s="18" t="n">
        <x:f>INDEX('Dated offers'!$G$7:$G$305,MATCH($Z149,'Dated offers'!$A$7:$A$305,0))</x:f>
        <x:v>1</x:v>
      </x:c>
      <x:c r="J149" s="18" t="n">
        <x:f>CEILING(MAX(G149,H149),I149)</x:f>
        <x:v>25</x:v>
      </x:c>
      <x:c r="K149" s="18" t="n">
        <x:v>25</x:v>
      </x:c>
      <x:c r="L149" s="18" t="n">
        <x:f>INDEX('Dated offers'!$I$7:$I$305,MATCH($Z149,'Dated offers'!$A$7:$A$305,0))</x:f>
        <x:v>10</x:v>
      </x:c>
      <x:c r="M149" s="25" t="n">
        <x:f>INDEX('Dated offers'!$J$7:$J$305,MATCH($Z149,'Dated offers'!$A$7:$A$305,0))</x:f>
        <x:v>2.2666</x:v>
      </x:c>
      <x:c r="N149" s="25" t="n">
        <x:f>INDEX('Dated offers'!$K$7:$K$305,MATCH($Z149,'Dated offers'!$A$7:$A$305,0))</x:f>
        <x:v>0</x:v>
      </x:c>
      <x:c r="O149" s="25" t="n">
        <x:f>F149*M149</x:f>
        <x:v>56.665</x:v>
      </x:c>
      <x:c r="P149" s="25" t="n">
        <x:f>G149*M149</x:f>
        <x:v>56.665</x:v>
      </x:c>
      <x:c r="Q149" s="25" t="n">
        <x:f>K149*M149+N149</x:f>
        <x:v>56.665</x:v>
      </x:c>
      <x:c r="R149" s="18" t="n">
        <x:f>K149-G149</x:f>
        <x:v>0</x:v>
      </x:c>
      <x:c r="S149" s="18" t="n">
        <x:f>INDEX('Dated offers'!$H$7:$H$305,MATCH($Z149,'Dated offers'!$A$7:$A$305,0))</x:f>
        <x:v>208</x:v>
      </x:c>
      <x:c r="T149" s="2" t="str">
        <x:f>IF(K149&lt;G149,"Order below requirement",IF(K149&lt;L149,"Below price tier",IF(ISNUMBER(S149),IF(K149&gt;S149,"Quantity exceeds snapshot","Within quantity snapshot"),"Stock not stated")))</x:f>
        <x:v>Within quantity snapshot</x:v>
      </x:c>
      <x:c r="U149" s="2" t="str">
        <x:f>INDEX('Dated offers'!$C$7:$C$305,MATCH($Z149,'Dated offers'!$A$7:$A$305,0))</x:f>
        <x:v>LCSC</x:v>
      </x:c>
      <x:c r="V149" s="2" t="str">
        <x:f>INDEX('Dated offers'!$D$7:$D$305,MATCH($Z149,'Dated offers'!$A$7:$A$305,0))</x:f>
        <x:v>C3662807</x:v>
      </x:c>
      <x:c r="W149" s="24" t="n">
        <x:f>INDEX('Dated offers'!$E$7:$E$305,MATCH($Z149,'Dated offers'!$A$7:$A$305,0))</x:f>
        <x:v>46307.44748833333</x:v>
      </x:c>
      <x:c r="X149" s="2" t="b">
        <x:f>INDEX('Dated offers'!$N$7:$N$305,MATCH($Z149,'Dated offers'!$A$7:$A$305,0))</x:f>
        <x:v>0</x:v>
      </x:c>
      <x:c r="Y149" s="2" t="str">
        <x:f>INDEX('Dated offers'!$O$7:$O$305,MATCH($Z149,'Dated offers'!$A$7:$A$305,0))</x:f>
        <x:v>Unreserved inventory snapshot</x:v>
      </x:c>
      <x:c r="Z149" s="17" t="str">
        <x:v>OF0143</x:v>
      </x:c>
      <x:c r="AA149" s="2"/>
      <x:c r="AB149" s="2" t="str">
        <x:f>INDEX('Dated offers'!$Q$7:$Q$305,MATCH($Z149,'Dated offers'!$A$7:$A$305,0))</x:f>
        <x:v>https://www.lcsc.com/product-detail/C3662807.html</x:v>
      </x:c>
    </x:row>
    <x:row r="150" ht="24" customHeight="1">
      <x:c r="A150" s="2" t="str">
        <x:v>25 boards / nominal</x:v>
      </x:c>
      <x:c r="B150" s="17" t="str">
        <x:v>TPS259474LRPWR</x:v>
      </x:c>
      <x:c r="C150" s="18" t="n">
        <x:v>25</x:v>
      </x:c>
      <x:c r="D150" s="27" t="n">
        <x:v>0</x:v>
      </x:c>
      <x:c r="E150" s="18" t="n">
        <x:f>INDEX('Assembly BOM'!$C$7:$C$162,MATCH($B150,'Assembly BOM'!$A$7:$A$162,0))</x:f>
        <x:v>2</x:v>
      </x:c>
      <x:c r="F150" s="18" t="n">
        <x:f>C150*E150</x:f>
        <x:v>50</x:v>
      </x:c>
      <x:c r="G150" s="18" t="n">
        <x:f>ROUNDUP(F150*(1+D150),0)</x:f>
        <x:v>50</x:v>
      </x:c>
      <x:c r="H150" s="18" t="n">
        <x:f>INDEX('Dated offers'!$F$7:$F$305,MATCH($Z150,'Dated offers'!$A$7:$A$305,0))</x:f>
        <x:v>1</x:v>
      </x:c>
      <x:c r="I150" s="18" t="n">
        <x:f>INDEX('Dated offers'!$G$7:$G$305,MATCH($Z150,'Dated offers'!$A$7:$A$305,0))</x:f>
        <x:v>1</x:v>
      </x:c>
      <x:c r="J150" s="18" t="n">
        <x:f>CEILING(MAX(G150,H150),I150)</x:f>
        <x:v>50</x:v>
      </x:c>
      <x:c r="K150" s="18" t="n">
        <x:v>50</x:v>
      </x:c>
      <x:c r="L150" s="18" t="n">
        <x:f>INDEX('Dated offers'!$I$7:$I$305,MATCH($Z150,'Dated offers'!$A$7:$A$305,0))</x:f>
        <x:v>25</x:v>
      </x:c>
      <x:c r="M150" s="25" t="n">
        <x:f>INDEX('Dated offers'!$J$7:$J$305,MATCH($Z150,'Dated offers'!$A$7:$A$305,0))</x:f>
        <x:v>1.3056</x:v>
      </x:c>
      <x:c r="N150" s="25" t="n">
        <x:f>INDEX('Dated offers'!$K$7:$K$305,MATCH($Z150,'Dated offers'!$A$7:$A$305,0))</x:f>
        <x:v>0</x:v>
      </x:c>
      <x:c r="O150" s="25" t="n">
        <x:f>F150*M150</x:f>
        <x:v>65.28</x:v>
      </x:c>
      <x:c r="P150" s="25" t="n">
        <x:f>G150*M150</x:f>
        <x:v>65.28</x:v>
      </x:c>
      <x:c r="Q150" s="25" t="n">
        <x:f>K150*M150+N150</x:f>
        <x:v>65.28</x:v>
      </x:c>
      <x:c r="R150" s="18" t="n">
        <x:f>K150-G150</x:f>
        <x:v>0</x:v>
      </x:c>
      <x:c r="S150" s="18" t="n">
        <x:f>INDEX('Dated offers'!$H$7:$H$305,MATCH($Z150,'Dated offers'!$A$7:$A$305,0))</x:f>
        <x:v>39724</x:v>
      </x:c>
      <x:c r="T150" s="2" t="str">
        <x:f>IF(K150&lt;G150,"Order below requirement",IF(K150&lt;L150,"Below price tier",IF(ISNUMBER(S150),IF(K150&gt;S150,"Quantity exceeds snapshot","Within quantity snapshot"),"Stock not stated")))</x:f>
        <x:v>Within quantity snapshot</x:v>
      </x:c>
      <x:c r="U150" s="2" t="str">
        <x:f>INDEX('Dated offers'!$C$7:$C$305,MATCH($Z150,'Dated offers'!$A$7:$A$305,0))</x:f>
        <x:v>DigiKey</x:v>
      </x:c>
      <x:c r="V150" s="2" t="str">
        <x:f>INDEX('Dated offers'!$D$7:$D$305,MATCH($Z150,'Dated offers'!$A$7:$A$305,0))</x:f>
        <x:v>Not stated</x:v>
      </x:c>
      <x:c r="W150" s="24" t="n">
        <x:f>INDEX('Dated offers'!$E$7:$E$305,MATCH($Z150,'Dated offers'!$A$7:$A$305,0))</x:f>
        <x:v>46307.47807253472</x:v>
      </x:c>
      <x:c r="X150" s="2" t="b">
        <x:f>INDEX('Dated offers'!$N$7:$N$305,MATCH($Z150,'Dated offers'!$A$7:$A$305,0))</x:f>
        <x:v>0</x:v>
      </x:c>
      <x:c r="Y150" s="2" t="str">
        <x:f>INDEX('Dated offers'!$O$7:$O$305,MATCH($Z150,'Dated offers'!$A$7:$A$305,0))</x:f>
        <x:v>Unreserved inventory snapshot</x:v>
      </x:c>
      <x:c r="Z150" s="17" t="str">
        <x:v>OF0144</x:v>
      </x:c>
      <x:c r="AA150" s="2"/>
      <x:c r="AB150" s="2" t="str">
        <x:f>INDEX('Dated offers'!$Q$7:$Q$305,MATCH($Z150,'Dated offers'!$A$7:$A$305,0))</x:f>
        <x:v>https://www.digikey.com/en/products/detail/texas-instruments/TPS259474LRPWR/14123976</x:v>
      </x:c>
    </x:row>
    <x:row r="151" ht="24" customHeight="1">
      <x:c r="A151" s="2" t="str">
        <x:v>25 boards / nominal</x:v>
      </x:c>
      <x:c r="B151" s="17" t="str">
        <x:v>TPS3435CAKAGDDFR</x:v>
      </x:c>
      <x:c r="C151" s="18" t="n">
        <x:v>25</x:v>
      </x:c>
      <x:c r="D151" s="27" t="n">
        <x:v>0</x:v>
      </x:c>
      <x:c r="E151" s="18" t="n">
        <x:f>INDEX('Assembly BOM'!$C$7:$C$162,MATCH($B151,'Assembly BOM'!$A$7:$A$162,0))</x:f>
        <x:v>1</x:v>
      </x:c>
      <x:c r="F151" s="18" t="n">
        <x:f>C151*E151</x:f>
        <x:v>25</x:v>
      </x:c>
      <x:c r="G151" s="18" t="n">
        <x:f>ROUNDUP(F151*(1+D151),0)</x:f>
        <x:v>25</x:v>
      </x:c>
      <x:c r="H151" s="18" t="n">
        <x:f>INDEX('Dated offers'!$F$7:$F$305,MATCH($Z151,'Dated offers'!$A$7:$A$305,0))</x:f>
        <x:v>1</x:v>
      </x:c>
      <x:c r="I151" s="18" t="n">
        <x:f>INDEX('Dated offers'!$G$7:$G$305,MATCH($Z151,'Dated offers'!$A$7:$A$305,0))</x:f>
        <x:v>1</x:v>
      </x:c>
      <x:c r="J151" s="18" t="n">
        <x:f>CEILING(MAX(G151,H151),I151)</x:f>
        <x:v>25</x:v>
      </x:c>
      <x:c r="K151" s="18" t="n">
        <x:v>25</x:v>
      </x:c>
      <x:c r="L151" s="18" t="n">
        <x:f>INDEX('Dated offers'!$I$7:$I$305,MATCH($Z151,'Dated offers'!$A$7:$A$305,0))</x:f>
        <x:v>25</x:v>
      </x:c>
      <x:c r="M151" s="25" t="n">
        <x:f>INDEX('Dated offers'!$J$7:$J$305,MATCH($Z151,'Dated offers'!$A$7:$A$305,0))</x:f>
        <x:v>1.6488</x:v>
      </x:c>
      <x:c r="N151" s="25" t="n">
        <x:f>INDEX('Dated offers'!$K$7:$K$305,MATCH($Z151,'Dated offers'!$A$7:$A$305,0))</x:f>
        <x:v>0</x:v>
      </x:c>
      <x:c r="O151" s="25" t="n">
        <x:f>F151*M151</x:f>
        <x:v>41.22</x:v>
      </x:c>
      <x:c r="P151" s="25" t="n">
        <x:f>G151*M151</x:f>
        <x:v>41.22</x:v>
      </x:c>
      <x:c r="Q151" s="25" t="n">
        <x:f>K151*M151+N151</x:f>
        <x:v>41.22</x:v>
      </x:c>
      <x:c r="R151" s="18" t="n">
        <x:f>K151-G151</x:f>
        <x:v>0</x:v>
      </x:c>
      <x:c r="S151" s="18" t="n">
        <x:f>INDEX('Dated offers'!$H$7:$H$305,MATCH($Z151,'Dated offers'!$A$7:$A$305,0))</x:f>
        <x:v>5443</x:v>
      </x:c>
      <x:c r="T151" s="2" t="str">
        <x:f>IF(K151&lt;G151,"Order below requirement",IF(K151&lt;L151,"Below price tier",IF(ISNUMBER(S151),IF(K151&gt;S151,"Quantity exceeds snapshot","Within quantity snapshot"),"Stock not stated")))</x:f>
        <x:v>Within quantity snapshot</x:v>
      </x:c>
      <x:c r="U151" s="2" t="str">
        <x:f>INDEX('Dated offers'!$C$7:$C$305,MATCH($Z151,'Dated offers'!$A$7:$A$305,0))</x:f>
        <x:v>DigiKey</x:v>
      </x:c>
      <x:c r="V151" s="2" t="str">
        <x:f>INDEX('Dated offers'!$D$7:$D$305,MATCH($Z151,'Dated offers'!$A$7:$A$305,0))</x:f>
        <x:v>Not stated</x:v>
      </x:c>
      <x:c r="W151" s="24" t="n">
        <x:f>INDEX('Dated offers'!$E$7:$E$305,MATCH($Z151,'Dated offers'!$A$7:$A$305,0))</x:f>
        <x:v>46307.47807273148</x:v>
      </x:c>
      <x:c r="X151" s="2" t="b">
        <x:f>INDEX('Dated offers'!$N$7:$N$305,MATCH($Z151,'Dated offers'!$A$7:$A$305,0))</x:f>
        <x:v>0</x:v>
      </x:c>
      <x:c r="Y151" s="2" t="str">
        <x:f>INDEX('Dated offers'!$O$7:$O$305,MATCH($Z151,'Dated offers'!$A$7:$A$305,0))</x:f>
        <x:v>Unreserved inventory snapshot</x:v>
      </x:c>
      <x:c r="Z151" s="17" t="str">
        <x:v>OF0145</x:v>
      </x:c>
      <x:c r="AA151" s="2"/>
      <x:c r="AB151" s="2" t="str">
        <x:f>INDEX('Dated offers'!$Q$7:$Q$305,MATCH($Z151,'Dated offers'!$A$7:$A$305,0))</x:f>
        <x:v>https://www.digikey.com/en/products/detail/texas-instruments/TPS3435CAKAGDDFR/17748491</x:v>
      </x:c>
    </x:row>
    <x:row r="152" ht="24" customHeight="1">
      <x:c r="A152" s="2" t="str">
        <x:v>25 boards / nominal</x:v>
      </x:c>
      <x:c r="B152" s="17" t="str">
        <x:v>TPS3700DDCR</x:v>
      </x:c>
      <x:c r="C152" s="18" t="n">
        <x:v>25</x:v>
      </x:c>
      <x:c r="D152" s="27" t="n">
        <x:v>0</x:v>
      </x:c>
      <x:c r="E152" s="18" t="n">
        <x:f>INDEX('Assembly BOM'!$C$7:$C$162,MATCH($B152,'Assembly BOM'!$A$7:$A$162,0))</x:f>
        <x:v>1</x:v>
      </x:c>
      <x:c r="F152" s="18" t="n">
        <x:f>C152*E152</x:f>
        <x:v>25</x:v>
      </x:c>
      <x:c r="G152" s="18" t="n">
        <x:f>ROUNDUP(F152*(1+D152),0)</x:f>
        <x:v>25</x:v>
      </x:c>
      <x:c r="H152" s="18" t="n">
        <x:f>INDEX('Dated offers'!$F$7:$F$305,MATCH($Z152,'Dated offers'!$A$7:$A$305,0))</x:f>
        <x:v>1</x:v>
      </x:c>
      <x:c r="I152" s="18" t="n">
        <x:f>INDEX('Dated offers'!$G$7:$G$305,MATCH($Z152,'Dated offers'!$A$7:$A$305,0))</x:f>
        <x:v>1</x:v>
      </x:c>
      <x:c r="J152" s="18" t="n">
        <x:f>CEILING(MAX(G152,H152),I152)</x:f>
        <x:v>25</x:v>
      </x:c>
      <x:c r="K152" s="18" t="n">
        <x:v>25</x:v>
      </x:c>
      <x:c r="L152" s="18" t="n">
        <x:f>INDEX('Dated offers'!$I$7:$I$305,MATCH($Z152,'Dated offers'!$A$7:$A$305,0))</x:f>
        <x:v>10</x:v>
      </x:c>
      <x:c r="M152" s="25" t="n">
        <x:f>INDEX('Dated offers'!$J$7:$J$305,MATCH($Z152,'Dated offers'!$A$7:$A$305,0))</x:f>
        <x:v>1.1833</x:v>
      </x:c>
      <x:c r="N152" s="25" t="n">
        <x:f>INDEX('Dated offers'!$K$7:$K$305,MATCH($Z152,'Dated offers'!$A$7:$A$305,0))</x:f>
        <x:v>0</x:v>
      </x:c>
      <x:c r="O152" s="25" t="n">
        <x:f>F152*M152</x:f>
        <x:v>29.5825</x:v>
      </x:c>
      <x:c r="P152" s="25" t="n">
        <x:f>G152*M152</x:f>
        <x:v>29.5825</x:v>
      </x:c>
      <x:c r="Q152" s="25" t="n">
        <x:f>K152*M152+N152</x:f>
        <x:v>29.5825</x:v>
      </x:c>
      <x:c r="R152" s="18" t="n">
        <x:f>K152-G152</x:f>
        <x:v>0</x:v>
      </x:c>
      <x:c r="S152" s="18" t="n">
        <x:f>INDEX('Dated offers'!$H$7:$H$305,MATCH($Z152,'Dated offers'!$A$7:$A$305,0))</x:f>
        <x:v>13826</x:v>
      </x:c>
      <x:c r="T152" s="2" t="str">
        <x:f>IF(K152&lt;G152,"Order below requirement",IF(K152&lt;L152,"Below price tier",IF(ISNUMBER(S152),IF(K152&gt;S152,"Quantity exceeds snapshot","Within quantity snapshot"),"Stock not stated")))</x:f>
        <x:v>Within quantity snapshot</x:v>
      </x:c>
      <x:c r="U152" s="2" t="str">
        <x:f>INDEX('Dated offers'!$C$7:$C$305,MATCH($Z152,'Dated offers'!$A$7:$A$305,0))</x:f>
        <x:v>LCSC</x:v>
      </x:c>
      <x:c r="V152" s="2" t="str">
        <x:f>INDEX('Dated offers'!$D$7:$D$305,MATCH($Z152,'Dated offers'!$A$7:$A$305,0))</x:f>
        <x:v>C33002</x:v>
      </x:c>
      <x:c r="W152" s="24" t="n">
        <x:f>INDEX('Dated offers'!$E$7:$E$305,MATCH($Z152,'Dated offers'!$A$7:$A$305,0))</x:f>
        <x:v>46307.44749138889</x:v>
      </x:c>
      <x:c r="X152" s="2" t="b">
        <x:f>INDEX('Dated offers'!$N$7:$N$305,MATCH($Z152,'Dated offers'!$A$7:$A$305,0))</x:f>
        <x:v>0</x:v>
      </x:c>
      <x:c r="Y152" s="2" t="str">
        <x:f>INDEX('Dated offers'!$O$7:$O$305,MATCH($Z152,'Dated offers'!$A$7:$A$305,0))</x:f>
        <x:v>Unreserved inventory snapshot</x:v>
      </x:c>
      <x:c r="Z152" s="17" t="str">
        <x:v>OF0146</x:v>
      </x:c>
      <x:c r="AA152" s="2"/>
      <x:c r="AB152" s="2" t="str">
        <x:f>INDEX('Dated offers'!$Q$7:$Q$305,MATCH($Z152,'Dated offers'!$A$7:$A$305,0))</x:f>
        <x:v>https://www.lcsc.com/product-detail/C33002.html</x:v>
      </x:c>
    </x:row>
    <x:row r="153" ht="24" customHeight="1">
      <x:c r="A153" s="2" t="str">
        <x:v>25 boards / nominal</x:v>
      </x:c>
      <x:c r="B153" s="17" t="str">
        <x:v>TPS3808G01DBVR</x:v>
      </x:c>
      <x:c r="C153" s="18" t="n">
        <x:v>25</x:v>
      </x:c>
      <x:c r="D153" s="27" t="n">
        <x:v>0</x:v>
      </x:c>
      <x:c r="E153" s="18" t="n">
        <x:f>INDEX('Assembly BOM'!$C$7:$C$162,MATCH($B153,'Assembly BOM'!$A$7:$A$162,0))</x:f>
        <x:v>2</x:v>
      </x:c>
      <x:c r="F153" s="18" t="n">
        <x:f>C153*E153</x:f>
        <x:v>50</x:v>
      </x:c>
      <x:c r="G153" s="18" t="n">
        <x:f>ROUNDUP(F153*(1+D153),0)</x:f>
        <x:v>50</x:v>
      </x:c>
      <x:c r="H153" s="18" t="n">
        <x:f>INDEX('Dated offers'!$F$7:$F$305,MATCH($Z153,'Dated offers'!$A$7:$A$305,0))</x:f>
        <x:v>5</x:v>
      </x:c>
      <x:c r="I153" s="18" t="n">
        <x:f>INDEX('Dated offers'!$G$7:$G$305,MATCH($Z153,'Dated offers'!$A$7:$A$305,0))</x:f>
        <x:v>5</x:v>
      </x:c>
      <x:c r="J153" s="18" t="n">
        <x:f>CEILING(MAX(G153,H153),I153)</x:f>
        <x:v>50</x:v>
      </x:c>
      <x:c r="K153" s="18" t="n">
        <x:v>50</x:v>
      </x:c>
      <x:c r="L153" s="18" t="n">
        <x:f>INDEX('Dated offers'!$I$7:$I$305,MATCH($Z153,'Dated offers'!$A$7:$A$305,0))</x:f>
        <x:v>50</x:v>
      </x:c>
      <x:c r="M153" s="25" t="n">
        <x:f>INDEX('Dated offers'!$J$7:$J$305,MATCH($Z153,'Dated offers'!$A$7:$A$305,0))</x:f>
        <x:v>0.3427</x:v>
      </x:c>
      <x:c r="N153" s="25" t="n">
        <x:f>INDEX('Dated offers'!$K$7:$K$305,MATCH($Z153,'Dated offers'!$A$7:$A$305,0))</x:f>
        <x:v>0</x:v>
      </x:c>
      <x:c r="O153" s="25" t="n">
        <x:f>F153*M153</x:f>
        <x:v>17.135</x:v>
      </x:c>
      <x:c r="P153" s="25" t="n">
        <x:f>G153*M153</x:f>
        <x:v>17.135</x:v>
      </x:c>
      <x:c r="Q153" s="25" t="n">
        <x:f>K153*M153+N153</x:f>
        <x:v>17.135</x:v>
      </x:c>
      <x:c r="R153" s="18" t="n">
        <x:f>K153-G153</x:f>
        <x:v>0</x:v>
      </x:c>
      <x:c r="S153" s="18" t="n">
        <x:f>INDEX('Dated offers'!$H$7:$H$305,MATCH($Z153,'Dated offers'!$A$7:$A$305,0))</x:f>
        <x:v>15495</x:v>
      </x:c>
      <x:c r="T153" s="2" t="str">
        <x:f>IF(K153&lt;G153,"Order below requirement",IF(K153&lt;L153,"Below price tier",IF(ISNUMBER(S153),IF(K153&gt;S153,"Quantity exceeds snapshot","Within quantity snapshot"),"Stock not stated")))</x:f>
        <x:v>Within quantity snapshot</x:v>
      </x:c>
      <x:c r="U153" s="2" t="str">
        <x:f>INDEX('Dated offers'!$C$7:$C$305,MATCH($Z153,'Dated offers'!$A$7:$A$305,0))</x:f>
        <x:v>LCSC</x:v>
      </x:c>
      <x:c r="V153" s="2" t="str">
        <x:f>INDEX('Dated offers'!$D$7:$D$305,MATCH($Z153,'Dated offers'!$A$7:$A$305,0))</x:f>
        <x:v>C19653</x:v>
      </x:c>
      <x:c r="W153" s="24" t="n">
        <x:f>INDEX('Dated offers'!$E$7:$E$305,MATCH($Z153,'Dated offers'!$A$7:$A$305,0))</x:f>
        <x:v>46307.44749333333</x:v>
      </x:c>
      <x:c r="X153" s="2" t="b">
        <x:f>INDEX('Dated offers'!$N$7:$N$305,MATCH($Z153,'Dated offers'!$A$7:$A$305,0))</x:f>
        <x:v>0</x:v>
      </x:c>
      <x:c r="Y153" s="2" t="str">
        <x:f>INDEX('Dated offers'!$O$7:$O$305,MATCH($Z153,'Dated offers'!$A$7:$A$305,0))</x:f>
        <x:v>Unreserved inventory snapshot</x:v>
      </x:c>
      <x:c r="Z153" s="17" t="str">
        <x:v>OF0147</x:v>
      </x:c>
      <x:c r="AA153" s="2"/>
      <x:c r="AB153" s="2" t="str">
        <x:f>INDEX('Dated offers'!$Q$7:$Q$305,MATCH($Z153,'Dated offers'!$A$7:$A$305,0))</x:f>
        <x:v>https://www.lcsc.com/product-detail/C19653.html</x:v>
      </x:c>
    </x:row>
    <x:row r="154" ht="24" customHeight="1">
      <x:c r="A154" s="2" t="str">
        <x:v>25 boards / nominal</x:v>
      </x:c>
      <x:c r="B154" s="17" t="str">
        <x:v>TPS3808G33DBVR</x:v>
      </x:c>
      <x:c r="C154" s="18" t="n">
        <x:v>25</x:v>
      </x:c>
      <x:c r="D154" s="27" t="n">
        <x:v>0</x:v>
      </x:c>
      <x:c r="E154" s="18" t="n">
        <x:f>INDEX('Assembly BOM'!$C$7:$C$162,MATCH($B154,'Assembly BOM'!$A$7:$A$162,0))</x:f>
        <x:v>1</x:v>
      </x:c>
      <x:c r="F154" s="18" t="n">
        <x:f>C154*E154</x:f>
        <x:v>25</x:v>
      </x:c>
      <x:c r="G154" s="18" t="n">
        <x:f>ROUNDUP(F154*(1+D154),0)</x:f>
        <x:v>25</x:v>
      </x:c>
      <x:c r="H154" s="18" t="n">
        <x:f>INDEX('Dated offers'!$F$7:$F$305,MATCH($Z154,'Dated offers'!$A$7:$A$305,0))</x:f>
        <x:v>1</x:v>
      </x:c>
      <x:c r="I154" s="18" t="n">
        <x:f>INDEX('Dated offers'!$G$7:$G$305,MATCH($Z154,'Dated offers'!$A$7:$A$305,0))</x:f>
        <x:v>1</x:v>
      </x:c>
      <x:c r="J154" s="18" t="n">
        <x:f>CEILING(MAX(G154,H154),I154)</x:f>
        <x:v>25</x:v>
      </x:c>
      <x:c r="K154" s="18" t="n">
        <x:v>25</x:v>
      </x:c>
      <x:c r="L154" s="18" t="n">
        <x:f>INDEX('Dated offers'!$I$7:$I$305,MATCH($Z154,'Dated offers'!$A$7:$A$305,0))</x:f>
        <x:v>10</x:v>
      </x:c>
      <x:c r="M154" s="25" t="n">
        <x:f>INDEX('Dated offers'!$J$7:$J$305,MATCH($Z154,'Dated offers'!$A$7:$A$305,0))</x:f>
        <x:v>0.3387</x:v>
      </x:c>
      <x:c r="N154" s="25" t="n">
        <x:f>INDEX('Dated offers'!$K$7:$K$305,MATCH($Z154,'Dated offers'!$A$7:$A$305,0))</x:f>
        <x:v>0</x:v>
      </x:c>
      <x:c r="O154" s="25" t="n">
        <x:f>F154*M154</x:f>
        <x:v>8.4675</x:v>
      </x:c>
      <x:c r="P154" s="25" t="n">
        <x:f>G154*M154</x:f>
        <x:v>8.4675</x:v>
      </x:c>
      <x:c r="Q154" s="25" t="n">
        <x:f>K154*M154+N154</x:f>
        <x:v>8.4675</x:v>
      </x:c>
      <x:c r="R154" s="18" t="n">
        <x:f>K154-G154</x:f>
        <x:v>0</x:v>
      </x:c>
      <x:c r="S154" s="18" t="n">
        <x:f>INDEX('Dated offers'!$H$7:$H$305,MATCH($Z154,'Dated offers'!$A$7:$A$305,0))</x:f>
        <x:v>23019</x:v>
      </x:c>
      <x:c r="T154" s="2" t="str">
        <x:f>IF(K154&lt;G154,"Order below requirement",IF(K154&lt;L154,"Below price tier",IF(ISNUMBER(S154),IF(K154&gt;S154,"Quantity exceeds snapshot","Within quantity snapshot"),"Stock not stated")))</x:f>
        <x:v>Within quantity snapshot</x:v>
      </x:c>
      <x:c r="U154" s="2" t="str">
        <x:f>INDEX('Dated offers'!$C$7:$C$305,MATCH($Z154,'Dated offers'!$A$7:$A$305,0))</x:f>
        <x:v>LCSC</x:v>
      </x:c>
      <x:c r="V154" s="2" t="str">
        <x:f>INDEX('Dated offers'!$D$7:$D$305,MATCH($Z154,'Dated offers'!$A$7:$A$305,0))</x:f>
        <x:v>C43698</x:v>
      </x:c>
      <x:c r="W154" s="24" t="n">
        <x:f>INDEX('Dated offers'!$E$7:$E$305,MATCH($Z154,'Dated offers'!$A$7:$A$305,0))</x:f>
        <x:v>46307.44749550926</x:v>
      </x:c>
      <x:c r="X154" s="2" t="b">
        <x:f>INDEX('Dated offers'!$N$7:$N$305,MATCH($Z154,'Dated offers'!$A$7:$A$305,0))</x:f>
        <x:v>0</x:v>
      </x:c>
      <x:c r="Y154" s="2" t="str">
        <x:f>INDEX('Dated offers'!$O$7:$O$305,MATCH($Z154,'Dated offers'!$A$7:$A$305,0))</x:f>
        <x:v>Unreserved inventory snapshot</x:v>
      </x:c>
      <x:c r="Z154" s="17" t="str">
        <x:v>OF0148</x:v>
      </x:c>
      <x:c r="AA154" s="2"/>
      <x:c r="AB154" s="2" t="str">
        <x:f>INDEX('Dated offers'!$Q$7:$Q$305,MATCH($Z154,'Dated offers'!$A$7:$A$305,0))</x:f>
        <x:v>https://www.lcsc.com/product-detail/C43698.html</x:v>
      </x:c>
    </x:row>
    <x:row r="155" ht="24" customHeight="1">
      <x:c r="A155" s="2" t="str">
        <x:v>25 boards / nominal</x:v>
      </x:c>
      <x:c r="B155" s="17" t="str">
        <x:v>TPS389001DSER</x:v>
      </x:c>
      <x:c r="C155" s="18" t="n">
        <x:v>25</x:v>
      </x:c>
      <x:c r="D155" s="27" t="n">
        <x:v>0</x:v>
      </x:c>
      <x:c r="E155" s="18" t="n">
        <x:f>INDEX('Assembly BOM'!$C$7:$C$162,MATCH($B155,'Assembly BOM'!$A$7:$A$162,0))</x:f>
        <x:v>1</x:v>
      </x:c>
      <x:c r="F155" s="18" t="n">
        <x:f>C155*E155</x:f>
        <x:v>25</x:v>
      </x:c>
      <x:c r="G155" s="18" t="n">
        <x:f>ROUNDUP(F155*(1+D155),0)</x:f>
        <x:v>25</x:v>
      </x:c>
      <x:c r="H155" s="18" t="n">
        <x:f>INDEX('Dated offers'!$F$7:$F$305,MATCH($Z155,'Dated offers'!$A$7:$A$305,0))</x:f>
        <x:v>1</x:v>
      </x:c>
      <x:c r="I155" s="18" t="n">
        <x:f>INDEX('Dated offers'!$G$7:$G$305,MATCH($Z155,'Dated offers'!$A$7:$A$305,0))</x:f>
        <x:v>1</x:v>
      </x:c>
      <x:c r="J155" s="18" t="n">
        <x:f>CEILING(MAX(G155,H155),I155)</x:f>
        <x:v>25</x:v>
      </x:c>
      <x:c r="K155" s="18" t="n">
        <x:v>25</x:v>
      </x:c>
      <x:c r="L155" s="18" t="n">
        <x:f>INDEX('Dated offers'!$I$7:$I$305,MATCH($Z155,'Dated offers'!$A$7:$A$305,0))</x:f>
        <x:v>25</x:v>
      </x:c>
      <x:c r="M155" s="25" t="n">
        <x:f>INDEX('Dated offers'!$J$7:$J$305,MATCH($Z155,'Dated offers'!$A$7:$A$305,0))</x:f>
        <x:v>1.2648</x:v>
      </x:c>
      <x:c r="N155" s="25" t="n">
        <x:f>INDEX('Dated offers'!$K$7:$K$305,MATCH($Z155,'Dated offers'!$A$7:$A$305,0))</x:f>
        <x:v>0</x:v>
      </x:c>
      <x:c r="O155" s="25" t="n">
        <x:f>F155*M155</x:f>
        <x:v>31.619999999999997</x:v>
      </x:c>
      <x:c r="P155" s="25" t="n">
        <x:f>G155*M155</x:f>
        <x:v>31.619999999999997</x:v>
      </x:c>
      <x:c r="Q155" s="25" t="n">
        <x:f>K155*M155+N155</x:f>
        <x:v>31.619999999999997</x:v>
      </x:c>
      <x:c r="R155" s="18" t="n">
        <x:f>K155-G155</x:f>
        <x:v>0</x:v>
      </x:c>
      <x:c r="S155" s="18" t="n">
        <x:f>INDEX('Dated offers'!$H$7:$H$305,MATCH($Z155,'Dated offers'!$A$7:$A$305,0))</x:f>
        <x:v>26260</x:v>
      </x:c>
      <x:c r="T155" s="2" t="str">
        <x:f>IF(K155&lt;G155,"Order below requirement",IF(K155&lt;L155,"Below price tier",IF(ISNUMBER(S155),IF(K155&gt;S155,"Quantity exceeds snapshot","Within quantity snapshot"),"Stock not stated")))</x:f>
        <x:v>Within quantity snapshot</x:v>
      </x:c>
      <x:c r="U155" s="2" t="str">
        <x:f>INDEX('Dated offers'!$C$7:$C$305,MATCH($Z155,'Dated offers'!$A$7:$A$305,0))</x:f>
        <x:v>DigiKey</x:v>
      </x:c>
      <x:c r="V155" s="2" t="str">
        <x:f>INDEX('Dated offers'!$D$7:$D$305,MATCH($Z155,'Dated offers'!$A$7:$A$305,0))</x:f>
        <x:v>Not stated</x:v>
      </x:c>
      <x:c r="W155" s="24" t="n">
        <x:f>INDEX('Dated offers'!$E$7:$E$305,MATCH($Z155,'Dated offers'!$A$7:$A$305,0))</x:f>
        <x:v>46307.47807253472</x:v>
      </x:c>
      <x:c r="X155" s="2" t="b">
        <x:f>INDEX('Dated offers'!$N$7:$N$305,MATCH($Z155,'Dated offers'!$A$7:$A$305,0))</x:f>
        <x:v>0</x:v>
      </x:c>
      <x:c r="Y155" s="2" t="str">
        <x:f>INDEX('Dated offers'!$O$7:$O$305,MATCH($Z155,'Dated offers'!$A$7:$A$305,0))</x:f>
        <x:v>Unreserved inventory snapshot</x:v>
      </x:c>
      <x:c r="Z155" s="17" t="str">
        <x:v>OF0149</x:v>
      </x:c>
      <x:c r="AA155" s="2"/>
      <x:c r="AB155" s="2" t="str">
        <x:f>INDEX('Dated offers'!$Q$7:$Q$305,MATCH($Z155,'Dated offers'!$A$7:$A$305,0))</x:f>
        <x:v>https://www.digikey.com/en/products/detail/texas-instruments/TPS389001DSER/6123505</x:v>
      </x:c>
    </x:row>
    <x:row r="156" ht="24" customHeight="1">
      <x:c r="A156" s="2" t="str">
        <x:v>25 boards / nominal</x:v>
      </x:c>
      <x:c r="B156" s="17" t="str">
        <x:v>TPS62912RPUR</x:v>
      </x:c>
      <x:c r="C156" s="18" t="n">
        <x:v>25</x:v>
      </x:c>
      <x:c r="D156" s="27" t="n">
        <x:v>0</x:v>
      </x:c>
      <x:c r="E156" s="18" t="n">
        <x:f>INDEX('Assembly BOM'!$C$7:$C$162,MATCH($B156,'Assembly BOM'!$A$7:$A$162,0))</x:f>
        <x:v>3</x:v>
      </x:c>
      <x:c r="F156" s="18" t="n">
        <x:f>C156*E156</x:f>
        <x:v>75</x:v>
      </x:c>
      <x:c r="G156" s="18" t="n">
        <x:f>ROUNDUP(F156*(1+D156),0)</x:f>
        <x:v>75</x:v>
      </x:c>
      <x:c r="H156" s="18" t="n">
        <x:f>INDEX('Dated offers'!$F$7:$F$305,MATCH($Z156,'Dated offers'!$A$7:$A$305,0))</x:f>
        <x:v>1</x:v>
      </x:c>
      <x:c r="I156" s="18" t="n">
        <x:f>INDEX('Dated offers'!$G$7:$G$305,MATCH($Z156,'Dated offers'!$A$7:$A$305,0))</x:f>
        <x:v>1</x:v>
      </x:c>
      <x:c r="J156" s="18" t="n">
        <x:f>CEILING(MAX(G156,H156),I156)</x:f>
        <x:v>75</x:v>
      </x:c>
      <x:c r="K156" s="18" t="n">
        <x:v>75</x:v>
      </x:c>
      <x:c r="L156" s="18" t="n">
        <x:f>INDEX('Dated offers'!$I$7:$I$305,MATCH($Z156,'Dated offers'!$A$7:$A$305,0))</x:f>
        <x:v>30</x:v>
      </x:c>
      <x:c r="M156" s="25" t="n">
        <x:f>INDEX('Dated offers'!$J$7:$J$305,MATCH($Z156,'Dated offers'!$A$7:$A$305,0))</x:f>
        <x:v>3.116</x:v>
      </x:c>
      <x:c r="N156" s="25" t="n">
        <x:f>INDEX('Dated offers'!$K$7:$K$305,MATCH($Z156,'Dated offers'!$A$7:$A$305,0))</x:f>
        <x:v>0</x:v>
      </x:c>
      <x:c r="O156" s="25" t="n">
        <x:f>F156*M156</x:f>
        <x:v>233.70000000000002</x:v>
      </x:c>
      <x:c r="P156" s="25" t="n">
        <x:f>G156*M156</x:f>
        <x:v>233.70000000000002</x:v>
      </x:c>
      <x:c r="Q156" s="25" t="n">
        <x:f>K156*M156+N156</x:f>
        <x:v>233.70000000000002</x:v>
      </x:c>
      <x:c r="R156" s="18" t="n">
        <x:f>K156-G156</x:f>
        <x:v>0</x:v>
      </x:c>
      <x:c r="S156" s="18" t="n">
        <x:f>INDEX('Dated offers'!$H$7:$H$305,MATCH($Z156,'Dated offers'!$A$7:$A$305,0))</x:f>
        <x:v>902</x:v>
      </x:c>
      <x:c r="T156" s="2" t="str">
        <x:f>IF(K156&lt;G156,"Order below requirement",IF(K156&lt;L156,"Below price tier",IF(ISNUMBER(S156),IF(K156&gt;S156,"Quantity exceeds snapshot","Within quantity snapshot"),"Stock not stated")))</x:f>
        <x:v>Within quantity snapshot</x:v>
      </x:c>
      <x:c r="U156" s="2" t="str">
        <x:f>INDEX('Dated offers'!$C$7:$C$305,MATCH($Z156,'Dated offers'!$A$7:$A$305,0))</x:f>
        <x:v>LCSC</x:v>
      </x:c>
      <x:c r="V156" s="2" t="str">
        <x:f>INDEX('Dated offers'!$D$7:$D$305,MATCH($Z156,'Dated offers'!$A$7:$A$305,0))</x:f>
        <x:v>C3198056</x:v>
      </x:c>
      <x:c r="W156" s="24" t="n">
        <x:f>INDEX('Dated offers'!$E$7:$E$305,MATCH($Z156,'Dated offers'!$A$7:$A$305,0))</x:f>
        <x:v>46307.44749672454</x:v>
      </x:c>
      <x:c r="X156" s="2" t="b">
        <x:f>INDEX('Dated offers'!$N$7:$N$305,MATCH($Z156,'Dated offers'!$A$7:$A$305,0))</x:f>
        <x:v>0</x:v>
      </x:c>
      <x:c r="Y156" s="2" t="str">
        <x:f>INDEX('Dated offers'!$O$7:$O$305,MATCH($Z156,'Dated offers'!$A$7:$A$305,0))</x:f>
        <x:v>Unreserved inventory snapshot</x:v>
      </x:c>
      <x:c r="Z156" s="17" t="str">
        <x:v>OF0150</x:v>
      </x:c>
      <x:c r="AA156" s="2"/>
      <x:c r="AB156" s="2" t="str">
        <x:f>INDEX('Dated offers'!$Q$7:$Q$305,MATCH($Z156,'Dated offers'!$A$7:$A$305,0))</x:f>
        <x:v>https://www.lcsc.com/product-detail/C3198056.html</x:v>
      </x:c>
    </x:row>
    <x:row r="157" ht="24" customHeight="1">
      <x:c r="A157" s="2" t="str">
        <x:v>25 boards / nominal</x:v>
      </x:c>
      <x:c r="B157" s="17" t="str">
        <x:v>TPS7A2033PDBVR</x:v>
      </x:c>
      <x:c r="C157" s="18" t="n">
        <x:v>25</x:v>
      </x:c>
      <x:c r="D157" s="27" t="n">
        <x:v>0</x:v>
      </x:c>
      <x:c r="E157" s="18" t="n">
        <x:f>INDEX('Assembly BOM'!$C$7:$C$162,MATCH($B157,'Assembly BOM'!$A$7:$A$162,0))</x:f>
        <x:v>1</x:v>
      </x:c>
      <x:c r="F157" s="18" t="n">
        <x:f>C157*E157</x:f>
        <x:v>25</x:v>
      </x:c>
      <x:c r="G157" s="18" t="n">
        <x:f>ROUNDUP(F157*(1+D157),0)</x:f>
        <x:v>25</x:v>
      </x:c>
      <x:c r="H157" s="18" t="n">
        <x:f>INDEX('Dated offers'!$F$7:$F$305,MATCH($Z157,'Dated offers'!$A$7:$A$305,0))</x:f>
        <x:v>5</x:v>
      </x:c>
      <x:c r="I157" s="18" t="n">
        <x:f>INDEX('Dated offers'!$G$7:$G$305,MATCH($Z157,'Dated offers'!$A$7:$A$305,0))</x:f>
        <x:v>5</x:v>
      </x:c>
      <x:c r="J157" s="18" t="n">
        <x:f>CEILING(MAX(G157,H157),I157)</x:f>
        <x:v>25</x:v>
      </x:c>
      <x:c r="K157" s="18" t="n">
        <x:v>25</x:v>
      </x:c>
      <x:c r="L157" s="18" t="n">
        <x:f>INDEX('Dated offers'!$I$7:$I$305,MATCH($Z157,'Dated offers'!$A$7:$A$305,0))</x:f>
        <x:v>5</x:v>
      </x:c>
      <x:c r="M157" s="25" t="n">
        <x:f>INDEX('Dated offers'!$J$7:$J$305,MATCH($Z157,'Dated offers'!$A$7:$A$305,0))</x:f>
        <x:v>0.2175</x:v>
      </x:c>
      <x:c r="N157" s="25" t="n">
        <x:f>INDEX('Dated offers'!$K$7:$K$305,MATCH($Z157,'Dated offers'!$A$7:$A$305,0))</x:f>
        <x:v>0</x:v>
      </x:c>
      <x:c r="O157" s="25" t="n">
        <x:f>F157*M157</x:f>
        <x:v>5.4375</x:v>
      </x:c>
      <x:c r="P157" s="25" t="n">
        <x:f>G157*M157</x:f>
        <x:v>5.4375</x:v>
      </x:c>
      <x:c r="Q157" s="25" t="n">
        <x:f>K157*M157+N157</x:f>
        <x:v>5.4375</x:v>
      </x:c>
      <x:c r="R157" s="18" t="n">
        <x:f>K157-G157</x:f>
        <x:v>0</x:v>
      </x:c>
      <x:c r="S157" s="18" t="n">
        <x:f>INDEX('Dated offers'!$H$7:$H$305,MATCH($Z157,'Dated offers'!$A$7:$A$305,0))</x:f>
        <x:v>179995</x:v>
      </x:c>
      <x:c r="T157" s="2" t="str">
        <x:f>IF(K157&lt;G157,"Order below requirement",IF(K157&lt;L157,"Below price tier",IF(ISNUMBER(S157),IF(K157&gt;S157,"Quantity exceeds snapshot","Within quantity snapshot"),"Stock not stated")))</x:f>
        <x:v>Within quantity snapshot</x:v>
      </x:c>
      <x:c r="U157" s="2" t="str">
        <x:f>INDEX('Dated offers'!$C$7:$C$305,MATCH($Z157,'Dated offers'!$A$7:$A$305,0))</x:f>
        <x:v>LCSC</x:v>
      </x:c>
      <x:c r="V157" s="2" t="str">
        <x:f>INDEX('Dated offers'!$D$7:$D$305,MATCH($Z157,'Dated offers'!$A$7:$A$305,0))</x:f>
        <x:v>C2862740</x:v>
      </x:c>
      <x:c r="W157" s="24" t="n">
        <x:f>INDEX('Dated offers'!$E$7:$E$305,MATCH($Z157,'Dated offers'!$A$7:$A$305,0))</x:f>
        <x:v>46307.44749840278</x:v>
      </x:c>
      <x:c r="X157" s="2" t="b">
        <x:f>INDEX('Dated offers'!$N$7:$N$305,MATCH($Z157,'Dated offers'!$A$7:$A$305,0))</x:f>
        <x:v>0</x:v>
      </x:c>
      <x:c r="Y157" s="2" t="str">
        <x:f>INDEX('Dated offers'!$O$7:$O$305,MATCH($Z157,'Dated offers'!$A$7:$A$305,0))</x:f>
        <x:v>Unreserved inventory snapshot</x:v>
      </x:c>
      <x:c r="Z157" s="17" t="str">
        <x:v>OF0151</x:v>
      </x:c>
      <x:c r="AA157" s="2"/>
      <x:c r="AB157" s="2" t="str">
        <x:f>INDEX('Dated offers'!$Q$7:$Q$305,MATCH($Z157,'Dated offers'!$A$7:$A$305,0))</x:f>
        <x:v>https://www.lcsc.com/product-detail/C2862740.html</x:v>
      </x:c>
    </x:row>
    <x:row r="158" ht="24" customHeight="1">
      <x:c r="A158" s="2" t="str">
        <x:v>25 boards / nominal</x:v>
      </x:c>
      <x:c r="B158" s="17" t="str">
        <x:v>TVS0500DRVR</x:v>
      </x:c>
      <x:c r="C158" s="18" t="n">
        <x:v>25</x:v>
      </x:c>
      <x:c r="D158" s="27" t="n">
        <x:v>0</x:v>
      </x:c>
      <x:c r="E158" s="18" t="n">
        <x:f>INDEX('Assembly BOM'!$C$7:$C$162,MATCH($B158,'Assembly BOM'!$A$7:$A$162,0))</x:f>
        <x:v>1</x:v>
      </x:c>
      <x:c r="F158" s="18" t="n">
        <x:f>C158*E158</x:f>
        <x:v>25</x:v>
      </x:c>
      <x:c r="G158" s="18" t="n">
        <x:f>ROUNDUP(F158*(1+D158),0)</x:f>
        <x:v>25</x:v>
      </x:c>
      <x:c r="H158" s="18" t="n">
        <x:f>INDEX('Dated offers'!$F$7:$F$305,MATCH($Z158,'Dated offers'!$A$7:$A$305,0))</x:f>
        <x:v>1</x:v>
      </x:c>
      <x:c r="I158" s="18" t="n">
        <x:f>INDEX('Dated offers'!$G$7:$G$305,MATCH($Z158,'Dated offers'!$A$7:$A$305,0))</x:f>
        <x:v>1</x:v>
      </x:c>
      <x:c r="J158" s="18" t="n">
        <x:f>CEILING(MAX(G158,H158),I158)</x:f>
        <x:v>25</x:v>
      </x:c>
      <x:c r="K158" s="18" t="n">
        <x:v>25</x:v>
      </x:c>
      <x:c r="L158" s="18" t="n">
        <x:f>INDEX('Dated offers'!$I$7:$I$305,MATCH($Z158,'Dated offers'!$A$7:$A$305,0))</x:f>
        <x:v>10</x:v>
      </x:c>
      <x:c r="M158" s="25" t="n">
        <x:f>INDEX('Dated offers'!$J$7:$J$305,MATCH($Z158,'Dated offers'!$A$7:$A$305,0))</x:f>
        <x:v>0.688</x:v>
      </x:c>
      <x:c r="N158" s="25" t="n">
        <x:f>INDEX('Dated offers'!$K$7:$K$305,MATCH($Z158,'Dated offers'!$A$7:$A$305,0))</x:f>
        <x:v>0</x:v>
      </x:c>
      <x:c r="O158" s="25" t="n">
        <x:f>F158*M158</x:f>
        <x:v>17.2</x:v>
      </x:c>
      <x:c r="P158" s="25" t="n">
        <x:f>G158*M158</x:f>
        <x:v>17.2</x:v>
      </x:c>
      <x:c r="Q158" s="25" t="n">
        <x:f>K158*M158+N158</x:f>
        <x:v>17.2</x:v>
      </x:c>
      <x:c r="R158" s="18" t="n">
        <x:f>K158-G158</x:f>
        <x:v>0</x:v>
      </x:c>
      <x:c r="S158" s="18" t="n">
        <x:f>INDEX('Dated offers'!$H$7:$H$305,MATCH($Z158,'Dated offers'!$A$7:$A$305,0))</x:f>
        <x:v>37002</x:v>
      </x:c>
      <x:c r="T158" s="2" t="str">
        <x:f>IF(K158&lt;G158,"Order below requirement",IF(K158&lt;L158,"Below price tier",IF(ISNUMBER(S158),IF(K158&gt;S158,"Quantity exceeds snapshot","Within quantity snapshot"),"Stock not stated")))</x:f>
        <x:v>Within quantity snapshot</x:v>
      </x:c>
      <x:c r="U158" s="2" t="str">
        <x:f>INDEX('Dated offers'!$C$7:$C$305,MATCH($Z158,'Dated offers'!$A$7:$A$305,0))</x:f>
        <x:v>DigiKey</x:v>
      </x:c>
      <x:c r="V158" s="2" t="str">
        <x:f>INDEX('Dated offers'!$D$7:$D$305,MATCH($Z158,'Dated offers'!$A$7:$A$305,0))</x:f>
        <x:v>Not stated</x:v>
      </x:c>
      <x:c r="W158" s="24" t="n">
        <x:f>INDEX('Dated offers'!$E$7:$E$305,MATCH($Z158,'Dated offers'!$A$7:$A$305,0))</x:f>
        <x:v>46307.4780725463</x:v>
      </x:c>
      <x:c r="X158" s="2" t="b">
        <x:f>INDEX('Dated offers'!$N$7:$N$305,MATCH($Z158,'Dated offers'!$A$7:$A$305,0))</x:f>
        <x:v>0</x:v>
      </x:c>
      <x:c r="Y158" s="2" t="str">
        <x:f>INDEX('Dated offers'!$O$7:$O$305,MATCH($Z158,'Dated offers'!$A$7:$A$305,0))</x:f>
        <x:v>Unreserved inventory snapshot</x:v>
      </x:c>
      <x:c r="Z158" s="17" t="str">
        <x:v>OF0152</x:v>
      </x:c>
      <x:c r="AA158" s="2"/>
      <x:c r="AB158" s="2" t="str">
        <x:f>INDEX('Dated offers'!$Q$7:$Q$305,MATCH($Z158,'Dated offers'!$A$7:$A$305,0))</x:f>
        <x:v>https://www.digikey.com/en/products/detail/texas-instruments/TVS0500DRVR/8538263</x:v>
      </x:c>
    </x:row>
    <x:row r="159" ht="24" customHeight="1">
      <x:c r="A159" s="2" t="str">
        <x:v>25 boards / nominal</x:v>
      </x:c>
      <x:c r="B159" s="17" t="str">
        <x:v>TYPE-C-31-M-12</x:v>
      </x:c>
      <x:c r="C159" s="18" t="n">
        <x:v>25</x:v>
      </x:c>
      <x:c r="D159" s="27" t="n">
        <x:v>0</x:v>
      </x:c>
      <x:c r="E159" s="18" t="n">
        <x:f>INDEX('Assembly BOM'!$C$7:$C$162,MATCH($B159,'Assembly BOM'!$A$7:$A$162,0))</x:f>
        <x:v>1</x:v>
      </x:c>
      <x:c r="F159" s="18" t="n">
        <x:f>C159*E159</x:f>
        <x:v>25</x:v>
      </x:c>
      <x:c r="G159" s="18" t="n">
        <x:f>ROUNDUP(F159*(1+D159),0)</x:f>
        <x:v>25</x:v>
      </x:c>
      <x:c r="H159" s="18" t="n">
        <x:f>INDEX('Dated offers'!$F$7:$F$305,MATCH($Z159,'Dated offers'!$A$7:$A$305,0))</x:f>
        <x:v>5</x:v>
      </x:c>
      <x:c r="I159" s="18" t="n">
        <x:f>INDEX('Dated offers'!$G$7:$G$305,MATCH($Z159,'Dated offers'!$A$7:$A$305,0))</x:f>
        <x:v>5</x:v>
      </x:c>
      <x:c r="J159" s="18" t="n">
        <x:f>CEILING(MAX(G159,H159),I159)</x:f>
        <x:v>25</x:v>
      </x:c>
      <x:c r="K159" s="18" t="n">
        <x:v>25</x:v>
      </x:c>
      <x:c r="L159" s="18" t="n">
        <x:f>INDEX('Dated offers'!$I$7:$I$305,MATCH($Z159,'Dated offers'!$A$7:$A$305,0))</x:f>
        <x:v>5</x:v>
      </x:c>
      <x:c r="M159" s="25" t="n">
        <x:f>INDEX('Dated offers'!$J$7:$J$305,MATCH($Z159,'Dated offers'!$A$7:$A$305,0))</x:f>
        <x:v>0.1879</x:v>
      </x:c>
      <x:c r="N159" s="25" t="n">
        <x:f>INDEX('Dated offers'!$K$7:$K$305,MATCH($Z159,'Dated offers'!$A$7:$A$305,0))</x:f>
        <x:v>0</x:v>
      </x:c>
      <x:c r="O159" s="25" t="n">
        <x:f>F159*M159</x:f>
        <x:v>4.697500000000001</x:v>
      </x:c>
      <x:c r="P159" s="25" t="n">
        <x:f>G159*M159</x:f>
        <x:v>4.697500000000001</x:v>
      </x:c>
      <x:c r="Q159" s="25" t="n">
        <x:f>K159*M159+N159</x:f>
        <x:v>4.697500000000001</x:v>
      </x:c>
      <x:c r="R159" s="18" t="n">
        <x:f>K159-G159</x:f>
        <x:v>0</x:v>
      </x:c>
      <x:c r="S159" s="18" t="n">
        <x:f>INDEX('Dated offers'!$H$7:$H$305,MATCH($Z159,'Dated offers'!$A$7:$A$305,0))</x:f>
        <x:v>380675</x:v>
      </x:c>
      <x:c r="T159" s="2" t="str">
        <x:f>IF(K159&lt;G159,"Order below requirement",IF(K159&lt;L159,"Below price tier",IF(ISNUMBER(S159),IF(K159&gt;S159,"Quantity exceeds snapshot","Within quantity snapshot"),"Stock not stated")))</x:f>
        <x:v>Within quantity snapshot</x:v>
      </x:c>
      <x:c r="U159" s="2" t="str">
        <x:f>INDEX('Dated offers'!$C$7:$C$305,MATCH($Z159,'Dated offers'!$A$7:$A$305,0))</x:f>
        <x:v>LCSC</x:v>
      </x:c>
      <x:c r="V159" s="2" t="str">
        <x:f>INDEX('Dated offers'!$D$7:$D$305,MATCH($Z159,'Dated offers'!$A$7:$A$305,0))</x:f>
        <x:v>C165948</x:v>
      </x:c>
      <x:c r="W159" s="24" t="n">
        <x:f>INDEX('Dated offers'!$E$7:$E$305,MATCH($Z159,'Dated offers'!$A$7:$A$305,0))</x:f>
        <x:v>46307.44750119213</x:v>
      </x:c>
      <x:c r="X159" s="2" t="b">
        <x:f>INDEX('Dated offers'!$N$7:$N$305,MATCH($Z159,'Dated offers'!$A$7:$A$305,0))</x:f>
        <x:v>0</x:v>
      </x:c>
      <x:c r="Y159" s="2" t="str">
        <x:f>INDEX('Dated offers'!$O$7:$O$305,MATCH($Z159,'Dated offers'!$A$7:$A$305,0))</x:f>
        <x:v>Unreserved inventory snapshot</x:v>
      </x:c>
      <x:c r="Z159" s="17" t="str">
        <x:v>OF0153</x:v>
      </x:c>
      <x:c r="AA159" s="2"/>
      <x:c r="AB159" s="2" t="str">
        <x:f>INDEX('Dated offers'!$Q$7:$Q$305,MATCH($Z159,'Dated offers'!$A$7:$A$305,0))</x:f>
        <x:v>https://www.lcsc.com/product-detail/C165948.html</x:v>
      </x:c>
    </x:row>
    <x:row r="160" ht="24" customHeight="1">
      <x:c r="A160" s="2" t="str">
        <x:v>25 boards / nominal</x:v>
      </x:c>
      <x:c r="B160" s="17" t="str">
        <x:v>U.FL-R-SMT-1(80)</x:v>
      </x:c>
      <x:c r="C160" s="18" t="n">
        <x:v>25</x:v>
      </x:c>
      <x:c r="D160" s="27" t="n">
        <x:v>0</x:v>
      </x:c>
      <x:c r="E160" s="18" t="n">
        <x:f>INDEX('Assembly BOM'!$C$7:$C$162,MATCH($B160,'Assembly BOM'!$A$7:$A$162,0))</x:f>
        <x:v>1</x:v>
      </x:c>
      <x:c r="F160" s="18" t="n">
        <x:f>C160*E160</x:f>
        <x:v>25</x:v>
      </x:c>
      <x:c r="G160" s="18" t="n">
        <x:f>ROUNDUP(F160*(1+D160),0)</x:f>
        <x:v>25</x:v>
      </x:c>
      <x:c r="H160" s="18" t="n">
        <x:f>INDEX('Dated offers'!$F$7:$F$305,MATCH($Z160,'Dated offers'!$A$7:$A$305,0))</x:f>
        <x:v>5</x:v>
      </x:c>
      <x:c r="I160" s="18" t="n">
        <x:f>INDEX('Dated offers'!$G$7:$G$305,MATCH($Z160,'Dated offers'!$A$7:$A$305,0))</x:f>
        <x:v>5</x:v>
      </x:c>
      <x:c r="J160" s="18" t="n">
        <x:f>CEILING(MAX(G160,H160),I160)</x:f>
        <x:v>25</x:v>
      </x:c>
      <x:c r="K160" s="18" t="n">
        <x:v>25</x:v>
      </x:c>
      <x:c r="L160" s="18" t="n">
        <x:f>INDEX('Dated offers'!$I$7:$I$305,MATCH($Z160,'Dated offers'!$A$7:$A$305,0))</x:f>
        <x:v>5</x:v>
      </x:c>
      <x:c r="M160" s="25" t="n">
        <x:f>INDEX('Dated offers'!$J$7:$J$305,MATCH($Z160,'Dated offers'!$A$7:$A$305,0))</x:f>
        <x:v>0.1149</x:v>
      </x:c>
      <x:c r="N160" s="25" t="n">
        <x:f>INDEX('Dated offers'!$K$7:$K$305,MATCH($Z160,'Dated offers'!$A$7:$A$305,0))</x:f>
        <x:v>0</x:v>
      </x:c>
      <x:c r="O160" s="25" t="n">
        <x:f>F160*M160</x:f>
        <x:v>2.8725</x:v>
      </x:c>
      <x:c r="P160" s="25" t="n">
        <x:f>G160*M160</x:f>
        <x:v>2.8725</x:v>
      </x:c>
      <x:c r="Q160" s="25" t="n">
        <x:f>K160*M160+N160</x:f>
        <x:v>2.8725</x:v>
      </x:c>
      <x:c r="R160" s="18" t="n">
        <x:f>K160-G160</x:f>
        <x:v>0</x:v>
      </x:c>
      <x:c r="S160" s="18" t="n">
        <x:f>INDEX('Dated offers'!$H$7:$H$305,MATCH($Z160,'Dated offers'!$A$7:$A$305,0))</x:f>
        <x:v>92510</x:v>
      </x:c>
      <x:c r="T160" s="2" t="str">
        <x:f>IF(K160&lt;G160,"Order below requirement",IF(K160&lt;L160,"Below price tier",IF(ISNUMBER(S160),IF(K160&gt;S160,"Quantity exceeds snapshot","Within quantity snapshot"),"Stock not stated")))</x:f>
        <x:v>Within quantity snapshot</x:v>
      </x:c>
      <x:c r="U160" s="2" t="str">
        <x:f>INDEX('Dated offers'!$C$7:$C$305,MATCH($Z160,'Dated offers'!$A$7:$A$305,0))</x:f>
        <x:v>LCSC</x:v>
      </x:c>
      <x:c r="V160" s="2" t="str">
        <x:f>INDEX('Dated offers'!$D$7:$D$305,MATCH($Z160,'Dated offers'!$A$7:$A$305,0))</x:f>
        <x:v>C88374</x:v>
      </x:c>
      <x:c r="W160" s="24" t="n">
        <x:f>INDEX('Dated offers'!$E$7:$E$305,MATCH($Z160,'Dated offers'!$A$7:$A$305,0))</x:f>
        <x:v>46307.44750297454</x:v>
      </x:c>
      <x:c r="X160" s="2" t="b">
        <x:f>INDEX('Dated offers'!$N$7:$N$305,MATCH($Z160,'Dated offers'!$A$7:$A$305,0))</x:f>
        <x:v>0</x:v>
      </x:c>
      <x:c r="Y160" s="2" t="str">
        <x:f>INDEX('Dated offers'!$O$7:$O$305,MATCH($Z160,'Dated offers'!$A$7:$A$305,0))</x:f>
        <x:v>Unreserved inventory snapshot</x:v>
      </x:c>
      <x:c r="Z160" s="17" t="str">
        <x:v>OF0154</x:v>
      </x:c>
      <x:c r="AA160" s="2"/>
      <x:c r="AB160" s="2" t="str">
        <x:f>INDEX('Dated offers'!$Q$7:$Q$305,MATCH($Z160,'Dated offers'!$A$7:$A$305,0))</x:f>
        <x:v>https://www.lcsc.com/product-detail/C88374.html</x:v>
      </x:c>
    </x:row>
    <x:row r="161" ht="24" customHeight="1">
      <x:c r="A161" s="2" t="str">
        <x:v>25 boards / nominal</x:v>
      </x:c>
      <x:c r="B161" s="17" t="str">
        <x:v>UHW2A330MPD</x:v>
      </x:c>
      <x:c r="C161" s="18" t="n">
        <x:v>25</x:v>
      </x:c>
      <x:c r="D161" s="27" t="n">
        <x:v>0</x:v>
      </x:c>
      <x:c r="E161" s="18" t="n">
        <x:f>INDEX('Assembly BOM'!$C$7:$C$162,MATCH($B161,'Assembly BOM'!$A$7:$A$162,0))</x:f>
        <x:v>1</x:v>
      </x:c>
      <x:c r="F161" s="18" t="n">
        <x:f>C161*E161</x:f>
        <x:v>25</x:v>
      </x:c>
      <x:c r="G161" s="18" t="n">
        <x:f>ROUNDUP(F161*(1+D161),0)</x:f>
        <x:v>25</x:v>
      </x:c>
      <x:c r="H161" s="18" t="n">
        <x:f>INDEX('Dated offers'!$F$7:$F$305,MATCH($Z161,'Dated offers'!$A$7:$A$305,0))</x:f>
        <x:v>1</x:v>
      </x:c>
      <x:c r="I161" s="18" t="n">
        <x:f>INDEX('Dated offers'!$G$7:$G$305,MATCH($Z161,'Dated offers'!$A$7:$A$305,0))</x:f>
        <x:v>1</x:v>
      </x:c>
      <x:c r="J161" s="18" t="n">
        <x:f>CEILING(MAX(G161,H161),I161)</x:f>
        <x:v>25</x:v>
      </x:c>
      <x:c r="K161" s="18" t="n">
        <x:v>25</x:v>
      </x:c>
      <x:c r="L161" s="18" t="n">
        <x:f>INDEX('Dated offers'!$I$7:$I$305,MATCH($Z161,'Dated offers'!$A$7:$A$305,0))</x:f>
        <x:v>10</x:v>
      </x:c>
      <x:c r="M161" s="25" t="n">
        <x:f>INDEX('Dated offers'!$J$7:$J$305,MATCH($Z161,'Dated offers'!$A$7:$A$305,0))</x:f>
        <x:v>0.751</x:v>
      </x:c>
      <x:c r="N161" s="25" t="n">
        <x:f>INDEX('Dated offers'!$K$7:$K$305,MATCH($Z161,'Dated offers'!$A$7:$A$305,0))</x:f>
        <x:v>0</x:v>
      </x:c>
      <x:c r="O161" s="25" t="n">
        <x:f>F161*M161</x:f>
        <x:v>18.775</x:v>
      </x:c>
      <x:c r="P161" s="25" t="n">
        <x:f>G161*M161</x:f>
        <x:v>18.775</x:v>
      </x:c>
      <x:c r="Q161" s="25" t="n">
        <x:f>K161*M161+N161</x:f>
        <x:v>18.775</x:v>
      </x:c>
      <x:c r="R161" s="18" t="n">
        <x:f>K161-G161</x:f>
        <x:v>0</x:v>
      </x:c>
      <x:c r="S161" s="18" t="n">
        <x:f>INDEX('Dated offers'!$H$7:$H$305,MATCH($Z161,'Dated offers'!$A$7:$A$305,0))</x:f>
        <x:v>1506</x:v>
      </x:c>
      <x:c r="T161" s="2" t="str">
        <x:f>IF(K161&lt;G161,"Order below requirement",IF(K161&lt;L161,"Below price tier",IF(ISNUMBER(S161),IF(K161&gt;S161,"Quantity exceeds snapshot","Within quantity snapshot"),"Stock not stated")))</x:f>
        <x:v>Within quantity snapshot</x:v>
      </x:c>
      <x:c r="U161" s="2" t="str">
        <x:f>INDEX('Dated offers'!$C$7:$C$305,MATCH($Z161,'Dated offers'!$A$7:$A$305,0))</x:f>
        <x:v>DigiKey</x:v>
      </x:c>
      <x:c r="V161" s="2" t="str">
        <x:f>INDEX('Dated offers'!$D$7:$D$305,MATCH($Z161,'Dated offers'!$A$7:$A$305,0))</x:f>
        <x:v>Not stated</x:v>
      </x:c>
      <x:c r="W161" s="24" t="n">
        <x:f>INDEX('Dated offers'!$E$7:$E$305,MATCH($Z161,'Dated offers'!$A$7:$A$305,0))</x:f>
        <x:v>46307.4780725463</x:v>
      </x:c>
      <x:c r="X161" s="2" t="b">
        <x:f>INDEX('Dated offers'!$N$7:$N$305,MATCH($Z161,'Dated offers'!$A$7:$A$305,0))</x:f>
        <x:v>0</x:v>
      </x:c>
      <x:c r="Y161" s="2" t="str">
        <x:f>INDEX('Dated offers'!$O$7:$O$305,MATCH($Z161,'Dated offers'!$A$7:$A$305,0))</x:f>
        <x:v>Unreserved inventory snapshot</x:v>
      </x:c>
      <x:c r="Z161" s="17" t="str">
        <x:v>OF0155</x:v>
      </x:c>
      <x:c r="AA161" s="2"/>
      <x:c r="AB161" s="2" t="str">
        <x:f>INDEX('Dated offers'!$Q$7:$Q$305,MATCH($Z161,'Dated offers'!$A$7:$A$305,0))</x:f>
        <x:v>https://www.digikey.com/en/products/detail/nichicon/UHW2A330MPD/21317756</x:v>
      </x:c>
    </x:row>
    <x:row r="162" ht="24" customHeight="1">
      <x:c r="A162" s="2" t="str">
        <x:v>25 boards / nominal</x:v>
      </x:c>
      <x:c r="B162" s="17" t="str">
        <x:v>USBLC6-2P6</x:v>
      </x:c>
      <x:c r="C162" s="18" t="n">
        <x:v>25</x:v>
      </x:c>
      <x:c r="D162" s="27" t="n">
        <x:v>0</x:v>
      </x:c>
      <x:c r="E162" s="18" t="n">
        <x:f>INDEX('Assembly BOM'!$C$7:$C$162,MATCH($B162,'Assembly BOM'!$A$7:$A$162,0))</x:f>
        <x:v>1</x:v>
      </x:c>
      <x:c r="F162" s="18" t="n">
        <x:f>C162*E162</x:f>
        <x:v>25</x:v>
      </x:c>
      <x:c r="G162" s="18" t="n">
        <x:f>ROUNDUP(F162*(1+D162),0)</x:f>
        <x:v>25</x:v>
      </x:c>
      <x:c r="H162" s="18" t="n">
        <x:f>INDEX('Dated offers'!$F$7:$F$305,MATCH($Z162,'Dated offers'!$A$7:$A$305,0))</x:f>
        <x:v>1</x:v>
      </x:c>
      <x:c r="I162" s="18" t="n">
        <x:f>INDEX('Dated offers'!$G$7:$G$305,MATCH($Z162,'Dated offers'!$A$7:$A$305,0))</x:f>
        <x:v>1</x:v>
      </x:c>
      <x:c r="J162" s="18" t="n">
        <x:f>CEILING(MAX(G162,H162),I162)</x:f>
        <x:v>25</x:v>
      </x:c>
      <x:c r="K162" s="18" t="n">
        <x:v>25</x:v>
      </x:c>
      <x:c r="L162" s="18" t="n">
        <x:f>INDEX('Dated offers'!$I$7:$I$305,MATCH($Z162,'Dated offers'!$A$7:$A$305,0))</x:f>
        <x:v>10</x:v>
      </x:c>
      <x:c r="M162" s="25" t="n">
        <x:f>INDEX('Dated offers'!$J$7:$J$305,MATCH($Z162,'Dated offers'!$A$7:$A$305,0))</x:f>
        <x:v>0.4</x:v>
      </x:c>
      <x:c r="N162" s="25" t="n">
        <x:f>INDEX('Dated offers'!$K$7:$K$305,MATCH($Z162,'Dated offers'!$A$7:$A$305,0))</x:f>
        <x:v>0</x:v>
      </x:c>
      <x:c r="O162" s="25" t="n">
        <x:f>F162*M162</x:f>
        <x:v>10</x:v>
      </x:c>
      <x:c r="P162" s="25" t="n">
        <x:f>G162*M162</x:f>
        <x:v>10</x:v>
      </x:c>
      <x:c r="Q162" s="25" t="n">
        <x:f>K162*M162+N162</x:f>
        <x:v>10</x:v>
      </x:c>
      <x:c r="R162" s="18" t="n">
        <x:f>K162-G162</x:f>
        <x:v>0</x:v>
      </x:c>
      <x:c r="S162" s="18" t="n">
        <x:f>INDEX('Dated offers'!$H$7:$H$305,MATCH($Z162,'Dated offers'!$A$7:$A$305,0))</x:f>
        <x:v>86297</x:v>
      </x:c>
      <x:c r="T162" s="2" t="str">
        <x:f>IF(K162&lt;G162,"Order below requirement",IF(K162&lt;L162,"Below price tier",IF(ISNUMBER(S162),IF(K162&gt;S162,"Quantity exceeds snapshot","Within quantity snapshot"),"Stock not stated")))</x:f>
        <x:v>Within quantity snapshot</x:v>
      </x:c>
      <x:c r="U162" s="2" t="str">
        <x:f>INDEX('Dated offers'!$C$7:$C$305,MATCH($Z162,'Dated offers'!$A$7:$A$305,0))</x:f>
        <x:v>DigiKey</x:v>
      </x:c>
      <x:c r="V162" s="2" t="str">
        <x:f>INDEX('Dated offers'!$D$7:$D$305,MATCH($Z162,'Dated offers'!$A$7:$A$305,0))</x:f>
        <x:v>Not stated</x:v>
      </x:c>
      <x:c r="W162" s="24" t="n">
        <x:f>INDEX('Dated offers'!$E$7:$E$305,MATCH($Z162,'Dated offers'!$A$7:$A$305,0))</x:f>
        <x:v>46307.47807273148</x:v>
      </x:c>
      <x:c r="X162" s="2" t="b">
        <x:f>INDEX('Dated offers'!$N$7:$N$305,MATCH($Z162,'Dated offers'!$A$7:$A$305,0))</x:f>
        <x:v>0</x:v>
      </x:c>
      <x:c r="Y162" s="2" t="str">
        <x:f>INDEX('Dated offers'!$O$7:$O$305,MATCH($Z162,'Dated offers'!$A$7:$A$305,0))</x:f>
        <x:v>Unreserved inventory snapshot</x:v>
      </x:c>
      <x:c r="Z162" s="17" t="str">
        <x:v>OF0156</x:v>
      </x:c>
      <x:c r="AA162" s="2"/>
      <x:c r="AB162" s="2" t="str">
        <x:f>INDEX('Dated offers'!$Q$7:$Q$305,MATCH($Z162,'Dated offers'!$A$7:$A$305,0))</x:f>
        <x:v>https://www.digikey.com/en/products/detail/stmicroelectronics/USBLC6-2P6/1007464</x:v>
      </x:c>
    </x:row>
    <x:row r="163" ht="24" customHeight="1">
      <x:c r="A163" s="2" t="str">
        <x:v>25 boards / 2% planning</x:v>
      </x:c>
      <x:c r="B163" s="17" t="str">
        <x:v>0451002.MRL</x:v>
      </x:c>
      <x:c r="C163" s="18" t="n">
        <x:v>25</x:v>
      </x:c>
      <x:c r="D163" s="27" t="n">
        <x:v>0.02</x:v>
      </x:c>
      <x:c r="E163" s="18" t="n">
        <x:f>INDEX('Assembly BOM'!$C$7:$C$162,MATCH($B163,'Assembly BOM'!$A$7:$A$162,0))</x:f>
        <x:v>1</x:v>
      </x:c>
      <x:c r="F163" s="18" t="n">
        <x:f>C163*E163</x:f>
        <x:v>25</x:v>
      </x:c>
      <x:c r="G163" s="18" t="n">
        <x:f>ROUNDUP(F163*(1+D163),0)</x:f>
        <x:v>26</x:v>
      </x:c>
      <x:c r="H163" s="18" t="n">
        <x:f>INDEX('Dated offers'!$F$7:$F$305,MATCH($Z163,'Dated offers'!$A$7:$A$305,0))</x:f>
        <x:v>5</x:v>
      </x:c>
      <x:c r="I163" s="18" t="n">
        <x:f>INDEX('Dated offers'!$G$7:$G$305,MATCH($Z163,'Dated offers'!$A$7:$A$305,0))</x:f>
        <x:v>5</x:v>
      </x:c>
      <x:c r="J163" s="18" t="n">
        <x:f>CEILING(MAX(G163,H163),I163)</x:f>
        <x:v>30</x:v>
      </x:c>
      <x:c r="K163" s="18" t="n">
        <x:v>30</x:v>
      </x:c>
      <x:c r="L163" s="18" t="n">
        <x:f>INDEX('Dated offers'!$I$7:$I$305,MATCH($Z163,'Dated offers'!$A$7:$A$305,0))</x:f>
        <x:v>5</x:v>
      </x:c>
      <x:c r="M163" s="25" t="n">
        <x:f>INDEX('Dated offers'!$J$7:$J$305,MATCH($Z163,'Dated offers'!$A$7:$A$305,0))</x:f>
        <x:v>0.3431</x:v>
      </x:c>
      <x:c r="N163" s="25" t="n">
        <x:f>INDEX('Dated offers'!$K$7:$K$305,MATCH($Z163,'Dated offers'!$A$7:$A$305,0))</x:f>
        <x:v>0</x:v>
      </x:c>
      <x:c r="O163" s="25" t="n">
        <x:f>F163*M163</x:f>
        <x:v>8.5775</x:v>
      </x:c>
      <x:c r="P163" s="25" t="n">
        <x:f>G163*M163</x:f>
        <x:v>8.9206</x:v>
      </x:c>
      <x:c r="Q163" s="25" t="n">
        <x:f>K163*M163+N163</x:f>
        <x:v>10.293000000000001</x:v>
      </x:c>
      <x:c r="R163" s="18" t="n">
        <x:f>K163-G163</x:f>
        <x:v>4</x:v>
      </x:c>
      <x:c r="S163" s="18" t="n">
        <x:f>INDEX('Dated offers'!$H$7:$H$305,MATCH($Z163,'Dated offers'!$A$7:$A$305,0))</x:f>
        <x:v>24355</x:v>
      </x:c>
      <x:c r="T163" s="2" t="str">
        <x:f>IF(K163&lt;G163,"Order below requirement",IF(K163&lt;L163,"Below price tier",IF(ISNUMBER(S163),IF(K163&gt;S163,"Quantity exceeds snapshot","Within quantity snapshot"),"Stock not stated")))</x:f>
        <x:v>Within quantity snapshot</x:v>
      </x:c>
      <x:c r="U163" s="2" t="str">
        <x:f>INDEX('Dated offers'!$C$7:$C$305,MATCH($Z163,'Dated offers'!$A$7:$A$305,0))</x:f>
        <x:v>LCSC</x:v>
      </x:c>
      <x:c r="V163" s="2" t="str">
        <x:f>INDEX('Dated offers'!$D$7:$D$305,MATCH($Z163,'Dated offers'!$A$7:$A$305,0))</x:f>
        <x:v>C99547</x:v>
      </x:c>
      <x:c r="W163" s="24" t="n">
        <x:f>INDEX('Dated offers'!$E$7:$E$305,MATCH($Z163,'Dated offers'!$A$7:$A$305,0))</x:f>
        <x:v>46307.44739201389</x:v>
      </x:c>
      <x:c r="X163" s="2" t="b">
        <x:f>INDEX('Dated offers'!$N$7:$N$305,MATCH($Z163,'Dated offers'!$A$7:$A$305,0))</x:f>
        <x:v>0</x:v>
      </x:c>
      <x:c r="Y163" s="2" t="str">
        <x:f>INDEX('Dated offers'!$O$7:$O$305,MATCH($Z163,'Dated offers'!$A$7:$A$305,0))</x:f>
        <x:v>Unreserved inventory snapshot</x:v>
      </x:c>
      <x:c r="Z163" s="17" t="str">
        <x:v>OF0001</x:v>
      </x:c>
      <x:c r="AA163" s="2"/>
      <x:c r="AB163" s="2" t="str">
        <x:f>INDEX('Dated offers'!$Q$7:$Q$305,MATCH($Z163,'Dated offers'!$A$7:$A$305,0))</x:f>
        <x:v>https://www.lcsc.com/product-detail/C99547.html</x:v>
      </x:c>
    </x:row>
    <x:row r="164" ht="24" customHeight="1">
      <x:c r="A164" s="2" t="str">
        <x:v>25 boards / 2% planning</x:v>
      </x:c>
      <x:c r="B164" s="17" t="str">
        <x:v>123A-42B02</x:v>
      </x:c>
      <x:c r="C164" s="18" t="n">
        <x:v>25</x:v>
      </x:c>
      <x:c r="D164" s="27" t="n">
        <x:v>0.02</x:v>
      </x:c>
      <x:c r="E164" s="18" t="n">
        <x:f>INDEX('Assembly BOM'!$C$7:$C$162,MATCH($B164,'Assembly BOM'!$A$7:$A$162,0))</x:f>
        <x:v>1</x:v>
      </x:c>
      <x:c r="F164" s="18" t="n">
        <x:f>C164*E164</x:f>
        <x:v>25</x:v>
      </x:c>
      <x:c r="G164" s="18" t="n">
        <x:f>ROUNDUP(F164*(1+D164),0)</x:f>
        <x:v>26</x:v>
      </x:c>
      <x:c r="H164" s="18" t="n">
        <x:f>INDEX('Dated offers'!$F$7:$F$305,MATCH($Z164,'Dated offers'!$A$7:$A$305,0))</x:f>
        <x:v>1</x:v>
      </x:c>
      <x:c r="I164" s="18" t="n">
        <x:f>INDEX('Dated offers'!$G$7:$G$305,MATCH($Z164,'Dated offers'!$A$7:$A$305,0))</x:f>
        <x:v>1</x:v>
      </x:c>
      <x:c r="J164" s="18" t="n">
        <x:f>CEILING(MAX(G164,H164),I164)</x:f>
        <x:v>26</x:v>
      </x:c>
      <x:c r="K164" s="18" t="n">
        <x:v>26</x:v>
      </x:c>
      <x:c r="L164" s="18" t="n">
        <x:f>INDEX('Dated offers'!$I$7:$I$305,MATCH($Z164,'Dated offers'!$A$7:$A$305,0))</x:f>
        <x:v>25</x:v>
      </x:c>
      <x:c r="M164" s="25" t="n">
        <x:f>INDEX('Dated offers'!$J$7:$J$305,MATCH($Z164,'Dated offers'!$A$7:$A$305,0))</x:f>
        <x:v>4.0992</x:v>
      </x:c>
      <x:c r="N164" s="25" t="n">
        <x:f>INDEX('Dated offers'!$K$7:$K$305,MATCH($Z164,'Dated offers'!$A$7:$A$305,0))</x:f>
        <x:v>0</x:v>
      </x:c>
      <x:c r="O164" s="25" t="n">
        <x:f>F164*M164</x:f>
        <x:v>102.47999999999999</x:v>
      </x:c>
      <x:c r="P164" s="25" t="n">
        <x:f>G164*M164</x:f>
        <x:v>106.57919999999999</x:v>
      </x:c>
      <x:c r="Q164" s="25" t="n">
        <x:f>K164*M164+N164</x:f>
        <x:v>106.57919999999999</x:v>
      </x:c>
      <x:c r="R164" s="18" t="n">
        <x:f>K164-G164</x:f>
        <x:v>0</x:v>
      </x:c>
      <x:c r="S164" s="18" t="n">
        <x:f>INDEX('Dated offers'!$H$7:$H$305,MATCH($Z164,'Dated offers'!$A$7:$A$305,0))</x:f>
        <x:v>244</x:v>
      </x:c>
      <x:c r="T164" s="2" t="str">
        <x:f>IF(K164&lt;G164,"Order below requirement",IF(K164&lt;L164,"Below price tier",IF(ISNUMBER(S164),IF(K164&gt;S164,"Quantity exceeds snapshot","Within quantity snapshot"),"Stock not stated")))</x:f>
        <x:v>Within quantity snapshot</x:v>
      </x:c>
      <x:c r="U164" s="2" t="str">
        <x:f>INDEX('Dated offers'!$C$7:$C$305,MATCH($Z164,'Dated offers'!$A$7:$A$305,0))</x:f>
        <x:v>DigiKey</x:v>
      </x:c>
      <x:c r="V164" s="2" t="str">
        <x:f>INDEX('Dated offers'!$D$7:$D$305,MATCH($Z164,'Dated offers'!$A$7:$A$305,0))</x:f>
        <x:v>Not stated</x:v>
      </x:c>
      <x:c r="W164" s="24" t="n">
        <x:f>INDEX('Dated offers'!$E$7:$E$305,MATCH($Z164,'Dated offers'!$A$7:$A$305,0))</x:f>
        <x:v>46307.4780725</x:v>
      </x:c>
      <x:c r="X164" s="2" t="b">
        <x:f>INDEX('Dated offers'!$N$7:$N$305,MATCH($Z164,'Dated offers'!$A$7:$A$305,0))</x:f>
        <x:v>0</x:v>
      </x:c>
      <x:c r="Y164" s="2" t="str">
        <x:f>INDEX('Dated offers'!$O$7:$O$305,MATCH($Z164,'Dated offers'!$A$7:$A$305,0))</x:f>
        <x:v>Unreserved inventory snapshot</x:v>
      </x:c>
      <x:c r="Z164" s="17" t="str">
        <x:v>OF0002</x:v>
      </x:c>
      <x:c r="AA164" s="2"/>
      <x:c r="AB164" s="2" t="str">
        <x:f>INDEX('Dated offers'!$Q$7:$Q$305,MATCH($Z164,'Dated offers'!$A$7:$A$305,0))</x:f>
        <x:v>https://www.digikey.com/en/products/detail/attend-technology/123A-42B02/26236331</x:v>
      </x:c>
    </x:row>
    <x:row r="165" ht="24" customHeight="1">
      <x:c r="A165" s="2" t="str">
        <x:v>25 boards / 2% planning</x:v>
      </x:c>
      <x:c r="B165" s="17" t="str">
        <x:v>25SVPK82M</x:v>
      </x:c>
      <x:c r="C165" s="18" t="n">
        <x:v>25</x:v>
      </x:c>
      <x:c r="D165" s="27" t="n">
        <x:v>0.02</x:v>
      </x:c>
      <x:c r="E165" s="18" t="n">
        <x:f>INDEX('Assembly BOM'!$C$7:$C$162,MATCH($B165,'Assembly BOM'!$A$7:$A$162,0))</x:f>
        <x:v>1</x:v>
      </x:c>
      <x:c r="F165" s="18" t="n">
        <x:f>C165*E165</x:f>
        <x:v>25</x:v>
      </x:c>
      <x:c r="G165" s="18" t="n">
        <x:f>ROUNDUP(F165*(1+D165),0)</x:f>
        <x:v>26</x:v>
      </x:c>
      <x:c r="H165" s="18" t="n">
        <x:f>INDEX('Dated offers'!$F$7:$F$305,MATCH($Z165,'Dated offers'!$A$7:$A$305,0))</x:f>
        <x:v>1</x:v>
      </x:c>
      <x:c r="I165" s="18" t="n">
        <x:f>INDEX('Dated offers'!$G$7:$G$305,MATCH($Z165,'Dated offers'!$A$7:$A$305,0))</x:f>
        <x:v>1</x:v>
      </x:c>
      <x:c r="J165" s="18" t="n">
        <x:f>CEILING(MAX(G165,H165),I165)</x:f>
        <x:v>26</x:v>
      </x:c>
      <x:c r="K165" s="18" t="n">
        <x:v>26</x:v>
      </x:c>
      <x:c r="L165" s="18" t="n">
        <x:f>INDEX('Dated offers'!$I$7:$I$305,MATCH($Z165,'Dated offers'!$A$7:$A$305,0))</x:f>
        <x:v>10</x:v>
      </x:c>
      <x:c r="M165" s="25" t="n">
        <x:f>INDEX('Dated offers'!$J$7:$J$305,MATCH($Z165,'Dated offers'!$A$7:$A$305,0))</x:f>
        <x:v>1.259</x:v>
      </x:c>
      <x:c r="N165" s="25" t="n">
        <x:f>INDEX('Dated offers'!$K$7:$K$305,MATCH($Z165,'Dated offers'!$A$7:$A$305,0))</x:f>
        <x:v>0</x:v>
      </x:c>
      <x:c r="O165" s="25" t="n">
        <x:f>F165*M165</x:f>
        <x:v>31.474999999999998</x:v>
      </x:c>
      <x:c r="P165" s="25" t="n">
        <x:f>G165*M165</x:f>
        <x:v>32.733999999999995</x:v>
      </x:c>
      <x:c r="Q165" s="25" t="n">
        <x:f>K165*M165+N165</x:f>
        <x:v>32.733999999999995</x:v>
      </x:c>
      <x:c r="R165" s="18" t="n">
        <x:f>K165-G165</x:f>
        <x:v>0</x:v>
      </x:c>
      <x:c r="S165" s="18" t="n">
        <x:f>INDEX('Dated offers'!$H$7:$H$305,MATCH($Z165,'Dated offers'!$A$7:$A$305,0))</x:f>
        <x:v>581</x:v>
      </x:c>
      <x:c r="T165" s="2" t="str">
        <x:f>IF(K165&lt;G165,"Order below requirement",IF(K165&lt;L165,"Below price tier",IF(ISNUMBER(S165),IF(K165&gt;S165,"Quantity exceeds snapshot","Within quantity snapshot"),"Stock not stated")))</x:f>
        <x:v>Within quantity snapshot</x:v>
      </x:c>
      <x:c r="U165" s="2" t="str">
        <x:f>INDEX('Dated offers'!$C$7:$C$305,MATCH($Z165,'Dated offers'!$A$7:$A$305,0))</x:f>
        <x:v>DigiKey</x:v>
      </x:c>
      <x:c r="V165" s="2" t="str">
        <x:f>INDEX('Dated offers'!$D$7:$D$305,MATCH($Z165,'Dated offers'!$A$7:$A$305,0))</x:f>
        <x:v>Not stated</x:v>
      </x:c>
      <x:c r="W165" s="24" t="n">
        <x:f>INDEX('Dated offers'!$E$7:$E$305,MATCH($Z165,'Dated offers'!$A$7:$A$305,0))</x:f>
        <x:v>46307.47807271991</x:v>
      </x:c>
      <x:c r="X165" s="2" t="b">
        <x:f>INDEX('Dated offers'!$N$7:$N$305,MATCH($Z165,'Dated offers'!$A$7:$A$305,0))</x:f>
        <x:v>0</x:v>
      </x:c>
      <x:c r="Y165" s="2" t="str">
        <x:f>INDEX('Dated offers'!$O$7:$O$305,MATCH($Z165,'Dated offers'!$A$7:$A$305,0))</x:f>
        <x:v>Unreserved inventory snapshot</x:v>
      </x:c>
      <x:c r="Z165" s="17" t="str">
        <x:v>OF0003</x:v>
      </x:c>
      <x:c r="AA165" s="2"/>
      <x:c r="AB165" s="2" t="str">
        <x:f>INDEX('Dated offers'!$Q$7:$Q$305,MATCH($Z165,'Dated offers'!$A$7:$A$305,0))</x:f>
        <x:v>https://www.digikey.com/en/products/detail/panasonic-industry/25SVPK82M/7564851</x:v>
      </x:c>
    </x:row>
    <x:row r="166" ht="24" customHeight="1">
      <x:c r="A166" s="2" t="str">
        <x:v>25 boards / 2% planning</x:v>
      </x:c>
      <x:c r="B166" s="21" t="str">
        <x:v>885012206026</x:v>
      </x:c>
      <x:c r="C166" s="18" t="n">
        <x:v>25</x:v>
      </x:c>
      <x:c r="D166" s="27" t="n">
        <x:v>0.02</x:v>
      </x:c>
      <x:c r="E166" s="18" t="n">
        <x:f>INDEX('Assembly BOM'!$C$7:$C$162,MATCH($B166,'Assembly BOM'!$A$7:$A$162,0))</x:f>
        <x:v>3</x:v>
      </x:c>
      <x:c r="F166" s="18" t="n">
        <x:f>C166*E166</x:f>
        <x:v>75</x:v>
      </x:c>
      <x:c r="G166" s="18" t="n">
        <x:f>ROUNDUP(F166*(1+D166),0)</x:f>
        <x:v>77</x:v>
      </x:c>
      <x:c r="H166" s="18" t="n">
        <x:f>INDEX('Dated offers'!$F$7:$F$305,MATCH($Z166,'Dated offers'!$A$7:$A$305,0))</x:f>
        <x:v>1</x:v>
      </x:c>
      <x:c r="I166" s="18" t="n">
        <x:f>INDEX('Dated offers'!$G$7:$G$305,MATCH($Z166,'Dated offers'!$A$7:$A$305,0))</x:f>
        <x:v>1</x:v>
      </x:c>
      <x:c r="J166" s="18" t="n">
        <x:f>CEILING(MAX(G166,H166),I166)</x:f>
        <x:v>77</x:v>
      </x:c>
      <x:c r="K166" s="18" t="n">
        <x:v>77</x:v>
      </x:c>
      <x:c r="L166" s="18" t="n">
        <x:f>INDEX('Dated offers'!$I$7:$I$305,MATCH($Z166,'Dated offers'!$A$7:$A$305,0))</x:f>
        <x:v>50</x:v>
      </x:c>
      <x:c r="M166" s="25" t="n">
        <x:f>INDEX('Dated offers'!$J$7:$J$305,MATCH($Z166,'Dated offers'!$A$7:$A$305,0))</x:f>
        <x:v>0.0578</x:v>
      </x:c>
      <x:c r="N166" s="25" t="n">
        <x:f>INDEX('Dated offers'!$K$7:$K$305,MATCH($Z166,'Dated offers'!$A$7:$A$305,0))</x:f>
        <x:v>0</x:v>
      </x:c>
      <x:c r="O166" s="25" t="n">
        <x:f>F166*M166</x:f>
        <x:v>4.335</x:v>
      </x:c>
      <x:c r="P166" s="25" t="n">
        <x:f>G166*M166</x:f>
        <x:v>4.4506</x:v>
      </x:c>
      <x:c r="Q166" s="25" t="n">
        <x:f>K166*M166+N166</x:f>
        <x:v>4.4506</x:v>
      </x:c>
      <x:c r="R166" s="18" t="n">
        <x:f>K166-G166</x:f>
        <x:v>0</x:v>
      </x:c>
      <x:c r="S166" s="18" t="n">
        <x:f>INDEX('Dated offers'!$H$7:$H$305,MATCH($Z166,'Dated offers'!$A$7:$A$305,0))</x:f>
        <x:v>34767</x:v>
      </x:c>
      <x:c r="T166" s="2" t="str">
        <x:f>IF(K166&lt;G166,"Order below requirement",IF(K166&lt;L166,"Below price tier",IF(ISNUMBER(S166),IF(K166&gt;S166,"Quantity exceeds snapshot","Within quantity snapshot"),"Stock not stated")))</x:f>
        <x:v>Within quantity snapshot</x:v>
      </x:c>
      <x:c r="U166" s="2" t="str">
        <x:f>INDEX('Dated offers'!$C$7:$C$305,MATCH($Z166,'Dated offers'!$A$7:$A$305,0))</x:f>
        <x:v>DigiKey</x:v>
      </x:c>
      <x:c r="V166" s="2" t="str">
        <x:f>INDEX('Dated offers'!$D$7:$D$305,MATCH($Z166,'Dated offers'!$A$7:$A$305,0))</x:f>
        <x:v>Not stated</x:v>
      </x:c>
      <x:c r="W166" s="24" t="n">
        <x:f>INDEX('Dated offers'!$E$7:$E$305,MATCH($Z166,'Dated offers'!$A$7:$A$305,0))</x:f>
        <x:v>46307.47807252315</x:v>
      </x:c>
      <x:c r="X166" s="2" t="b">
        <x:f>INDEX('Dated offers'!$N$7:$N$305,MATCH($Z166,'Dated offers'!$A$7:$A$305,0))</x:f>
        <x:v>0</x:v>
      </x:c>
      <x:c r="Y166" s="2" t="str">
        <x:f>INDEX('Dated offers'!$O$7:$O$305,MATCH($Z166,'Dated offers'!$A$7:$A$305,0))</x:f>
        <x:v>Unreserved inventory snapshot</x:v>
      </x:c>
      <x:c r="Z166" s="17" t="str">
        <x:v>OF0004</x:v>
      </x:c>
      <x:c r="AA166" s="2"/>
      <x:c r="AB166" s="2" t="str">
        <x:f>INDEX('Dated offers'!$Q$7:$Q$305,MATCH($Z166,'Dated offers'!$A$7:$A$305,0))</x:f>
        <x:v>https://www.digikey.com/en/products/detail/w%C3%BCrth-elektronik/885012206026/5453800</x:v>
      </x:c>
    </x:row>
    <x:row r="167" ht="24" customHeight="1">
      <x:c r="A167" s="2" t="str">
        <x:v>25 boards / 2% planning</x:v>
      </x:c>
      <x:c r="B167" s="21" t="str">
        <x:v>885012207026</x:v>
      </x:c>
      <x:c r="C167" s="18" t="n">
        <x:v>25</x:v>
      </x:c>
      <x:c r="D167" s="27" t="n">
        <x:v>0.02</x:v>
      </x:c>
      <x:c r="E167" s="18" t="n">
        <x:f>INDEX('Assembly BOM'!$C$7:$C$162,MATCH($B167,'Assembly BOM'!$A$7:$A$162,0))</x:f>
        <x:v>3</x:v>
      </x:c>
      <x:c r="F167" s="18" t="n">
        <x:f>C167*E167</x:f>
        <x:v>75</x:v>
      </x:c>
      <x:c r="G167" s="18" t="n">
        <x:f>ROUNDUP(F167*(1+D167),0)</x:f>
        <x:v>77</x:v>
      </x:c>
      <x:c r="H167" s="18" t="n">
        <x:f>INDEX('Dated offers'!$F$7:$F$305,MATCH($Z167,'Dated offers'!$A$7:$A$305,0))</x:f>
        <x:v>1</x:v>
      </x:c>
      <x:c r="I167" s="18" t="n">
        <x:f>INDEX('Dated offers'!$G$7:$G$305,MATCH($Z167,'Dated offers'!$A$7:$A$305,0))</x:f>
        <x:v>1</x:v>
      </x:c>
      <x:c r="J167" s="18" t="n">
        <x:f>CEILING(MAX(G167,H167),I167)</x:f>
        <x:v>77</x:v>
      </x:c>
      <x:c r="K167" s="18" t="n">
        <x:v>77</x:v>
      </x:c>
      <x:c r="L167" s="18" t="n">
        <x:f>INDEX('Dated offers'!$I$7:$I$305,MATCH($Z167,'Dated offers'!$A$7:$A$305,0))</x:f>
        <x:v>50</x:v>
      </x:c>
      <x:c r="M167" s="25" t="n">
        <x:f>INDEX('Dated offers'!$J$7:$J$305,MATCH($Z167,'Dated offers'!$A$7:$A$305,0))</x:f>
        <x:v>0.1668</x:v>
      </x:c>
      <x:c r="N167" s="25" t="n">
        <x:f>INDEX('Dated offers'!$K$7:$K$305,MATCH($Z167,'Dated offers'!$A$7:$A$305,0))</x:f>
        <x:v>0</x:v>
      </x:c>
      <x:c r="O167" s="25" t="n">
        <x:f>F167*M167</x:f>
        <x:v>12.51</x:v>
      </x:c>
      <x:c r="P167" s="25" t="n">
        <x:f>G167*M167</x:f>
        <x:v>12.8436</x:v>
      </x:c>
      <x:c r="Q167" s="25" t="n">
        <x:f>K167*M167+N167</x:f>
        <x:v>12.8436</x:v>
      </x:c>
      <x:c r="R167" s="18" t="n">
        <x:f>K167-G167</x:f>
        <x:v>0</x:v>
      </x:c>
      <x:c r="S167" s="18" t="n">
        <x:f>INDEX('Dated offers'!$H$7:$H$305,MATCH($Z167,'Dated offers'!$A$7:$A$305,0))</x:f>
        <x:v>3676</x:v>
      </x:c>
      <x:c r="T167" s="2" t="str">
        <x:f>IF(K167&lt;G167,"Order below requirement",IF(K167&lt;L167,"Below price tier",IF(ISNUMBER(S167),IF(K167&gt;S167,"Quantity exceeds snapshot","Within quantity snapshot"),"Stock not stated")))</x:f>
        <x:v>Within quantity snapshot</x:v>
      </x:c>
      <x:c r="U167" s="2" t="str">
        <x:f>INDEX('Dated offers'!$C$7:$C$305,MATCH($Z167,'Dated offers'!$A$7:$A$305,0))</x:f>
        <x:v>DigiKey</x:v>
      </x:c>
      <x:c r="V167" s="2" t="str">
        <x:f>INDEX('Dated offers'!$D$7:$D$305,MATCH($Z167,'Dated offers'!$A$7:$A$305,0))</x:f>
        <x:v>Exact 885012207026 Cut Tape</x:v>
      </x:c>
      <x:c r="W167" s="24" t="n">
        <x:f>INDEX('Dated offers'!$E$7:$E$305,MATCH($Z167,'Dated offers'!$A$7:$A$305,0))</x:f>
        <x:v>46307.7145725</x:v>
      </x:c>
      <x:c r="X167" s="2" t="b">
        <x:f>INDEX('Dated offers'!$N$7:$N$305,MATCH($Z167,'Dated offers'!$A$7:$A$305,0))</x:f>
        <x:v>0</x:v>
      </x:c>
      <x:c r="Y167" s="2" t="str">
        <x:f>INDEX('Dated offers'!$O$7:$O$305,MATCH($Z167,'Dated offers'!$A$7:$A$305,0))</x:f>
        <x:v>Unreserved inventory snapshot</x:v>
      </x:c>
      <x:c r="Z167" s="17" t="str">
        <x:v>OF0005</x:v>
      </x:c>
      <x:c r="AA167" s="2"/>
      <x:c r="AB167" s="2" t="str">
        <x:f>INDEX('Dated offers'!$Q$7:$Q$305,MATCH($Z167,'Dated offers'!$A$7:$A$305,0))</x:f>
        <x:v>https://www.digikey.com/en/products/detail/w%C3%BCrth-elektronik/885012207026/5454285</x:v>
      </x:c>
    </x:row>
    <x:row r="168" ht="24" customHeight="1">
      <x:c r="A168" s="2" t="str">
        <x:v>25 boards / 2% planning</x:v>
      </x:c>
      <x:c r="B168" s="17" t="str">
        <x:v>9774025243R</x:v>
      </x:c>
      <x:c r="C168" s="18" t="n">
        <x:v>25</x:v>
      </x:c>
      <x:c r="D168" s="27" t="n">
        <x:v>0.02</x:v>
      </x:c>
      <x:c r="E168" s="18" t="n">
        <x:f>INDEX('Assembly BOM'!$C$7:$C$162,MATCH($B168,'Assembly BOM'!$A$7:$A$162,0))</x:f>
        <x:v>1</x:v>
      </x:c>
      <x:c r="F168" s="18" t="n">
        <x:f>C168*E168</x:f>
        <x:v>25</x:v>
      </x:c>
      <x:c r="G168" s="18" t="n">
        <x:f>ROUNDUP(F168*(1+D168),0)</x:f>
        <x:v>26</x:v>
      </x:c>
      <x:c r="H168" s="18" t="n">
        <x:f>INDEX('Dated offers'!$F$7:$F$305,MATCH($Z168,'Dated offers'!$A$7:$A$305,0))</x:f>
        <x:v>1</x:v>
      </x:c>
      <x:c r="I168" s="18" t="n">
        <x:f>INDEX('Dated offers'!$G$7:$G$305,MATCH($Z168,'Dated offers'!$A$7:$A$305,0))</x:f>
        <x:v>1</x:v>
      </x:c>
      <x:c r="J168" s="18" t="n">
        <x:f>CEILING(MAX(G168,H168),I168)</x:f>
        <x:v>26</x:v>
      </x:c>
      <x:c r="K168" s="18" t="n">
        <x:v>26</x:v>
      </x:c>
      <x:c r="L168" s="18" t="n">
        <x:f>INDEX('Dated offers'!$I$7:$I$305,MATCH($Z168,'Dated offers'!$A$7:$A$305,0))</x:f>
        <x:v>10</x:v>
      </x:c>
      <x:c r="M168" s="25" t="n">
        <x:f>INDEX('Dated offers'!$J$7:$J$305,MATCH($Z168,'Dated offers'!$A$7:$A$305,0))</x:f>
        <x:v>1.098</x:v>
      </x:c>
      <x:c r="N168" s="25" t="n">
        <x:f>INDEX('Dated offers'!$K$7:$K$305,MATCH($Z168,'Dated offers'!$A$7:$A$305,0))</x:f>
        <x:v>0</x:v>
      </x:c>
      <x:c r="O168" s="25" t="n">
        <x:f>F168*M168</x:f>
        <x:v>27.450000000000003</x:v>
      </x:c>
      <x:c r="P168" s="25" t="n">
        <x:f>G168*M168</x:f>
        <x:v>28.548000000000002</x:v>
      </x:c>
      <x:c r="Q168" s="25" t="n">
        <x:f>K168*M168+N168</x:f>
        <x:v>28.548000000000002</x:v>
      </x:c>
      <x:c r="R168" s="18" t="n">
        <x:f>K168-G168</x:f>
        <x:v>0</x:v>
      </x:c>
      <x:c r="S168" s="18" t="n">
        <x:f>INDEX('Dated offers'!$H$7:$H$305,MATCH($Z168,'Dated offers'!$A$7:$A$305,0))</x:f>
        <x:v>106480</x:v>
      </x:c>
      <x:c r="T168" s="2" t="str">
        <x:f>IF(K168&lt;G168,"Order below requirement",IF(K168&lt;L168,"Below price tier",IF(ISNUMBER(S168),IF(K168&gt;S168,"Quantity exceeds snapshot","Within quantity snapshot"),"Stock not stated")))</x:f>
        <x:v>Within quantity snapshot</x:v>
      </x:c>
      <x:c r="U168" s="2" t="str">
        <x:f>INDEX('Dated offers'!$C$7:$C$305,MATCH($Z168,'Dated offers'!$A$7:$A$305,0))</x:f>
        <x:v>DigiKey</x:v>
      </x:c>
      <x:c r="V168" s="2" t="str">
        <x:f>INDEX('Dated offers'!$D$7:$D$305,MATCH($Z168,'Dated offers'!$A$7:$A$305,0))</x:f>
        <x:v>Not stated</x:v>
      </x:c>
      <x:c r="W168" s="24" t="n">
        <x:f>INDEX('Dated offers'!$E$7:$E$305,MATCH($Z168,'Dated offers'!$A$7:$A$305,0))</x:f>
        <x:v>46307.47807258102</x:v>
      </x:c>
      <x:c r="X168" s="2" t="b">
        <x:f>INDEX('Dated offers'!$N$7:$N$305,MATCH($Z168,'Dated offers'!$A$7:$A$305,0))</x:f>
        <x:v>0</x:v>
      </x:c>
      <x:c r="Y168" s="2" t="str">
        <x:f>INDEX('Dated offers'!$O$7:$O$305,MATCH($Z168,'Dated offers'!$A$7:$A$305,0))</x:f>
        <x:v>Unreserved inventory snapshot</x:v>
      </x:c>
      <x:c r="Z168" s="17" t="str">
        <x:v>OF0006</x:v>
      </x:c>
      <x:c r="AA168" s="2"/>
      <x:c r="AB168" s="2" t="str">
        <x:f>INDEX('Dated offers'!$Q$7:$Q$305,MATCH($Z168,'Dated offers'!$A$7:$A$305,0))</x:f>
        <x:v>https://www.digikey.com/en/products/detail/w%C3%BCrth-elektronik/9774025243R/5320622</x:v>
      </x:c>
    </x:row>
    <x:row r="169" ht="24" customHeight="1">
      <x:c r="A169" s="2" t="str">
        <x:v>25 boards / 2% planning</x:v>
      </x:c>
      <x:c r="B169" s="17" t="str">
        <x:v>ABM8-25.000MHZ-D1X-T</x:v>
      </x:c>
      <x:c r="C169" s="18" t="n">
        <x:v>25</x:v>
      </x:c>
      <x:c r="D169" s="27" t="n">
        <x:v>0.02</x:v>
      </x:c>
      <x:c r="E169" s="18" t="n">
        <x:f>INDEX('Assembly BOM'!$C$7:$C$162,MATCH($B169,'Assembly BOM'!$A$7:$A$162,0))</x:f>
        <x:v>1</x:v>
      </x:c>
      <x:c r="F169" s="18" t="n">
        <x:f>C169*E169</x:f>
        <x:v>25</x:v>
      </x:c>
      <x:c r="G169" s="18" t="n">
        <x:f>ROUNDUP(F169*(1+D169),0)</x:f>
        <x:v>26</x:v>
      </x:c>
      <x:c r="H169" s="18" t="n">
        <x:f>INDEX('Dated offers'!$F$7:$F$305,MATCH($Z169,'Dated offers'!$A$7:$A$305,0))</x:f>
        <x:v>1</x:v>
      </x:c>
      <x:c r="I169" s="18" t="n">
        <x:f>INDEX('Dated offers'!$G$7:$G$305,MATCH($Z169,'Dated offers'!$A$7:$A$305,0))</x:f>
        <x:v>1</x:v>
      </x:c>
      <x:c r="J169" s="18" t="n">
        <x:f>CEILING(MAX(G169,H169),I169)</x:f>
        <x:v>26</x:v>
      </x:c>
      <x:c r="K169" s="18" t="n">
        <x:v>26</x:v>
      </x:c>
      <x:c r="L169" s="18" t="n">
        <x:f>INDEX('Dated offers'!$I$7:$I$305,MATCH($Z169,'Dated offers'!$A$7:$A$305,0))</x:f>
        <x:v>25</x:v>
      </x:c>
      <x:c r="M169" s="25" t="n">
        <x:f>INDEX('Dated offers'!$J$7:$J$305,MATCH($Z169,'Dated offers'!$A$7:$A$305,0))</x:f>
        <x:v>0.3788</x:v>
      </x:c>
      <x:c r="N169" s="25" t="n">
        <x:f>INDEX('Dated offers'!$K$7:$K$305,MATCH($Z169,'Dated offers'!$A$7:$A$305,0))</x:f>
        <x:v>0</x:v>
      </x:c>
      <x:c r="O169" s="25" t="n">
        <x:f>F169*M169</x:f>
        <x:v>9.47</x:v>
      </x:c>
      <x:c r="P169" s="25" t="n">
        <x:f>G169*M169</x:f>
        <x:v>9.8488</x:v>
      </x:c>
      <x:c r="Q169" s="25" t="n">
        <x:f>K169*M169+N169</x:f>
        <x:v>9.8488</x:v>
      </x:c>
      <x:c r="R169" s="18" t="n">
        <x:f>K169-G169</x:f>
        <x:v>0</x:v>
      </x:c>
      <x:c r="S169" s="18" t="n">
        <x:f>INDEX('Dated offers'!$H$7:$H$305,MATCH($Z169,'Dated offers'!$A$7:$A$305,0))</x:f>
        <x:v>338</x:v>
      </x:c>
      <x:c r="T169" s="2" t="str">
        <x:f>IF(K169&lt;G169,"Order below requirement",IF(K169&lt;L169,"Below price tier",IF(ISNUMBER(S169),IF(K169&gt;S169,"Quantity exceeds snapshot","Within quantity snapshot"),"Stock not stated")))</x:f>
        <x:v>Within quantity snapshot</x:v>
      </x:c>
      <x:c r="U169" s="2" t="str">
        <x:f>INDEX('Dated offers'!$C$7:$C$305,MATCH($Z169,'Dated offers'!$A$7:$A$305,0))</x:f>
        <x:v>DigiKey</x:v>
      </x:c>
      <x:c r="V169" s="2" t="str">
        <x:f>INDEX('Dated offers'!$D$7:$D$305,MATCH($Z169,'Dated offers'!$A$7:$A$305,0))</x:f>
        <x:v>Not stated</x:v>
      </x:c>
      <x:c r="W169" s="24" t="n">
        <x:f>INDEX('Dated offers'!$E$7:$E$305,MATCH($Z169,'Dated offers'!$A$7:$A$305,0))</x:f>
        <x:v>46307.478072592596</x:v>
      </x:c>
      <x:c r="X169" s="2" t="b">
        <x:f>INDEX('Dated offers'!$N$7:$N$305,MATCH($Z169,'Dated offers'!$A$7:$A$305,0))</x:f>
        <x:v>0</x:v>
      </x:c>
      <x:c r="Y169" s="2" t="str">
        <x:f>INDEX('Dated offers'!$O$7:$O$305,MATCH($Z169,'Dated offers'!$A$7:$A$305,0))</x:f>
        <x:v>Unreserved inventory snapshot</x:v>
      </x:c>
      <x:c r="Z169" s="17" t="str">
        <x:v>OF0007</x:v>
      </x:c>
      <x:c r="AA169" s="2"/>
      <x:c r="AB169" s="2" t="str">
        <x:f>INDEX('Dated offers'!$Q$7:$Q$305,MATCH($Z169,'Dated offers'!$A$7:$A$305,0))</x:f>
        <x:v>https://www.digikey.com/en/products/detail/abracon-llc/ABM8-25-000MHZ-D1X-T/9997887</x:v>
      </x:c>
    </x:row>
    <x:row r="170" ht="24" customHeight="1">
      <x:c r="A170" s="2" t="str">
        <x:v>25 boards / 2% planning</x:v>
      </x:c>
      <x:c r="B170" s="17" t="str">
        <x:v>ABM8-40.000MHZ-10-D1G-T</x:v>
      </x:c>
      <x:c r="C170" s="18" t="n">
        <x:v>25</x:v>
      </x:c>
      <x:c r="D170" s="27" t="n">
        <x:v>0.02</x:v>
      </x:c>
      <x:c r="E170" s="18" t="n">
        <x:f>INDEX('Assembly BOM'!$C$7:$C$162,MATCH($B170,'Assembly BOM'!$A$7:$A$162,0))</x:f>
        <x:v>1</x:v>
      </x:c>
      <x:c r="F170" s="18" t="n">
        <x:f>C170*E170</x:f>
        <x:v>25</x:v>
      </x:c>
      <x:c r="G170" s="18" t="n">
        <x:f>ROUNDUP(F170*(1+D170),0)</x:f>
        <x:v>26</x:v>
      </x:c>
      <x:c r="H170" s="18" t="n">
        <x:f>INDEX('Dated offers'!$F$7:$F$305,MATCH($Z170,'Dated offers'!$A$7:$A$305,0))</x:f>
        <x:v>1</x:v>
      </x:c>
      <x:c r="I170" s="18" t="n">
        <x:f>INDEX('Dated offers'!$G$7:$G$305,MATCH($Z170,'Dated offers'!$A$7:$A$305,0))</x:f>
        <x:v>1</x:v>
      </x:c>
      <x:c r="J170" s="18" t="n">
        <x:f>CEILING(MAX(G170,H170),I170)</x:f>
        <x:v>26</x:v>
      </x:c>
      <x:c r="K170" s="18" t="n">
        <x:v>26</x:v>
      </x:c>
      <x:c r="L170" s="18" t="n">
        <x:f>INDEX('Dated offers'!$I$7:$I$305,MATCH($Z170,'Dated offers'!$A$7:$A$305,0))</x:f>
        <x:v>25</x:v>
      </x:c>
      <x:c r="M170" s="25" t="n">
        <x:f>INDEX('Dated offers'!$J$7:$J$305,MATCH($Z170,'Dated offers'!$A$7:$A$305,0))</x:f>
        <x:v>0.4048</x:v>
      </x:c>
      <x:c r="N170" s="25" t="n">
        <x:f>INDEX('Dated offers'!$K$7:$K$305,MATCH($Z170,'Dated offers'!$A$7:$A$305,0))</x:f>
        <x:v>0</x:v>
      </x:c>
      <x:c r="O170" s="25" t="n">
        <x:f>F170*M170</x:f>
        <x:v>10.12</x:v>
      </x:c>
      <x:c r="P170" s="25" t="n">
        <x:f>G170*M170</x:f>
        <x:v>10.524799999999999</x:v>
      </x:c>
      <x:c r="Q170" s="25" t="n">
        <x:f>K170*M170+N170</x:f>
        <x:v>10.524799999999999</x:v>
      </x:c>
      <x:c r="R170" s="18" t="n">
        <x:f>K170-G170</x:f>
        <x:v>0</x:v>
      </x:c>
      <x:c r="S170" s="18" t="n">
        <x:f>INDEX('Dated offers'!$H$7:$H$305,MATCH($Z170,'Dated offers'!$A$7:$A$305,0))</x:f>
        <x:v>1001</x:v>
      </x:c>
      <x:c r="T170" s="2" t="str">
        <x:f>IF(K170&lt;G170,"Order below requirement",IF(K170&lt;L170,"Below price tier",IF(ISNUMBER(S170),IF(K170&gt;S170,"Quantity exceeds snapshot","Within quantity snapshot"),"Stock not stated")))</x:f>
        <x:v>Within quantity snapshot</x:v>
      </x:c>
      <x:c r="U170" s="2" t="str">
        <x:f>INDEX('Dated offers'!$C$7:$C$305,MATCH($Z170,'Dated offers'!$A$7:$A$305,0))</x:f>
        <x:v>DigiKey</x:v>
      </x:c>
      <x:c r="V170" s="2" t="str">
        <x:f>INDEX('Dated offers'!$D$7:$D$305,MATCH($Z170,'Dated offers'!$A$7:$A$305,0))</x:f>
        <x:v>Not stated</x:v>
      </x:c>
      <x:c r="W170" s="24" t="n">
        <x:f>INDEX('Dated offers'!$E$7:$E$305,MATCH($Z170,'Dated offers'!$A$7:$A$305,0))</x:f>
        <x:v>46307.478072592596</x:v>
      </x:c>
      <x:c r="X170" s="2" t="b">
        <x:f>INDEX('Dated offers'!$N$7:$N$305,MATCH($Z170,'Dated offers'!$A$7:$A$305,0))</x:f>
        <x:v>0</x:v>
      </x:c>
      <x:c r="Y170" s="2" t="str">
        <x:f>INDEX('Dated offers'!$O$7:$O$305,MATCH($Z170,'Dated offers'!$A$7:$A$305,0))</x:f>
        <x:v>Unreserved inventory snapshot</x:v>
      </x:c>
      <x:c r="Z170" s="17" t="str">
        <x:v>OF0008</x:v>
      </x:c>
      <x:c r="AA170" s="2"/>
      <x:c r="AB170" s="2" t="str">
        <x:f>INDEX('Dated offers'!$Q$7:$Q$305,MATCH($Z170,'Dated offers'!$A$7:$A$305,0))</x:f>
        <x:v>https://www.digikey.com/en/products/detail/abracon-llc/ABM8-40-000MHZ-10-D1G-T/9997905</x:v>
      </x:c>
    </x:row>
    <x:row r="171" ht="24" customHeight="1">
      <x:c r="A171" s="2" t="str">
        <x:v>25 boards / 2% planning</x:v>
      </x:c>
      <x:c r="B171" s="17" t="str">
        <x:v>AC01000004708JA100</x:v>
      </x:c>
      <x:c r="C171" s="18" t="n">
        <x:v>25</x:v>
      </x:c>
      <x:c r="D171" s="27" t="n">
        <x:v>0.02</x:v>
      </x:c>
      <x:c r="E171" s="18" t="n">
        <x:f>INDEX('Assembly BOM'!$C$7:$C$162,MATCH($B171,'Assembly BOM'!$A$7:$A$162,0))</x:f>
        <x:v>1</x:v>
      </x:c>
      <x:c r="F171" s="18" t="n">
        <x:f>C171*E171</x:f>
        <x:v>25</x:v>
      </x:c>
      <x:c r="G171" s="18" t="n">
        <x:f>ROUNDUP(F171*(1+D171),0)</x:f>
        <x:v>26</x:v>
      </x:c>
      <x:c r="H171" s="18" t="n">
        <x:f>INDEX('Dated offers'!$F$7:$F$305,MATCH($Z171,'Dated offers'!$A$7:$A$305,0))</x:f>
        <x:v>1</x:v>
      </x:c>
      <x:c r="I171" s="18" t="n">
        <x:f>INDEX('Dated offers'!$G$7:$G$305,MATCH($Z171,'Dated offers'!$A$7:$A$305,0))</x:f>
        <x:v>1</x:v>
      </x:c>
      <x:c r="J171" s="18" t="n">
        <x:f>CEILING(MAX(G171,H171),I171)</x:f>
        <x:v>26</x:v>
      </x:c>
      <x:c r="K171" s="18" t="n">
        <x:v>26</x:v>
      </x:c>
      <x:c r="L171" s="18" t="n">
        <x:f>INDEX('Dated offers'!$I$7:$I$305,MATCH($Z171,'Dated offers'!$A$7:$A$305,0))</x:f>
        <x:v>25</x:v>
      </x:c>
      <x:c r="M171" s="25" t="n">
        <x:f>INDEX('Dated offers'!$J$7:$J$305,MATCH($Z171,'Dated offers'!$A$7:$A$305,0))</x:f>
        <x:v>0.5644</x:v>
      </x:c>
      <x:c r="N171" s="25" t="n">
        <x:f>INDEX('Dated offers'!$K$7:$K$305,MATCH($Z171,'Dated offers'!$A$7:$A$305,0))</x:f>
        <x:v>0</x:v>
      </x:c>
      <x:c r="O171" s="25" t="n">
        <x:f>F171*M171</x:f>
        <x:v>14.11</x:v>
      </x:c>
      <x:c r="P171" s="25" t="n">
        <x:f>G171*M171</x:f>
        <x:v>14.6744</x:v>
      </x:c>
      <x:c r="Q171" s="25" t="n">
        <x:f>K171*M171+N171</x:f>
        <x:v>14.6744</x:v>
      </x:c>
      <x:c r="R171" s="18" t="n">
        <x:f>K171-G171</x:f>
        <x:v>0</x:v>
      </x:c>
      <x:c r="S171" s="18" t="n">
        <x:f>INDEX('Dated offers'!$H$7:$H$305,MATCH($Z171,'Dated offers'!$A$7:$A$305,0))</x:f>
        <x:v>384</x:v>
      </x:c>
      <x:c r="T171" s="2" t="str">
        <x:f>IF(K171&lt;G171,"Order below requirement",IF(K171&lt;L171,"Below price tier",IF(ISNUMBER(S171),IF(K171&gt;S171,"Quantity exceeds snapshot","Within quantity snapshot"),"Stock not stated")))</x:f>
        <x:v>Within quantity snapshot</x:v>
      </x:c>
      <x:c r="U171" s="2" t="str">
        <x:f>INDEX('Dated offers'!$C$7:$C$305,MATCH($Z171,'Dated offers'!$A$7:$A$305,0))</x:f>
        <x:v>DigiKey</x:v>
      </x:c>
      <x:c r="V171" s="2" t="str">
        <x:f>INDEX('Dated offers'!$D$7:$D$305,MATCH($Z171,'Dated offers'!$A$7:$A$305,0))</x:f>
        <x:v>Not stated</x:v>
      </x:c>
      <x:c r="W171" s="24" t="n">
        <x:f>INDEX('Dated offers'!$E$7:$E$305,MATCH($Z171,'Dated offers'!$A$7:$A$305,0))</x:f>
        <x:v>46307.47807255787</x:v>
      </x:c>
      <x:c r="X171" s="2" t="b">
        <x:f>INDEX('Dated offers'!$N$7:$N$305,MATCH($Z171,'Dated offers'!$A$7:$A$305,0))</x:f>
        <x:v>0</x:v>
      </x:c>
      <x:c r="Y171" s="2" t="str">
        <x:f>INDEX('Dated offers'!$O$7:$O$305,MATCH($Z171,'Dated offers'!$A$7:$A$305,0))</x:f>
        <x:v>Unreserved inventory snapshot</x:v>
      </x:c>
      <x:c r="Z171" s="17" t="str">
        <x:v>OF0009</x:v>
      </x:c>
      <x:c r="AA171" s="2"/>
      <x:c r="AB171" s="2" t="str">
        <x:f>INDEX('Dated offers'!$Q$7:$Q$305,MATCH($Z171,'Dated offers'!$A$7:$A$305,0))</x:f>
        <x:v>https://www.digikey.com/en/products/detail/vishay/AC01000004708JA100/596586</x:v>
      </x:c>
    </x:row>
    <x:row r="172" ht="24" customHeight="1">
      <x:c r="A172" s="2" t="str">
        <x:v>25 boards / 2% planning</x:v>
      </x:c>
      <x:c r="B172" s="17" t="str">
        <x:v>AT93C46DN-SH-T</x:v>
      </x:c>
      <x:c r="C172" s="18" t="n">
        <x:v>25</x:v>
      </x:c>
      <x:c r="D172" s="27" t="n">
        <x:v>0.02</x:v>
      </x:c>
      <x:c r="E172" s="18" t="n">
        <x:f>INDEX('Assembly BOM'!$C$7:$C$162,MATCH($B172,'Assembly BOM'!$A$7:$A$162,0))</x:f>
        <x:v>1</x:v>
      </x:c>
      <x:c r="F172" s="18" t="n">
        <x:f>C172*E172</x:f>
        <x:v>25</x:v>
      </x:c>
      <x:c r="G172" s="18" t="n">
        <x:f>ROUNDUP(F172*(1+D172),0)</x:f>
        <x:v>26</x:v>
      </x:c>
      <x:c r="H172" s="18" t="n">
        <x:f>INDEX('Dated offers'!$F$7:$F$305,MATCH($Z172,'Dated offers'!$A$7:$A$305,0))</x:f>
        <x:v>1</x:v>
      </x:c>
      <x:c r="I172" s="18" t="n">
        <x:f>INDEX('Dated offers'!$G$7:$G$305,MATCH($Z172,'Dated offers'!$A$7:$A$305,0))</x:f>
        <x:v>1</x:v>
      </x:c>
      <x:c r="J172" s="18" t="n">
        <x:f>CEILING(MAX(G172,H172),I172)</x:f>
        <x:v>26</x:v>
      </x:c>
      <x:c r="K172" s="18" t="n">
        <x:v>26</x:v>
      </x:c>
      <x:c r="L172" s="18" t="n">
        <x:f>INDEX('Dated offers'!$I$7:$I$305,MATCH($Z172,'Dated offers'!$A$7:$A$305,0))</x:f>
        <x:v>1</x:v>
      </x:c>
      <x:c r="M172" s="25" t="n">
        <x:f>INDEX('Dated offers'!$J$7:$J$305,MATCH($Z172,'Dated offers'!$A$7:$A$305,0))</x:f>
        <x:v>0.28</x:v>
      </x:c>
      <x:c r="N172" s="25" t="n">
        <x:f>INDEX('Dated offers'!$K$7:$K$305,MATCH($Z172,'Dated offers'!$A$7:$A$305,0))</x:f>
        <x:v>0</x:v>
      </x:c>
      <x:c r="O172" s="25" t="n">
        <x:f>F172*M172</x:f>
        <x:v>7.000000000000001</x:v>
      </x:c>
      <x:c r="P172" s="25" t="n">
        <x:f>G172*M172</x:f>
        <x:v>7.280000000000001</x:v>
      </x:c>
      <x:c r="Q172" s="25" t="n">
        <x:f>K172*M172+N172</x:f>
        <x:v>7.280000000000001</x:v>
      </x:c>
      <x:c r="R172" s="18" t="n">
        <x:f>K172-G172</x:f>
        <x:v>0</x:v>
      </x:c>
      <x:c r="S172" s="18" t="n">
        <x:f>INDEX('Dated offers'!$H$7:$H$305,MATCH($Z172,'Dated offers'!$A$7:$A$305,0))</x:f>
        <x:v>24535</x:v>
      </x:c>
      <x:c r="T172" s="2" t="str">
        <x:f>IF(K172&lt;G172,"Order below requirement",IF(K172&lt;L172,"Below price tier",IF(ISNUMBER(S172),IF(K172&gt;S172,"Quantity exceeds snapshot","Within quantity snapshot"),"Stock not stated")))</x:f>
        <x:v>Within quantity snapshot</x:v>
      </x:c>
      <x:c r="U172" s="2" t="str">
        <x:f>INDEX('Dated offers'!$C$7:$C$305,MATCH($Z172,'Dated offers'!$A$7:$A$305,0))</x:f>
        <x:v>DigiKey</x:v>
      </x:c>
      <x:c r="V172" s="2" t="str">
        <x:f>INDEX('Dated offers'!$D$7:$D$305,MATCH($Z172,'Dated offers'!$A$7:$A$305,0))</x:f>
        <x:v>Not stated</x:v>
      </x:c>
      <x:c r="W172" s="24" t="n">
        <x:f>INDEX('Dated offers'!$E$7:$E$305,MATCH($Z172,'Dated offers'!$A$7:$A$305,0))</x:f>
        <x:v>46307.478072708334</x:v>
      </x:c>
      <x:c r="X172" s="2" t="b">
        <x:f>INDEX('Dated offers'!$N$7:$N$305,MATCH($Z172,'Dated offers'!$A$7:$A$305,0))</x:f>
        <x:v>0</x:v>
      </x:c>
      <x:c r="Y172" s="2" t="str">
        <x:f>INDEX('Dated offers'!$O$7:$O$305,MATCH($Z172,'Dated offers'!$A$7:$A$305,0))</x:f>
        <x:v>Unreserved inventory snapshot</x:v>
      </x:c>
      <x:c r="Z172" s="17" t="str">
        <x:v>OF0010</x:v>
      </x:c>
      <x:c r="AA172" s="2"/>
      <x:c r="AB172" s="2" t="str">
        <x:f>INDEX('Dated offers'!$Q$7:$Q$305,MATCH($Z172,'Dated offers'!$A$7:$A$305,0))</x:f>
        <x:v>https://www.digikey.com/en/products/detail/microchip-technology/AT93C46DN-SH-T/1566800</x:v>
      </x:c>
    </x:row>
    <x:row r="173" ht="24" customHeight="1">
      <x:c r="A173" s="2" t="str">
        <x:v>25 boards / 2% planning</x:v>
      </x:c>
      <x:c r="B173" s="17" t="str">
        <x:v>B2B-XH-A(LF)(SN)</x:v>
      </x:c>
      <x:c r="C173" s="18" t="n">
        <x:v>25</x:v>
      </x:c>
      <x:c r="D173" s="27" t="n">
        <x:v>0.02</x:v>
      </x:c>
      <x:c r="E173" s="18" t="n">
        <x:f>INDEX('Assembly BOM'!$C$7:$C$162,MATCH($B173,'Assembly BOM'!$A$7:$A$162,0))</x:f>
        <x:v>1</x:v>
      </x:c>
      <x:c r="F173" s="18" t="n">
        <x:f>C173*E173</x:f>
        <x:v>25</x:v>
      </x:c>
      <x:c r="G173" s="18" t="n">
        <x:f>ROUNDUP(F173*(1+D173),0)</x:f>
        <x:v>26</x:v>
      </x:c>
      <x:c r="H173" s="18" t="n">
        <x:f>INDEX('Dated offers'!$F$7:$F$305,MATCH($Z173,'Dated offers'!$A$7:$A$305,0))</x:f>
        <x:v>20</x:v>
      </x:c>
      <x:c r="I173" s="18" t="n">
        <x:f>INDEX('Dated offers'!$G$7:$G$305,MATCH($Z173,'Dated offers'!$A$7:$A$305,0))</x:f>
        <x:v>20</x:v>
      </x:c>
      <x:c r="J173" s="18" t="n">
        <x:f>CEILING(MAX(G173,H173),I173)</x:f>
        <x:v>40</x:v>
      </x:c>
      <x:c r="K173" s="18" t="n">
        <x:v>40</x:v>
      </x:c>
      <x:c r="L173" s="18" t="n">
        <x:f>INDEX('Dated offers'!$I$7:$I$305,MATCH($Z173,'Dated offers'!$A$7:$A$305,0))</x:f>
        <x:v>20</x:v>
      </x:c>
      <x:c r="M173" s="25" t="n">
        <x:f>INDEX('Dated offers'!$J$7:$J$305,MATCH($Z173,'Dated offers'!$A$7:$A$305,0))</x:f>
        <x:v>0.0409</x:v>
      </x:c>
      <x:c r="N173" s="25" t="n">
        <x:f>INDEX('Dated offers'!$K$7:$K$305,MATCH($Z173,'Dated offers'!$A$7:$A$305,0))</x:f>
        <x:v>0</x:v>
      </x:c>
      <x:c r="O173" s="25" t="n">
        <x:f>F173*M173</x:f>
        <x:v>1.0225</x:v>
      </x:c>
      <x:c r="P173" s="25" t="n">
        <x:f>G173*M173</x:f>
        <x:v>1.0634</x:v>
      </x:c>
      <x:c r="Q173" s="25" t="n">
        <x:f>K173*M173+N173</x:f>
        <x:v>1.636</x:v>
      </x:c>
      <x:c r="R173" s="18" t="n">
        <x:f>K173-G173</x:f>
        <x:v>14</x:v>
      </x:c>
      <x:c r="S173" s="18" t="n">
        <x:f>INDEX('Dated offers'!$H$7:$H$305,MATCH($Z173,'Dated offers'!$A$7:$A$305,0))</x:f>
        <x:v>238920</x:v>
      </x:c>
      <x:c r="T173" s="2" t="str">
        <x:f>IF(K173&lt;G173,"Order below requirement",IF(K173&lt;L173,"Below price tier",IF(ISNUMBER(S173),IF(K173&gt;S173,"Quantity exceeds snapshot","Within quantity snapshot"),"Stock not stated")))</x:f>
        <x:v>Within quantity snapshot</x:v>
      </x:c>
      <x:c r="U173" s="2" t="str">
        <x:f>INDEX('Dated offers'!$C$7:$C$305,MATCH($Z173,'Dated offers'!$A$7:$A$305,0))</x:f>
        <x:v>LCSC</x:v>
      </x:c>
      <x:c r="V173" s="2" t="str">
        <x:f>INDEX('Dated offers'!$D$7:$D$305,MATCH($Z173,'Dated offers'!$A$7:$A$305,0))</x:f>
        <x:v>C158012</x:v>
      </x:c>
      <x:c r="W173" s="24" t="n">
        <x:f>INDEX('Dated offers'!$E$7:$E$305,MATCH($Z173,'Dated offers'!$A$7:$A$305,0))</x:f>
        <x:v>46307.447395428244</x:v>
      </x:c>
      <x:c r="X173" s="2" t="b">
        <x:f>INDEX('Dated offers'!$N$7:$N$305,MATCH($Z173,'Dated offers'!$A$7:$A$305,0))</x:f>
        <x:v>0</x:v>
      </x:c>
      <x:c r="Y173" s="2" t="str">
        <x:f>INDEX('Dated offers'!$O$7:$O$305,MATCH($Z173,'Dated offers'!$A$7:$A$305,0))</x:f>
        <x:v>Unreserved inventory snapshot</x:v>
      </x:c>
      <x:c r="Z173" s="17" t="str">
        <x:v>OF0011</x:v>
      </x:c>
      <x:c r="AA173" s="2"/>
      <x:c r="AB173" s="2" t="str">
        <x:f>INDEX('Dated offers'!$Q$7:$Q$305,MATCH($Z173,'Dated offers'!$A$7:$A$305,0))</x:f>
        <x:v>https://www.lcsc.com/product-detail/C158012.html</x:v>
      </x:c>
    </x:row>
    <x:row r="174" ht="24" customHeight="1">
      <x:c r="A174" s="2" t="str">
        <x:v>25 boards / 2% planning</x:v>
      </x:c>
      <x:c r="B174" s="17" t="str">
        <x:v>B3U-1000P</x:v>
      </x:c>
      <x:c r="C174" s="18" t="n">
        <x:v>25</x:v>
      </x:c>
      <x:c r="D174" s="27" t="n">
        <x:v>0.02</x:v>
      </x:c>
      <x:c r="E174" s="18" t="n">
        <x:f>INDEX('Assembly BOM'!$C$7:$C$162,MATCH($B174,'Assembly BOM'!$A$7:$A$162,0))</x:f>
        <x:v>2</x:v>
      </x:c>
      <x:c r="F174" s="18" t="n">
        <x:f>C174*E174</x:f>
        <x:v>50</x:v>
      </x:c>
      <x:c r="G174" s="18" t="n">
        <x:f>ROUNDUP(F174*(1+D174),0)</x:f>
        <x:v>51</x:v>
      </x:c>
      <x:c r="H174" s="18" t="n">
        <x:f>INDEX('Dated offers'!$F$7:$F$305,MATCH($Z174,'Dated offers'!$A$7:$A$305,0))</x:f>
        <x:v>5</x:v>
      </x:c>
      <x:c r="I174" s="18" t="n">
        <x:f>INDEX('Dated offers'!$G$7:$G$305,MATCH($Z174,'Dated offers'!$A$7:$A$305,0))</x:f>
        <x:v>5</x:v>
      </x:c>
      <x:c r="J174" s="18" t="n">
        <x:f>CEILING(MAX(G174,H174),I174)</x:f>
        <x:v>55</x:v>
      </x:c>
      <x:c r="K174" s="18" t="n">
        <x:v>55</x:v>
      </x:c>
      <x:c r="L174" s="18" t="n">
        <x:f>INDEX('Dated offers'!$I$7:$I$305,MATCH($Z174,'Dated offers'!$A$7:$A$305,0))</x:f>
        <x:v>50</x:v>
      </x:c>
      <x:c r="M174" s="25" t="n">
        <x:f>INDEX('Dated offers'!$J$7:$J$305,MATCH($Z174,'Dated offers'!$A$7:$A$305,0))</x:f>
        <x:v>0.148</x:v>
      </x:c>
      <x:c r="N174" s="25" t="n">
        <x:f>INDEX('Dated offers'!$K$7:$K$305,MATCH($Z174,'Dated offers'!$A$7:$A$305,0))</x:f>
        <x:v>0</x:v>
      </x:c>
      <x:c r="O174" s="25" t="n">
        <x:f>F174*M174</x:f>
        <x:v>7.3999999999999995</x:v>
      </x:c>
      <x:c r="P174" s="25" t="n">
        <x:f>G174*M174</x:f>
        <x:v>7.548</x:v>
      </x:c>
      <x:c r="Q174" s="25" t="n">
        <x:f>K174*M174+N174</x:f>
        <x:v>8.139999999999999</x:v>
      </x:c>
      <x:c r="R174" s="18" t="n">
        <x:f>K174-G174</x:f>
        <x:v>4</x:v>
      </x:c>
      <x:c r="S174" s="18" t="n">
        <x:f>INDEX('Dated offers'!$H$7:$H$305,MATCH($Z174,'Dated offers'!$A$7:$A$305,0))</x:f>
        <x:v>120135</x:v>
      </x:c>
      <x:c r="T174" s="2" t="str">
        <x:f>IF(K174&lt;G174,"Order below requirement",IF(K174&lt;L174,"Below price tier",IF(ISNUMBER(S174),IF(K174&gt;S174,"Quantity exceeds snapshot","Within quantity snapshot"),"Stock not stated")))</x:f>
        <x:v>Within quantity snapshot</x:v>
      </x:c>
      <x:c r="U174" s="2" t="str">
        <x:f>INDEX('Dated offers'!$C$7:$C$305,MATCH($Z174,'Dated offers'!$A$7:$A$305,0))</x:f>
        <x:v>LCSC</x:v>
      </x:c>
      <x:c r="V174" s="2" t="str">
        <x:f>INDEX('Dated offers'!$D$7:$D$305,MATCH($Z174,'Dated offers'!$A$7:$A$305,0))</x:f>
        <x:v>C231329</x:v>
      </x:c>
      <x:c r="W174" s="24" t="n">
        <x:f>INDEX('Dated offers'!$E$7:$E$305,MATCH($Z174,'Dated offers'!$A$7:$A$305,0))</x:f>
        <x:v>46307.44739550926</x:v>
      </x:c>
      <x:c r="X174" s="2" t="b">
        <x:f>INDEX('Dated offers'!$N$7:$N$305,MATCH($Z174,'Dated offers'!$A$7:$A$305,0))</x:f>
        <x:v>0</x:v>
      </x:c>
      <x:c r="Y174" s="2" t="str">
        <x:f>INDEX('Dated offers'!$O$7:$O$305,MATCH($Z174,'Dated offers'!$A$7:$A$305,0))</x:f>
        <x:v>Unreserved inventory snapshot</x:v>
      </x:c>
      <x:c r="Z174" s="17" t="str">
        <x:v>OF0012</x:v>
      </x:c>
      <x:c r="AA174" s="2"/>
      <x:c r="AB174" s="2" t="str">
        <x:f>INDEX('Dated offers'!$Q$7:$Q$305,MATCH($Z174,'Dated offers'!$A$7:$A$305,0))</x:f>
        <x:v>https://www.lcsc.com/product-detail/C231329.html</x:v>
      </x:c>
    </x:row>
    <x:row r="175" ht="24" customHeight="1">
      <x:c r="A175" s="2" t="str">
        <x:v>25 boards / 2% planning</x:v>
      </x:c>
      <x:c r="B175" s="17" t="str">
        <x:v>BLM18PG330SN1D</x:v>
      </x:c>
      <x:c r="C175" s="18" t="n">
        <x:v>25</x:v>
      </x:c>
      <x:c r="D175" s="27" t="n">
        <x:v>0.02</x:v>
      </x:c>
      <x:c r="E175" s="18" t="n">
        <x:f>INDEX('Assembly BOM'!$C$7:$C$162,MATCH($B175,'Assembly BOM'!$A$7:$A$162,0))</x:f>
        <x:v>1</x:v>
      </x:c>
      <x:c r="F175" s="18" t="n">
        <x:f>C175*E175</x:f>
        <x:v>25</x:v>
      </x:c>
      <x:c r="G175" s="18" t="n">
        <x:f>ROUNDUP(F175*(1+D175),0)</x:f>
        <x:v>26</x:v>
      </x:c>
      <x:c r="H175" s="18" t="n">
        <x:f>INDEX('Dated offers'!$F$7:$F$305,MATCH($Z175,'Dated offers'!$A$7:$A$305,0))</x:f>
        <x:v>1</x:v>
      </x:c>
      <x:c r="I175" s="18" t="n">
        <x:f>INDEX('Dated offers'!$G$7:$G$305,MATCH($Z175,'Dated offers'!$A$7:$A$305,0))</x:f>
        <x:v>1</x:v>
      </x:c>
      <x:c r="J175" s="18" t="n">
        <x:f>CEILING(MAX(G175,H175),I175)</x:f>
        <x:v>26</x:v>
      </x:c>
      <x:c r="K175" s="18" t="n">
        <x:v>26</x:v>
      </x:c>
      <x:c r="L175" s="18" t="n">
        <x:f>INDEX('Dated offers'!$I$7:$I$305,MATCH($Z175,'Dated offers'!$A$7:$A$305,0))</x:f>
        <x:v>25</x:v>
      </x:c>
      <x:c r="M175" s="25" t="n">
        <x:f>INDEX('Dated offers'!$J$7:$J$305,MATCH($Z175,'Dated offers'!$A$7:$A$305,0))</x:f>
        <x:v>0.0568</x:v>
      </x:c>
      <x:c r="N175" s="25" t="n">
        <x:f>INDEX('Dated offers'!$K$7:$K$305,MATCH($Z175,'Dated offers'!$A$7:$A$305,0))</x:f>
        <x:v>0</x:v>
      </x:c>
      <x:c r="O175" s="25" t="n">
        <x:f>F175*M175</x:f>
        <x:v>1.4200000000000002</x:v>
      </x:c>
      <x:c r="P175" s="25" t="n">
        <x:f>G175*M175</x:f>
        <x:v>1.4768000000000001</x:v>
      </x:c>
      <x:c r="Q175" s="25" t="n">
        <x:f>K175*M175+N175</x:f>
        <x:v>1.4768000000000001</x:v>
      </x:c>
      <x:c r="R175" s="18" t="n">
        <x:f>K175-G175</x:f>
        <x:v>0</x:v>
      </x:c>
      <x:c r="S175" s="18" t="n">
        <x:f>INDEX('Dated offers'!$H$7:$H$305,MATCH($Z175,'Dated offers'!$A$7:$A$305,0))</x:f>
        <x:v>329009</x:v>
      </x:c>
      <x:c r="T175" s="2" t="str">
        <x:f>IF(K175&lt;G175,"Order below requirement",IF(K175&lt;L175,"Below price tier",IF(ISNUMBER(S175),IF(K175&gt;S175,"Quantity exceeds snapshot","Within quantity snapshot"),"Stock not stated")))</x:f>
        <x:v>Within quantity snapshot</x:v>
      </x:c>
      <x:c r="U175" s="2" t="str">
        <x:f>INDEX('Dated offers'!$C$7:$C$305,MATCH($Z175,'Dated offers'!$A$7:$A$305,0))</x:f>
        <x:v>DigiKey</x:v>
      </x:c>
      <x:c r="V175" s="2" t="str">
        <x:f>INDEX('Dated offers'!$D$7:$D$305,MATCH($Z175,'Dated offers'!$A$7:$A$305,0))</x:f>
        <x:v>Not stated</x:v>
      </x:c>
      <x:c r="W175" s="24" t="n">
        <x:f>INDEX('Dated offers'!$E$7:$E$305,MATCH($Z175,'Dated offers'!$A$7:$A$305,0))</x:f>
        <x:v>46307.47807266204</x:v>
      </x:c>
      <x:c r="X175" s="2" t="b">
        <x:f>INDEX('Dated offers'!$N$7:$N$305,MATCH($Z175,'Dated offers'!$A$7:$A$305,0))</x:f>
        <x:v>0</x:v>
      </x:c>
      <x:c r="Y175" s="2" t="str">
        <x:f>INDEX('Dated offers'!$O$7:$O$305,MATCH($Z175,'Dated offers'!$A$7:$A$305,0))</x:f>
        <x:v>Unreserved inventory snapshot</x:v>
      </x:c>
      <x:c r="Z175" s="17" t="str">
        <x:v>OF0013</x:v>
      </x:c>
      <x:c r="AA175" s="2"/>
      <x:c r="AB175" s="2" t="str">
        <x:f>INDEX('Dated offers'!$Q$7:$Q$305,MATCH($Z175,'Dated offers'!$A$7:$A$305,0))</x:f>
        <x:v>https://www.digikey.com/en/products/detail/murata-electronics/BLM18PG330SN1D/1948325</x:v>
      </x:c>
    </x:row>
    <x:row r="176" ht="24" customHeight="1">
      <x:c r="A176" s="2" t="str">
        <x:v>25 boards / 2% planning</x:v>
      </x:c>
      <x:c r="B176" s="17" t="str">
        <x:v>BZT52C6V2-7-F</x:v>
      </x:c>
      <x:c r="C176" s="18" t="n">
        <x:v>25</x:v>
      </x:c>
      <x:c r="D176" s="27" t="n">
        <x:v>0.02</x:v>
      </x:c>
      <x:c r="E176" s="18" t="n">
        <x:f>INDEX('Assembly BOM'!$C$7:$C$162,MATCH($B176,'Assembly BOM'!$A$7:$A$162,0))</x:f>
        <x:v>1</x:v>
      </x:c>
      <x:c r="F176" s="18" t="n">
        <x:f>C176*E176</x:f>
        <x:v>25</x:v>
      </x:c>
      <x:c r="G176" s="18" t="n">
        <x:f>ROUNDUP(F176*(1+D176),0)</x:f>
        <x:v>26</x:v>
      </x:c>
      <x:c r="H176" s="18" t="n">
        <x:f>INDEX('Dated offers'!$F$7:$F$305,MATCH($Z176,'Dated offers'!$A$7:$A$305,0))</x:f>
        <x:v>10</x:v>
      </x:c>
      <x:c r="I176" s="18" t="n">
        <x:f>INDEX('Dated offers'!$G$7:$G$305,MATCH($Z176,'Dated offers'!$A$7:$A$305,0))</x:f>
        <x:v>10</x:v>
      </x:c>
      <x:c r="J176" s="18" t="n">
        <x:f>CEILING(MAX(G176,H176),I176)</x:f>
        <x:v>30</x:v>
      </x:c>
      <x:c r="K176" s="18" t="n">
        <x:v>30</x:v>
      </x:c>
      <x:c r="L176" s="18" t="n">
        <x:f>INDEX('Dated offers'!$I$7:$I$305,MATCH($Z176,'Dated offers'!$A$7:$A$305,0))</x:f>
        <x:v>10</x:v>
      </x:c>
      <x:c r="M176" s="25" t="n">
        <x:f>INDEX('Dated offers'!$J$7:$J$305,MATCH($Z176,'Dated offers'!$A$7:$A$305,0))</x:f>
        <x:v>0.0472</x:v>
      </x:c>
      <x:c r="N176" s="25" t="n">
        <x:f>INDEX('Dated offers'!$K$7:$K$305,MATCH($Z176,'Dated offers'!$A$7:$A$305,0))</x:f>
        <x:v>0</x:v>
      </x:c>
      <x:c r="O176" s="25" t="n">
        <x:f>F176*M176</x:f>
        <x:v>1.18</x:v>
      </x:c>
      <x:c r="P176" s="25" t="n">
        <x:f>G176*M176</x:f>
        <x:v>1.2272</x:v>
      </x:c>
      <x:c r="Q176" s="25" t="n">
        <x:f>K176*M176+N176</x:f>
        <x:v>1.416</x:v>
      </x:c>
      <x:c r="R176" s="18" t="n">
        <x:f>K176-G176</x:f>
        <x:v>4</x:v>
      </x:c>
      <x:c r="S176" s="18" t="n">
        <x:f>INDEX('Dated offers'!$H$7:$H$305,MATCH($Z176,'Dated offers'!$A$7:$A$305,0))</x:f>
        <x:v>18480</x:v>
      </x:c>
      <x:c r="T176" s="2" t="str">
        <x:f>IF(K176&lt;G176,"Order below requirement",IF(K176&lt;L176,"Below price tier",IF(ISNUMBER(S176),IF(K176&gt;S176,"Quantity exceeds snapshot","Within quantity snapshot"),"Stock not stated")))</x:f>
        <x:v>Within quantity snapshot</x:v>
      </x:c>
      <x:c r="U176" s="2" t="str">
        <x:f>INDEX('Dated offers'!$C$7:$C$305,MATCH($Z176,'Dated offers'!$A$7:$A$305,0))</x:f>
        <x:v>LCSC</x:v>
      </x:c>
      <x:c r="V176" s="2" t="str">
        <x:f>INDEX('Dated offers'!$D$7:$D$305,MATCH($Z176,'Dated offers'!$A$7:$A$305,0))</x:f>
        <x:v>C397931</x:v>
      </x:c>
      <x:c r="W176" s="24" t="n">
        <x:f>INDEX('Dated offers'!$E$7:$E$305,MATCH($Z176,'Dated offers'!$A$7:$A$305,0))</x:f>
        <x:v>46307.44740135417</x:v>
      </x:c>
      <x:c r="X176" s="2" t="b">
        <x:f>INDEX('Dated offers'!$N$7:$N$305,MATCH($Z176,'Dated offers'!$A$7:$A$305,0))</x:f>
        <x:v>0</x:v>
      </x:c>
      <x:c r="Y176" s="2" t="str">
        <x:f>INDEX('Dated offers'!$O$7:$O$305,MATCH($Z176,'Dated offers'!$A$7:$A$305,0))</x:f>
        <x:v>Unreserved inventory snapshot</x:v>
      </x:c>
      <x:c r="Z176" s="17" t="str">
        <x:v>OF0014</x:v>
      </x:c>
      <x:c r="AA176" s="2"/>
      <x:c r="AB176" s="2" t="str">
        <x:f>INDEX('Dated offers'!$Q$7:$Q$305,MATCH($Z176,'Dated offers'!$A$7:$A$305,0))</x:f>
        <x:v>https://www.lcsc.com/product-detail/C397931.html</x:v>
      </x:c>
    </x:row>
    <x:row r="177" ht="24" customHeight="1">
      <x:c r="A177" s="2" t="str">
        <x:v>25 boards / 2% planning</x:v>
      </x:c>
      <x:c r="B177" s="17" t="str">
        <x:v>C0402C102K5RACTU</x:v>
      </x:c>
      <x:c r="C177" s="18" t="n">
        <x:v>25</x:v>
      </x:c>
      <x:c r="D177" s="27" t="n">
        <x:v>0.02</x:v>
      </x:c>
      <x:c r="E177" s="18" t="n">
        <x:f>INDEX('Assembly BOM'!$C$7:$C$162,MATCH($B177,'Assembly BOM'!$A$7:$A$162,0))</x:f>
        <x:v>2</x:v>
      </x:c>
      <x:c r="F177" s="18" t="n">
        <x:f>C177*E177</x:f>
        <x:v>50</x:v>
      </x:c>
      <x:c r="G177" s="18" t="n">
        <x:f>ROUNDUP(F177*(1+D177),0)</x:f>
        <x:v>51</x:v>
      </x:c>
      <x:c r="H177" s="18" t="n">
        <x:f>INDEX('Dated offers'!$F$7:$F$305,MATCH($Z177,'Dated offers'!$A$7:$A$305,0))</x:f>
        <x:v>1</x:v>
      </x:c>
      <x:c r="I177" s="18" t="n">
        <x:f>INDEX('Dated offers'!$G$7:$G$305,MATCH($Z177,'Dated offers'!$A$7:$A$305,0))</x:f>
        <x:v>1</x:v>
      </x:c>
      <x:c r="J177" s="18" t="n">
        <x:f>CEILING(MAX(G177,H177),I177)</x:f>
        <x:v>51</x:v>
      </x:c>
      <x:c r="K177" s="18" t="n">
        <x:v>51</x:v>
      </x:c>
      <x:c r="L177" s="18" t="n">
        <x:f>INDEX('Dated offers'!$I$7:$I$305,MATCH($Z177,'Dated offers'!$A$7:$A$305,0))</x:f>
        <x:v>50</x:v>
      </x:c>
      <x:c r="M177" s="25" t="n">
        <x:f>INDEX('Dated offers'!$J$7:$J$305,MATCH($Z177,'Dated offers'!$A$7:$A$305,0))</x:f>
        <x:v>0.0238</x:v>
      </x:c>
      <x:c r="N177" s="25" t="n">
        <x:f>INDEX('Dated offers'!$K$7:$K$305,MATCH($Z177,'Dated offers'!$A$7:$A$305,0))</x:f>
        <x:v>0</x:v>
      </x:c>
      <x:c r="O177" s="25" t="n">
        <x:f>F177*M177</x:f>
        <x:v>1.1900000000000002</x:v>
      </x:c>
      <x:c r="P177" s="25" t="n">
        <x:f>G177*M177</x:f>
        <x:v>1.2138</x:v>
      </x:c>
      <x:c r="Q177" s="25" t="n">
        <x:f>K177*M177+N177</x:f>
        <x:v>1.2138</x:v>
      </x:c>
      <x:c r="R177" s="18" t="n">
        <x:f>K177-G177</x:f>
        <x:v>0</x:v>
      </x:c>
      <x:c r="S177" s="18" t="n">
        <x:f>INDEX('Dated offers'!$H$7:$H$305,MATCH($Z177,'Dated offers'!$A$7:$A$305,0))</x:f>
        <x:v>1816650</x:v>
      </x:c>
      <x:c r="T177" s="2" t="str">
        <x:f>IF(K177&lt;G177,"Order below requirement",IF(K177&lt;L177,"Below price tier",IF(ISNUMBER(S177),IF(K177&gt;S177,"Quantity exceeds snapshot","Within quantity snapshot"),"Stock not stated")))</x:f>
        <x:v>Within quantity snapshot</x:v>
      </x:c>
      <x:c r="U177" s="2" t="str">
        <x:f>INDEX('Dated offers'!$C$7:$C$305,MATCH($Z177,'Dated offers'!$A$7:$A$305,0))</x:f>
        <x:v>DigiKey</x:v>
      </x:c>
      <x:c r="V177" s="2" t="str">
        <x:f>INDEX('Dated offers'!$D$7:$D$305,MATCH($Z177,'Dated offers'!$A$7:$A$305,0))</x:f>
        <x:v>Not stated</x:v>
      </x:c>
      <x:c r="W177" s="24" t="n">
        <x:f>INDEX('Dated offers'!$E$7:$E$305,MATCH($Z177,'Dated offers'!$A$7:$A$305,0))</x:f>
        <x:v>46307.47807269676</x:v>
      </x:c>
      <x:c r="X177" s="2" t="b">
        <x:f>INDEX('Dated offers'!$N$7:$N$305,MATCH($Z177,'Dated offers'!$A$7:$A$305,0))</x:f>
        <x:v>0</x:v>
      </x:c>
      <x:c r="Y177" s="2" t="str">
        <x:f>INDEX('Dated offers'!$O$7:$O$305,MATCH($Z177,'Dated offers'!$A$7:$A$305,0))</x:f>
        <x:v>Unreserved inventory snapshot</x:v>
      </x:c>
      <x:c r="Z177" s="17" t="str">
        <x:v>OF0015</x:v>
      </x:c>
      <x:c r="AA177" s="2"/>
      <x:c r="AB177" s="2" t="str">
        <x:f>INDEX('Dated offers'!$Q$7:$Q$305,MATCH($Z177,'Dated offers'!$A$7:$A$305,0))</x:f>
        <x:v>https://www.digikey.com/en/products/detail/kemet/C0402C102K5RACTU/411034</x:v>
      </x:c>
    </x:row>
    <x:row r="178" ht="24" customHeight="1">
      <x:c r="A178" s="2" t="str">
        <x:v>25 boards / 2% planning</x:v>
      </x:c>
      <x:c r="B178" s="17" t="str">
        <x:v>C0402C220J5GACTU</x:v>
      </x:c>
      <x:c r="C178" s="18" t="n">
        <x:v>25</x:v>
      </x:c>
      <x:c r="D178" s="27" t="n">
        <x:v>0.02</x:v>
      </x:c>
      <x:c r="E178" s="18" t="n">
        <x:f>INDEX('Assembly BOM'!$C$7:$C$162,MATCH($B178,'Assembly BOM'!$A$7:$A$162,0))</x:f>
        <x:v>1</x:v>
      </x:c>
      <x:c r="F178" s="18" t="n">
        <x:f>C178*E178</x:f>
        <x:v>25</x:v>
      </x:c>
      <x:c r="G178" s="18" t="n">
        <x:f>ROUNDUP(F178*(1+D178),0)</x:f>
        <x:v>26</x:v>
      </x:c>
      <x:c r="H178" s="18" t="n">
        <x:f>INDEX('Dated offers'!$F$7:$F$305,MATCH($Z178,'Dated offers'!$A$7:$A$305,0))</x:f>
        <x:v>1</x:v>
      </x:c>
      <x:c r="I178" s="18" t="n">
        <x:f>INDEX('Dated offers'!$G$7:$G$305,MATCH($Z178,'Dated offers'!$A$7:$A$305,0))</x:f>
        <x:v>1</x:v>
      </x:c>
      <x:c r="J178" s="18" t="n">
        <x:f>CEILING(MAX(G178,H178),I178)</x:f>
        <x:v>26</x:v>
      </x:c>
      <x:c r="K178" s="18" t="n">
        <x:v>26</x:v>
      </x:c>
      <x:c r="L178" s="18" t="n">
        <x:f>INDEX('Dated offers'!$I$7:$I$305,MATCH($Z178,'Dated offers'!$A$7:$A$305,0))</x:f>
        <x:v>10</x:v>
      </x:c>
      <x:c r="M178" s="25" t="n">
        <x:f>INDEX('Dated offers'!$J$7:$J$305,MATCH($Z178,'Dated offers'!$A$7:$A$305,0))</x:f>
        <x:v>0.041</x:v>
      </x:c>
      <x:c r="N178" s="25" t="n">
        <x:f>INDEX('Dated offers'!$K$7:$K$305,MATCH($Z178,'Dated offers'!$A$7:$A$305,0))</x:f>
        <x:v>0</x:v>
      </x:c>
      <x:c r="O178" s="25" t="n">
        <x:f>F178*M178</x:f>
        <x:v>1.0250000000000001</x:v>
      </x:c>
      <x:c r="P178" s="25" t="n">
        <x:f>G178*M178</x:f>
        <x:v>1.066</x:v>
      </x:c>
      <x:c r="Q178" s="25" t="n">
        <x:f>K178*M178+N178</x:f>
        <x:v>1.066</x:v>
      </x:c>
      <x:c r="R178" s="18" t="n">
        <x:f>K178-G178</x:f>
        <x:v>0</x:v>
      </x:c>
      <x:c r="S178" s="18" t="n">
        <x:f>INDEX('Dated offers'!$H$7:$H$305,MATCH($Z178,'Dated offers'!$A$7:$A$305,0))</x:f>
        <x:v>489655</x:v>
      </x:c>
      <x:c r="T178" s="2" t="str">
        <x:f>IF(K178&lt;G178,"Order below requirement",IF(K178&lt;L178,"Below price tier",IF(ISNUMBER(S178),IF(K178&gt;S178,"Quantity exceeds snapshot","Within quantity snapshot"),"Stock not stated")))</x:f>
        <x:v>Within quantity snapshot</x:v>
      </x:c>
      <x:c r="U178" s="2" t="str">
        <x:f>INDEX('Dated offers'!$C$7:$C$305,MATCH($Z178,'Dated offers'!$A$7:$A$305,0))</x:f>
        <x:v>DigiKey</x:v>
      </x:c>
      <x:c r="V178" s="2" t="str">
        <x:f>INDEX('Dated offers'!$D$7:$D$305,MATCH($Z178,'Dated offers'!$A$7:$A$305,0))</x:f>
        <x:v>Not stated</x:v>
      </x:c>
      <x:c r="W178" s="24" t="n">
        <x:f>INDEX('Dated offers'!$E$7:$E$305,MATCH($Z178,'Dated offers'!$A$7:$A$305,0))</x:f>
        <x:v>46307.47807266204</x:v>
      </x:c>
      <x:c r="X178" s="2" t="b">
        <x:f>INDEX('Dated offers'!$N$7:$N$305,MATCH($Z178,'Dated offers'!$A$7:$A$305,0))</x:f>
        <x:v>0</x:v>
      </x:c>
      <x:c r="Y178" s="2" t="str">
        <x:f>INDEX('Dated offers'!$O$7:$O$305,MATCH($Z178,'Dated offers'!$A$7:$A$305,0))</x:f>
        <x:v>Unreserved inventory snapshot</x:v>
      </x:c>
      <x:c r="Z178" s="17" t="str">
        <x:v>OF0016</x:v>
      </x:c>
      <x:c r="AA178" s="2"/>
      <x:c r="AB178" s="2" t="str">
        <x:f>INDEX('Dated offers'!$Q$7:$Q$305,MATCH($Z178,'Dated offers'!$A$7:$A$305,0))</x:f>
        <x:v>https://www.digikey.com/en/products/detail/kemet/C0402C220J5GACTU/411017</x:v>
      </x:c>
    </x:row>
    <x:row r="179" ht="24" customHeight="1">
      <x:c r="A179" s="2" t="str">
        <x:v>25 boards / 2% planning</x:v>
      </x:c>
      <x:c r="B179" s="17" t="str">
        <x:v>C0402C222K5RACTU</x:v>
      </x:c>
      <x:c r="C179" s="18" t="n">
        <x:v>25</x:v>
      </x:c>
      <x:c r="D179" s="27" t="n">
        <x:v>0.02</x:v>
      </x:c>
      <x:c r="E179" s="18" t="n">
        <x:f>INDEX('Assembly BOM'!$C$7:$C$162,MATCH($B179,'Assembly BOM'!$A$7:$A$162,0))</x:f>
        <x:v>1</x:v>
      </x:c>
      <x:c r="F179" s="18" t="n">
        <x:f>C179*E179</x:f>
        <x:v>25</x:v>
      </x:c>
      <x:c r="G179" s="18" t="n">
        <x:f>ROUNDUP(F179*(1+D179),0)</x:f>
        <x:v>26</x:v>
      </x:c>
      <x:c r="H179" s="18" t="n">
        <x:f>INDEX('Dated offers'!$F$7:$F$305,MATCH($Z179,'Dated offers'!$A$7:$A$305,0))</x:f>
        <x:v>1</x:v>
      </x:c>
      <x:c r="I179" s="18" t="n">
        <x:f>INDEX('Dated offers'!$G$7:$G$305,MATCH($Z179,'Dated offers'!$A$7:$A$305,0))</x:f>
        <x:v>1</x:v>
      </x:c>
      <x:c r="J179" s="18" t="n">
        <x:f>CEILING(MAX(G179,H179),I179)</x:f>
        <x:v>26</x:v>
      </x:c>
      <x:c r="K179" s="18" t="n">
        <x:v>26</x:v>
      </x:c>
      <x:c r="L179" s="18" t="n">
        <x:f>INDEX('Dated offers'!$I$7:$I$305,MATCH($Z179,'Dated offers'!$A$7:$A$305,0))</x:f>
        <x:v>10</x:v>
      </x:c>
      <x:c r="M179" s="25" t="n">
        <x:f>INDEX('Dated offers'!$J$7:$J$305,MATCH($Z179,'Dated offers'!$A$7:$A$305,0))</x:f>
        <x:v>0.039</x:v>
      </x:c>
      <x:c r="N179" s="25" t="n">
        <x:f>INDEX('Dated offers'!$K$7:$K$305,MATCH($Z179,'Dated offers'!$A$7:$A$305,0))</x:f>
        <x:v>0</x:v>
      </x:c>
      <x:c r="O179" s="25" t="n">
        <x:f>F179*M179</x:f>
        <x:v>0.975</x:v>
      </x:c>
      <x:c r="P179" s="25" t="n">
        <x:f>G179*M179</x:f>
        <x:v>1.014</x:v>
      </x:c>
      <x:c r="Q179" s="25" t="n">
        <x:f>K179*M179+N179</x:f>
        <x:v>1.014</x:v>
      </x:c>
      <x:c r="R179" s="18" t="n">
        <x:f>K179-G179</x:f>
        <x:v>0</x:v>
      </x:c>
      <x:c r="S179" s="18" t="n">
        <x:f>INDEX('Dated offers'!$H$7:$H$305,MATCH($Z179,'Dated offers'!$A$7:$A$305,0))</x:f>
        <x:v>100284</x:v>
      </x:c>
      <x:c r="T179" s="2" t="str">
        <x:f>IF(K179&lt;G179,"Order below requirement",IF(K179&lt;L179,"Below price tier",IF(ISNUMBER(S179),IF(K179&gt;S179,"Quantity exceeds snapshot","Within quantity snapshot"),"Stock not stated")))</x:f>
        <x:v>Within quantity snapshot</x:v>
      </x:c>
      <x:c r="U179" s="2" t="str">
        <x:f>INDEX('Dated offers'!$C$7:$C$305,MATCH($Z179,'Dated offers'!$A$7:$A$305,0))</x:f>
        <x:v>DigiKey</x:v>
      </x:c>
      <x:c r="V179" s="2" t="str">
        <x:f>INDEX('Dated offers'!$D$7:$D$305,MATCH($Z179,'Dated offers'!$A$7:$A$305,0))</x:f>
        <x:v>Not stated</x:v>
      </x:c>
      <x:c r="W179" s="24" t="n">
        <x:f>INDEX('Dated offers'!$E$7:$E$305,MATCH($Z179,'Dated offers'!$A$7:$A$305,0))</x:f>
        <x:v>46307.47807262732</x:v>
      </x:c>
      <x:c r="X179" s="2" t="b">
        <x:f>INDEX('Dated offers'!$N$7:$N$305,MATCH($Z179,'Dated offers'!$A$7:$A$305,0))</x:f>
        <x:v>0</x:v>
      </x:c>
      <x:c r="Y179" s="2" t="str">
        <x:f>INDEX('Dated offers'!$O$7:$O$305,MATCH($Z179,'Dated offers'!$A$7:$A$305,0))</x:f>
        <x:v>Unreserved inventory snapshot</x:v>
      </x:c>
      <x:c r="Z179" s="17" t="str">
        <x:v>OF0017</x:v>
      </x:c>
      <x:c r="AA179" s="2"/>
      <x:c r="AB179" s="2" t="str">
        <x:f>INDEX('Dated offers'!$Q$7:$Q$305,MATCH($Z179,'Dated offers'!$A$7:$A$305,0))</x:f>
        <x:v>https://www.digikey.com/en/products/detail/kemet/C0402C222K5RACTU/501970</x:v>
      </x:c>
    </x:row>
    <x:row r="180" ht="24" customHeight="1">
      <x:c r="A180" s="2" t="str">
        <x:v>25 boards / 2% planning</x:v>
      </x:c>
      <x:c r="B180" s="17" t="str">
        <x:v>C0402C330J5GACTU</x:v>
      </x:c>
      <x:c r="C180" s="18" t="n">
        <x:v>25</x:v>
      </x:c>
      <x:c r="D180" s="27" t="n">
        <x:v>0.02</x:v>
      </x:c>
      <x:c r="E180" s="18" t="n">
        <x:f>INDEX('Assembly BOM'!$C$7:$C$162,MATCH($B180,'Assembly BOM'!$A$7:$A$162,0))</x:f>
        <x:v>1</x:v>
      </x:c>
      <x:c r="F180" s="18" t="n">
        <x:f>C180*E180</x:f>
        <x:v>25</x:v>
      </x:c>
      <x:c r="G180" s="18" t="n">
        <x:f>ROUNDUP(F180*(1+D180),0)</x:f>
        <x:v>26</x:v>
      </x:c>
      <x:c r="H180" s="18" t="n">
        <x:f>INDEX('Dated offers'!$F$7:$F$305,MATCH($Z180,'Dated offers'!$A$7:$A$305,0))</x:f>
        <x:v>1</x:v>
      </x:c>
      <x:c r="I180" s="18" t="n">
        <x:f>INDEX('Dated offers'!$G$7:$G$305,MATCH($Z180,'Dated offers'!$A$7:$A$305,0))</x:f>
        <x:v>1</x:v>
      </x:c>
      <x:c r="J180" s="18" t="n">
        <x:f>CEILING(MAX(G180,H180),I180)</x:f>
        <x:v>26</x:v>
      </x:c>
      <x:c r="K180" s="18" t="n">
        <x:v>26</x:v>
      </x:c>
      <x:c r="L180" s="18" t="n">
        <x:f>INDEX('Dated offers'!$I$7:$I$305,MATCH($Z180,'Dated offers'!$A$7:$A$305,0))</x:f>
        <x:v>10</x:v>
      </x:c>
      <x:c r="M180" s="25" t="n">
        <x:f>INDEX('Dated offers'!$J$7:$J$305,MATCH($Z180,'Dated offers'!$A$7:$A$305,0))</x:f>
        <x:v>0.041</x:v>
      </x:c>
      <x:c r="N180" s="25" t="n">
        <x:f>INDEX('Dated offers'!$K$7:$K$305,MATCH($Z180,'Dated offers'!$A$7:$A$305,0))</x:f>
        <x:v>0</x:v>
      </x:c>
      <x:c r="O180" s="25" t="n">
        <x:f>F180*M180</x:f>
        <x:v>1.0250000000000001</x:v>
      </x:c>
      <x:c r="P180" s="25" t="n">
        <x:f>G180*M180</x:f>
        <x:v>1.066</x:v>
      </x:c>
      <x:c r="Q180" s="25" t="n">
        <x:f>K180*M180+N180</x:f>
        <x:v>1.066</x:v>
      </x:c>
      <x:c r="R180" s="18" t="n">
        <x:f>K180-G180</x:f>
        <x:v>0</x:v>
      </x:c>
      <x:c r="S180" s="18" t="n">
        <x:f>INDEX('Dated offers'!$H$7:$H$305,MATCH($Z180,'Dated offers'!$A$7:$A$305,0))</x:f>
        <x:v>277240</x:v>
      </x:c>
      <x:c r="T180" s="2" t="str">
        <x:f>IF(K180&lt;G180,"Order below requirement",IF(K180&lt;L180,"Below price tier",IF(ISNUMBER(S180),IF(K180&gt;S180,"Quantity exceeds snapshot","Within quantity snapshot"),"Stock not stated")))</x:f>
        <x:v>Within quantity snapshot</x:v>
      </x:c>
      <x:c r="U180" s="2" t="str">
        <x:f>INDEX('Dated offers'!$C$7:$C$305,MATCH($Z180,'Dated offers'!$A$7:$A$305,0))</x:f>
        <x:v>DigiKey</x:v>
      </x:c>
      <x:c r="V180" s="2" t="str">
        <x:f>INDEX('Dated offers'!$D$7:$D$305,MATCH($Z180,'Dated offers'!$A$7:$A$305,0))</x:f>
        <x:v>Not stated</x:v>
      </x:c>
      <x:c r="W180" s="24" t="n">
        <x:f>INDEX('Dated offers'!$E$7:$E$305,MATCH($Z180,'Dated offers'!$A$7:$A$305,0))</x:f>
        <x:v>46307.47807262732</x:v>
      </x:c>
      <x:c r="X180" s="2" t="b">
        <x:f>INDEX('Dated offers'!$N$7:$N$305,MATCH($Z180,'Dated offers'!$A$7:$A$305,0))</x:f>
        <x:v>0</x:v>
      </x:c>
      <x:c r="Y180" s="2" t="str">
        <x:f>INDEX('Dated offers'!$O$7:$O$305,MATCH($Z180,'Dated offers'!$A$7:$A$305,0))</x:f>
        <x:v>Unreserved inventory snapshot</x:v>
      </x:c>
      <x:c r="Z180" s="17" t="str">
        <x:v>OF0018</x:v>
      </x:c>
      <x:c r="AA180" s="2"/>
      <x:c r="AB180" s="2" t="str">
        <x:f>INDEX('Dated offers'!$Q$7:$Q$305,MATCH($Z180,'Dated offers'!$A$7:$A$305,0))</x:f>
        <x:v>https://www.digikey.com/en/products/detail/kemet/C0402C330J5GACTU/411019</x:v>
      </x:c>
    </x:row>
    <x:row r="181" ht="24" customHeight="1">
      <x:c r="A181" s="2" t="str">
        <x:v>25 boards / 2% planning</x:v>
      </x:c>
      <x:c r="B181" s="17" t="str">
        <x:v>C0402C332K5RACTU</x:v>
      </x:c>
      <x:c r="C181" s="18" t="n">
        <x:v>25</x:v>
      </x:c>
      <x:c r="D181" s="27" t="n">
        <x:v>0.02</x:v>
      </x:c>
      <x:c r="E181" s="18" t="n">
        <x:f>INDEX('Assembly BOM'!$C$7:$C$162,MATCH($B181,'Assembly BOM'!$A$7:$A$162,0))</x:f>
        <x:v>1</x:v>
      </x:c>
      <x:c r="F181" s="18" t="n">
        <x:f>C181*E181</x:f>
        <x:v>25</x:v>
      </x:c>
      <x:c r="G181" s="18" t="n">
        <x:f>ROUNDUP(F181*(1+D181),0)</x:f>
        <x:v>26</x:v>
      </x:c>
      <x:c r="H181" s="18" t="n">
        <x:f>INDEX('Dated offers'!$F$7:$F$305,MATCH($Z181,'Dated offers'!$A$7:$A$305,0))</x:f>
        <x:v>1</x:v>
      </x:c>
      <x:c r="I181" s="18" t="n">
        <x:f>INDEX('Dated offers'!$G$7:$G$305,MATCH($Z181,'Dated offers'!$A$7:$A$305,0))</x:f>
        <x:v>1</x:v>
      </x:c>
      <x:c r="J181" s="18" t="n">
        <x:f>CEILING(MAX(G181,H181),I181)</x:f>
        <x:v>26</x:v>
      </x:c>
      <x:c r="K181" s="18" t="n">
        <x:v>26</x:v>
      </x:c>
      <x:c r="L181" s="18" t="n">
        <x:f>INDEX('Dated offers'!$I$7:$I$305,MATCH($Z181,'Dated offers'!$A$7:$A$305,0))</x:f>
        <x:v>10</x:v>
      </x:c>
      <x:c r="M181" s="25" t="n">
        <x:f>INDEX('Dated offers'!$J$7:$J$305,MATCH($Z181,'Dated offers'!$A$7:$A$305,0))</x:f>
        <x:v>0.048</x:v>
      </x:c>
      <x:c r="N181" s="25" t="n">
        <x:f>INDEX('Dated offers'!$K$7:$K$305,MATCH($Z181,'Dated offers'!$A$7:$A$305,0))</x:f>
        <x:v>0</x:v>
      </x:c>
      <x:c r="O181" s="25" t="n">
        <x:f>F181*M181</x:f>
        <x:v>1.2</x:v>
      </x:c>
      <x:c r="P181" s="25" t="n">
        <x:f>G181*M181</x:f>
        <x:v>1.248</x:v>
      </x:c>
      <x:c r="Q181" s="25" t="n">
        <x:f>K181*M181+N181</x:f>
        <x:v>1.248</x:v>
      </x:c>
      <x:c r="R181" s="18" t="n">
        <x:f>K181-G181</x:f>
        <x:v>0</x:v>
      </x:c>
      <x:c r="S181" s="18" t="n">
        <x:f>INDEX('Dated offers'!$H$7:$H$305,MATCH($Z181,'Dated offers'!$A$7:$A$305,0))</x:f>
        <x:v>225921</x:v>
      </x:c>
      <x:c r="T181" s="2" t="str">
        <x:f>IF(K181&lt;G181,"Order below requirement",IF(K181&lt;L181,"Below price tier",IF(ISNUMBER(S181),IF(K181&gt;S181,"Quantity exceeds snapshot","Within quantity snapshot"),"Stock not stated")))</x:f>
        <x:v>Within quantity snapshot</x:v>
      </x:c>
      <x:c r="U181" s="2" t="str">
        <x:f>INDEX('Dated offers'!$C$7:$C$305,MATCH($Z181,'Dated offers'!$A$7:$A$305,0))</x:f>
        <x:v>DigiKey</x:v>
      </x:c>
      <x:c r="V181" s="2" t="str">
        <x:f>INDEX('Dated offers'!$D$7:$D$305,MATCH($Z181,'Dated offers'!$A$7:$A$305,0))</x:f>
        <x:v>Not stated</x:v>
      </x:c>
      <x:c r="W181" s="24" t="n">
        <x:f>INDEX('Dated offers'!$E$7:$E$305,MATCH($Z181,'Dated offers'!$A$7:$A$305,0))</x:f>
        <x:v>46307.47807262732</x:v>
      </x:c>
      <x:c r="X181" s="2" t="b">
        <x:f>INDEX('Dated offers'!$N$7:$N$305,MATCH($Z181,'Dated offers'!$A$7:$A$305,0))</x:f>
        <x:v>0</x:v>
      </x:c>
      <x:c r="Y181" s="2" t="str">
        <x:f>INDEX('Dated offers'!$O$7:$O$305,MATCH($Z181,'Dated offers'!$A$7:$A$305,0))</x:f>
        <x:v>Unreserved inventory snapshot</x:v>
      </x:c>
      <x:c r="Z181" s="17" t="str">
        <x:v>OF0019</x:v>
      </x:c>
      <x:c r="AA181" s="2"/>
      <x:c r="AB181" s="2" t="str">
        <x:f>INDEX('Dated offers'!$Q$7:$Q$305,MATCH($Z181,'Dated offers'!$A$7:$A$305,0))</x:f>
        <x:v>https://www.digikey.com/en/products/detail/kemet/C0402C332K5RACTU/501999</x:v>
      </x:c>
    </x:row>
    <x:row r="182" ht="24" customHeight="1">
      <x:c r="A182" s="2" t="str">
        <x:v>25 boards / 2% planning</x:v>
      </x:c>
      <x:c r="B182" s="17" t="str">
        <x:v>C0402C391J5GACTU</x:v>
      </x:c>
      <x:c r="C182" s="18" t="n">
        <x:v>25</x:v>
      </x:c>
      <x:c r="D182" s="27" t="n">
        <x:v>0.02</x:v>
      </x:c>
      <x:c r="E182" s="18" t="n">
        <x:f>INDEX('Assembly BOM'!$C$7:$C$162,MATCH($B182,'Assembly BOM'!$A$7:$A$162,0))</x:f>
        <x:v>1</x:v>
      </x:c>
      <x:c r="F182" s="18" t="n">
        <x:f>C182*E182</x:f>
        <x:v>25</x:v>
      </x:c>
      <x:c r="G182" s="18" t="n">
        <x:f>ROUNDUP(F182*(1+D182),0)</x:f>
        <x:v>26</x:v>
      </x:c>
      <x:c r="H182" s="18" t="n">
        <x:f>INDEX('Dated offers'!$F$7:$F$305,MATCH($Z182,'Dated offers'!$A$7:$A$305,0))</x:f>
        <x:v>1</x:v>
      </x:c>
      <x:c r="I182" s="18" t="n">
        <x:f>INDEX('Dated offers'!$G$7:$G$305,MATCH($Z182,'Dated offers'!$A$7:$A$305,0))</x:f>
        <x:v>1</x:v>
      </x:c>
      <x:c r="J182" s="18" t="n">
        <x:f>CEILING(MAX(G182,H182),I182)</x:f>
        <x:v>26</x:v>
      </x:c>
      <x:c r="K182" s="18" t="n">
        <x:v>26</x:v>
      </x:c>
      <x:c r="L182" s="18" t="n">
        <x:f>INDEX('Dated offers'!$I$7:$I$305,MATCH($Z182,'Dated offers'!$A$7:$A$305,0))</x:f>
        <x:v>10</x:v>
      </x:c>
      <x:c r="M182" s="25" t="n">
        <x:f>INDEX('Dated offers'!$J$7:$J$305,MATCH($Z182,'Dated offers'!$A$7:$A$305,0))</x:f>
        <x:v>0.333</x:v>
      </x:c>
      <x:c r="N182" s="25" t="n">
        <x:f>INDEX('Dated offers'!$K$7:$K$305,MATCH($Z182,'Dated offers'!$A$7:$A$305,0))</x:f>
        <x:v>0</x:v>
      </x:c>
      <x:c r="O182" s="25" t="n">
        <x:f>F182*M182</x:f>
        <x:v>8.325000000000001</x:v>
      </x:c>
      <x:c r="P182" s="25" t="n">
        <x:f>G182*M182</x:f>
        <x:v>8.658000000000001</x:v>
      </x:c>
      <x:c r="Q182" s="25" t="n">
        <x:f>K182*M182+N182</x:f>
        <x:v>8.658000000000001</x:v>
      </x:c>
      <x:c r="R182" s="18" t="n">
        <x:f>K182-G182</x:f>
        <x:v>0</x:v>
      </x:c>
      <x:c r="S182" s="18" t="n">
        <x:f>INDEX('Dated offers'!$H$7:$H$305,MATCH($Z182,'Dated offers'!$A$7:$A$305,0))</x:f>
        <x:v>32647</x:v>
      </x:c>
      <x:c r="T182" s="2" t="str">
        <x:f>IF(K182&lt;G182,"Order below requirement",IF(K182&lt;L182,"Below price tier",IF(ISNUMBER(S182),IF(K182&gt;S182,"Quantity exceeds snapshot","Within quantity snapshot"),"Stock not stated")))</x:f>
        <x:v>Within quantity snapshot</x:v>
      </x:c>
      <x:c r="U182" s="2" t="str">
        <x:f>INDEX('Dated offers'!$C$7:$C$305,MATCH($Z182,'Dated offers'!$A$7:$A$305,0))</x:f>
        <x:v>DigiKey</x:v>
      </x:c>
      <x:c r="V182" s="2" t="str">
        <x:f>INDEX('Dated offers'!$D$7:$D$305,MATCH($Z182,'Dated offers'!$A$7:$A$305,0))</x:f>
        <x:v>Not stated</x:v>
      </x:c>
      <x:c r="W182" s="24" t="n">
        <x:f>INDEX('Dated offers'!$E$7:$E$305,MATCH($Z182,'Dated offers'!$A$7:$A$305,0))</x:f>
        <x:v>46307.47807262732</x:v>
      </x:c>
      <x:c r="X182" s="2" t="b">
        <x:f>INDEX('Dated offers'!$N$7:$N$305,MATCH($Z182,'Dated offers'!$A$7:$A$305,0))</x:f>
        <x:v>0</x:v>
      </x:c>
      <x:c r="Y182" s="2" t="str">
        <x:f>INDEX('Dated offers'!$O$7:$O$305,MATCH($Z182,'Dated offers'!$A$7:$A$305,0))</x:f>
        <x:v>Unreserved inventory snapshot</x:v>
      </x:c>
      <x:c r="Z182" s="17" t="str">
        <x:v>OF0020</x:v>
      </x:c>
      <x:c r="AA182" s="2"/>
      <x:c r="AB182" s="2" t="str">
        <x:f>INDEX('Dated offers'!$Q$7:$Q$305,MATCH($Z182,'Dated offers'!$A$7:$A$305,0))</x:f>
        <x:v>https://www.digikey.com/en/products/detail/kemet/C0402C391J5GACTU/2196662</x:v>
      </x:c>
    </x:row>
    <x:row r="183" ht="24" customHeight="1">
      <x:c r="A183" s="2" t="str">
        <x:v>25 boards / 2% planning</x:v>
      </x:c>
      <x:c r="B183" s="17" t="str">
        <x:v>C0603C224K4RACTU</x:v>
      </x:c>
      <x:c r="C183" s="18" t="n">
        <x:v>25</x:v>
      </x:c>
      <x:c r="D183" s="27" t="n">
        <x:v>0.02</x:v>
      </x:c>
      <x:c r="E183" s="18" t="n">
        <x:f>INDEX('Assembly BOM'!$C$7:$C$162,MATCH($B183,'Assembly BOM'!$A$7:$A$162,0))</x:f>
        <x:v>1</x:v>
      </x:c>
      <x:c r="F183" s="18" t="n">
        <x:f>C183*E183</x:f>
        <x:v>25</x:v>
      </x:c>
      <x:c r="G183" s="18" t="n">
        <x:f>ROUNDUP(F183*(1+D183),0)</x:f>
        <x:v>26</x:v>
      </x:c>
      <x:c r="H183" s="18" t="n">
        <x:f>INDEX('Dated offers'!$F$7:$F$305,MATCH($Z183,'Dated offers'!$A$7:$A$305,0))</x:f>
        <x:v>1</x:v>
      </x:c>
      <x:c r="I183" s="18" t="n">
        <x:f>INDEX('Dated offers'!$G$7:$G$305,MATCH($Z183,'Dated offers'!$A$7:$A$305,0))</x:f>
        <x:v>1</x:v>
      </x:c>
      <x:c r="J183" s="18" t="n">
        <x:f>CEILING(MAX(G183,H183),I183)</x:f>
        <x:v>26</x:v>
      </x:c>
      <x:c r="K183" s="18" t="n">
        <x:v>26</x:v>
      </x:c>
      <x:c r="L183" s="18" t="n">
        <x:f>INDEX('Dated offers'!$I$7:$I$305,MATCH($Z183,'Dated offers'!$A$7:$A$305,0))</x:f>
        <x:v>10</x:v>
      </x:c>
      <x:c r="M183" s="25" t="n">
        <x:f>INDEX('Dated offers'!$J$7:$J$305,MATCH($Z183,'Dated offers'!$A$7:$A$305,0))</x:f>
        <x:v>0.346</x:v>
      </x:c>
      <x:c r="N183" s="25" t="n">
        <x:f>INDEX('Dated offers'!$K$7:$K$305,MATCH($Z183,'Dated offers'!$A$7:$A$305,0))</x:f>
        <x:v>0</x:v>
      </x:c>
      <x:c r="O183" s="25" t="n">
        <x:f>F183*M183</x:f>
        <x:v>8.649999999999999</x:v>
      </x:c>
      <x:c r="P183" s="25" t="n">
        <x:f>G183*M183</x:f>
        <x:v>8.995999999999999</x:v>
      </x:c>
      <x:c r="Q183" s="25" t="n">
        <x:f>K183*M183+N183</x:f>
        <x:v>8.995999999999999</x:v>
      </x:c>
      <x:c r="R183" s="18" t="n">
        <x:f>K183-G183</x:f>
        <x:v>0</x:v>
      </x:c>
      <x:c r="S183" s="18" t="n">
        <x:f>INDEX('Dated offers'!$H$7:$H$305,MATCH($Z183,'Dated offers'!$A$7:$A$305,0))</x:f>
        <x:v>823</x:v>
      </x:c>
      <x:c r="T183" s="2" t="str">
        <x:f>IF(K183&lt;G183,"Order below requirement",IF(K183&lt;L183,"Below price tier",IF(ISNUMBER(S183),IF(K183&gt;S183,"Quantity exceeds snapshot","Within quantity snapshot"),"Stock not stated")))</x:f>
        <x:v>Within quantity snapshot</x:v>
      </x:c>
      <x:c r="U183" s="2" t="str">
        <x:f>INDEX('Dated offers'!$C$7:$C$305,MATCH($Z183,'Dated offers'!$A$7:$A$305,0))</x:f>
        <x:v>DigiKey</x:v>
      </x:c>
      <x:c r="V183" s="2" t="str">
        <x:f>INDEX('Dated offers'!$D$7:$D$305,MATCH($Z183,'Dated offers'!$A$7:$A$305,0))</x:f>
        <x:v>Not stated</x:v>
      </x:c>
      <x:c r="W183" s="24" t="n">
        <x:f>INDEX('Dated offers'!$E$7:$E$305,MATCH($Z183,'Dated offers'!$A$7:$A$305,0))</x:f>
        <x:v>46307.47807262732</x:v>
      </x:c>
      <x:c r="X183" s="2" t="b">
        <x:f>INDEX('Dated offers'!$N$7:$N$305,MATCH($Z183,'Dated offers'!$A$7:$A$305,0))</x:f>
        <x:v>0</x:v>
      </x:c>
      <x:c r="Y183" s="2" t="str">
        <x:f>INDEX('Dated offers'!$O$7:$O$305,MATCH($Z183,'Dated offers'!$A$7:$A$305,0))</x:f>
        <x:v>Unreserved inventory snapshot</x:v>
      </x:c>
      <x:c r="Z183" s="17" t="str">
        <x:v>OF0021</x:v>
      </x:c>
      <x:c r="AA183" s="2"/>
      <x:c r="AB183" s="2" t="str">
        <x:f>INDEX('Dated offers'!$Q$7:$Q$305,MATCH($Z183,'Dated offers'!$A$7:$A$305,0))</x:f>
        <x:v>https://www.digikey.com/en/products/detail/kemet/C0603C224K4RACTU/2057822</x:v>
      </x:c>
    </x:row>
    <x:row r="184" ht="24" customHeight="1">
      <x:c r="A184" s="2" t="str">
        <x:v>25 boards / 2% planning</x:v>
      </x:c>
      <x:c r="B184" s="17" t="str">
        <x:v>C0805C102JAGACTU</x:v>
      </x:c>
      <x:c r="C184" s="18" t="n">
        <x:v>25</x:v>
      </x:c>
      <x:c r="D184" s="27" t="n">
        <x:v>0.02</x:v>
      </x:c>
      <x:c r="E184" s="18" t="n">
        <x:f>INDEX('Assembly BOM'!$C$7:$C$162,MATCH($B184,'Assembly BOM'!$A$7:$A$162,0))</x:f>
        <x:v>2</x:v>
      </x:c>
      <x:c r="F184" s="18" t="n">
        <x:f>C184*E184</x:f>
        <x:v>50</x:v>
      </x:c>
      <x:c r="G184" s="18" t="n">
        <x:f>ROUNDUP(F184*(1+D184),0)</x:f>
        <x:v>51</x:v>
      </x:c>
      <x:c r="H184" s="18" t="n">
        <x:f>INDEX('Dated offers'!$F$7:$F$305,MATCH($Z184,'Dated offers'!$A$7:$A$305,0))</x:f>
        <x:v>1</x:v>
      </x:c>
      <x:c r="I184" s="18" t="n">
        <x:f>INDEX('Dated offers'!$G$7:$G$305,MATCH($Z184,'Dated offers'!$A$7:$A$305,0))</x:f>
        <x:v>1</x:v>
      </x:c>
      <x:c r="J184" s="18" t="n">
        <x:f>CEILING(MAX(G184,H184),I184)</x:f>
        <x:v>51</x:v>
      </x:c>
      <x:c r="K184" s="18" t="n">
        <x:v>51</x:v>
      </x:c>
      <x:c r="L184" s="18" t="n">
        <x:f>INDEX('Dated offers'!$I$7:$I$305,MATCH($Z184,'Dated offers'!$A$7:$A$305,0))</x:f>
        <x:v>50</x:v>
      </x:c>
      <x:c r="M184" s="25" t="n">
        <x:f>INDEX('Dated offers'!$J$7:$J$305,MATCH($Z184,'Dated offers'!$A$7:$A$305,0))</x:f>
        <x:v>0.3016</x:v>
      </x:c>
      <x:c r="N184" s="25" t="n">
        <x:f>INDEX('Dated offers'!$K$7:$K$305,MATCH($Z184,'Dated offers'!$A$7:$A$305,0))</x:f>
        <x:v>0</x:v>
      </x:c>
      <x:c r="O184" s="25" t="n">
        <x:f>F184*M184</x:f>
        <x:v>15.079999999999998</x:v>
      </x:c>
      <x:c r="P184" s="25" t="n">
        <x:f>G184*M184</x:f>
        <x:v>15.381599999999999</x:v>
      </x:c>
      <x:c r="Q184" s="25" t="n">
        <x:f>K184*M184+N184</x:f>
        <x:v>15.381599999999999</x:v>
      </x:c>
      <x:c r="R184" s="18" t="n">
        <x:f>K184-G184</x:f>
        <x:v>0</x:v>
      </x:c>
      <x:c r="S184" s="18" t="n">
        <x:f>INDEX('Dated offers'!$H$7:$H$305,MATCH($Z184,'Dated offers'!$A$7:$A$305,0))</x:f>
        <x:v>6914</x:v>
      </x:c>
      <x:c r="T184" s="2" t="str">
        <x:f>IF(K184&lt;G184,"Order below requirement",IF(K184&lt;L184,"Below price tier",IF(ISNUMBER(S184),IF(K184&gt;S184,"Quantity exceeds snapshot","Within quantity snapshot"),"Stock not stated")))</x:f>
        <x:v>Within quantity snapshot</x:v>
      </x:c>
      <x:c r="U184" s="2" t="str">
        <x:f>INDEX('Dated offers'!$C$7:$C$305,MATCH($Z184,'Dated offers'!$A$7:$A$305,0))</x:f>
        <x:v>DigiKey</x:v>
      </x:c>
      <x:c r="V184" s="2" t="str">
        <x:f>INDEX('Dated offers'!$D$7:$D$305,MATCH($Z184,'Dated offers'!$A$7:$A$305,0))</x:f>
        <x:v>Not stated</x:v>
      </x:c>
      <x:c r="W184" s="24" t="n">
        <x:f>INDEX('Dated offers'!$E$7:$E$305,MATCH($Z184,'Dated offers'!$A$7:$A$305,0))</x:f>
        <x:v>46307.47807262732</x:v>
      </x:c>
      <x:c r="X184" s="2" t="b">
        <x:f>INDEX('Dated offers'!$N$7:$N$305,MATCH($Z184,'Dated offers'!$A$7:$A$305,0))</x:f>
        <x:v>0</x:v>
      </x:c>
      <x:c r="Y184" s="2" t="str">
        <x:f>INDEX('Dated offers'!$O$7:$O$305,MATCH($Z184,'Dated offers'!$A$7:$A$305,0))</x:f>
        <x:v>Unreserved inventory snapshot</x:v>
      </x:c>
      <x:c r="Z184" s="17" t="str">
        <x:v>OF0022</x:v>
      </x:c>
      <x:c r="AA184" s="2"/>
      <x:c r="AB184" s="2" t="str">
        <x:f>INDEX('Dated offers'!$Q$7:$Q$305,MATCH($Z184,'Dated offers'!$A$7:$A$305,0))</x:f>
        <x:v>https://www.digikey.com/en/products/detail/kemet/C0805C102JAGACTU/7382555</x:v>
      </x:c>
    </x:row>
    <x:row r="185" ht="24" customHeight="1">
      <x:c r="A185" s="2" t="str">
        <x:v>25 boards / 2% planning</x:v>
      </x:c>
      <x:c r="B185" s="17" t="str">
        <x:v>C0805C103K1RACTU</x:v>
      </x:c>
      <x:c r="C185" s="18" t="n">
        <x:v>25</x:v>
      </x:c>
      <x:c r="D185" s="27" t="n">
        <x:v>0.02</x:v>
      </x:c>
      <x:c r="E185" s="18" t="n">
        <x:f>INDEX('Assembly BOM'!$C$7:$C$162,MATCH($B185,'Assembly BOM'!$A$7:$A$162,0))</x:f>
        <x:v>2</x:v>
      </x:c>
      <x:c r="F185" s="18" t="n">
        <x:f>C185*E185</x:f>
        <x:v>50</x:v>
      </x:c>
      <x:c r="G185" s="18" t="n">
        <x:f>ROUNDUP(F185*(1+D185),0)</x:f>
        <x:v>51</x:v>
      </x:c>
      <x:c r="H185" s="18" t="n">
        <x:f>INDEX('Dated offers'!$F$7:$F$305,MATCH($Z185,'Dated offers'!$A$7:$A$305,0))</x:f>
        <x:v>1</x:v>
      </x:c>
      <x:c r="I185" s="18" t="n">
        <x:f>INDEX('Dated offers'!$G$7:$G$305,MATCH($Z185,'Dated offers'!$A$7:$A$305,0))</x:f>
        <x:v>1</x:v>
      </x:c>
      <x:c r="J185" s="18" t="n">
        <x:f>CEILING(MAX(G185,H185),I185)</x:f>
        <x:v>51</x:v>
      </x:c>
      <x:c r="K185" s="18" t="n">
        <x:v>51</x:v>
      </x:c>
      <x:c r="L185" s="18" t="n">
        <x:f>INDEX('Dated offers'!$I$7:$I$305,MATCH($Z185,'Dated offers'!$A$7:$A$305,0))</x:f>
        <x:v>50</x:v>
      </x:c>
      <x:c r="M185" s="25" t="n">
        <x:f>INDEX('Dated offers'!$J$7:$J$305,MATCH($Z185,'Dated offers'!$A$7:$A$305,0))</x:f>
        <x:v>0.0408</x:v>
      </x:c>
      <x:c r="N185" s="25" t="n">
        <x:f>INDEX('Dated offers'!$K$7:$K$305,MATCH($Z185,'Dated offers'!$A$7:$A$305,0))</x:f>
        <x:v>0</x:v>
      </x:c>
      <x:c r="O185" s="25" t="n">
        <x:f>F185*M185</x:f>
        <x:v>2.04</x:v>
      </x:c>
      <x:c r="P185" s="25" t="n">
        <x:f>G185*M185</x:f>
        <x:v>2.0808</x:v>
      </x:c>
      <x:c r="Q185" s="25" t="n">
        <x:f>K185*M185+N185</x:f>
        <x:v>2.0808</x:v>
      </x:c>
      <x:c r="R185" s="18" t="n">
        <x:f>K185-G185</x:f>
        <x:v>0</x:v>
      </x:c>
      <x:c r="S185" s="18" t="n">
        <x:f>INDEX('Dated offers'!$H$7:$H$305,MATCH($Z185,'Dated offers'!$A$7:$A$305,0))</x:f>
        <x:v>329236</x:v>
      </x:c>
      <x:c r="T185" s="2" t="str">
        <x:f>IF(K185&lt;G185,"Order below requirement",IF(K185&lt;L185,"Below price tier",IF(ISNUMBER(S185),IF(K185&gt;S185,"Quantity exceeds snapshot","Within quantity snapshot"),"Stock not stated")))</x:f>
        <x:v>Within quantity snapshot</x:v>
      </x:c>
      <x:c r="U185" s="2" t="str">
        <x:f>INDEX('Dated offers'!$C$7:$C$305,MATCH($Z185,'Dated offers'!$A$7:$A$305,0))</x:f>
        <x:v>DigiKey</x:v>
      </x:c>
      <x:c r="V185" s="2" t="str">
        <x:f>INDEX('Dated offers'!$D$7:$D$305,MATCH($Z185,'Dated offers'!$A$7:$A$305,0))</x:f>
        <x:v>Not stated</x:v>
      </x:c>
      <x:c r="W185" s="24" t="n">
        <x:f>INDEX('Dated offers'!$E$7:$E$305,MATCH($Z185,'Dated offers'!$A$7:$A$305,0))</x:f>
        <x:v>46307.47807262732</x:v>
      </x:c>
      <x:c r="X185" s="2" t="b">
        <x:f>INDEX('Dated offers'!$N$7:$N$305,MATCH($Z185,'Dated offers'!$A$7:$A$305,0))</x:f>
        <x:v>0</x:v>
      </x:c>
      <x:c r="Y185" s="2" t="str">
        <x:f>INDEX('Dated offers'!$O$7:$O$305,MATCH($Z185,'Dated offers'!$A$7:$A$305,0))</x:f>
        <x:v>Unreserved inventory snapshot</x:v>
      </x:c>
      <x:c r="Z185" s="17" t="str">
        <x:v>OF0023</x:v>
      </x:c>
      <x:c r="AA185" s="2"/>
      <x:c r="AB185" s="2" t="str">
        <x:f>INDEX('Dated offers'!$Q$7:$Q$305,MATCH($Z185,'Dated offers'!$A$7:$A$305,0))</x:f>
        <x:v>https://www.digikey.com/en/products/detail/kemet/C0805C103K1RACTU/411158</x:v>
      </x:c>
    </x:row>
    <x:row r="186" ht="24" customHeight="1">
      <x:c r="A186" s="2" t="str">
        <x:v>25 boards / 2% planning</x:v>
      </x:c>
      <x:c r="B186" s="17" t="str">
        <x:v>C0805C223K1RACTU</x:v>
      </x:c>
      <x:c r="C186" s="18" t="n">
        <x:v>25</x:v>
      </x:c>
      <x:c r="D186" s="27" t="n">
        <x:v>0.02</x:v>
      </x:c>
      <x:c r="E186" s="18" t="n">
        <x:f>INDEX('Assembly BOM'!$C$7:$C$162,MATCH($B186,'Assembly BOM'!$A$7:$A$162,0))</x:f>
        <x:v>4</x:v>
      </x:c>
      <x:c r="F186" s="18" t="n">
        <x:f>C186*E186</x:f>
        <x:v>100</x:v>
      </x:c>
      <x:c r="G186" s="18" t="n">
        <x:f>ROUNDUP(F186*(1+D186),0)</x:f>
        <x:v>102</x:v>
      </x:c>
      <x:c r="H186" s="18" t="n">
        <x:f>INDEX('Dated offers'!$F$7:$F$305,MATCH($Z186,'Dated offers'!$A$7:$A$305,0))</x:f>
        <x:v>20</x:v>
      </x:c>
      <x:c r="I186" s="18" t="n">
        <x:f>INDEX('Dated offers'!$G$7:$G$305,MATCH($Z186,'Dated offers'!$A$7:$A$305,0))</x:f>
        <x:v>20</x:v>
      </x:c>
      <x:c r="J186" s="18" t="n">
        <x:f>CEILING(MAX(G186,H186),I186)</x:f>
        <x:v>120</x:v>
      </x:c>
      <x:c r="K186" s="18" t="n">
        <x:v>120</x:v>
      </x:c>
      <x:c r="L186" s="18" t="n">
        <x:f>INDEX('Dated offers'!$I$7:$I$305,MATCH($Z186,'Dated offers'!$A$7:$A$305,0))</x:f>
        <x:v>20</x:v>
      </x:c>
      <x:c r="M186" s="25" t="n">
        <x:f>INDEX('Dated offers'!$J$7:$J$305,MATCH($Z186,'Dated offers'!$A$7:$A$305,0))</x:f>
        <x:v>0.0225</x:v>
      </x:c>
      <x:c r="N186" s="25" t="n">
        <x:f>INDEX('Dated offers'!$K$7:$K$305,MATCH($Z186,'Dated offers'!$A$7:$A$305,0))</x:f>
        <x:v>0</x:v>
      </x:c>
      <x:c r="O186" s="25" t="n">
        <x:f>F186*M186</x:f>
        <x:v>2.25</x:v>
      </x:c>
      <x:c r="P186" s="25" t="n">
        <x:f>G186*M186</x:f>
        <x:v>2.295</x:v>
      </x:c>
      <x:c r="Q186" s="25" t="n">
        <x:f>K186*M186+N186</x:f>
        <x:v>2.6999999999999997</x:v>
      </x:c>
      <x:c r="R186" s="18" t="n">
        <x:f>K186-G186</x:f>
        <x:v>18</x:v>
      </x:c>
      <x:c r="S186" s="18" t="n">
        <x:f>INDEX('Dated offers'!$H$7:$H$305,MATCH($Z186,'Dated offers'!$A$7:$A$305,0))</x:f>
        <x:v>3880</x:v>
      </x:c>
      <x:c r="T186" s="2" t="str">
        <x:f>IF(K186&lt;G186,"Order below requirement",IF(K186&lt;L186,"Below price tier",IF(ISNUMBER(S186),IF(K186&gt;S186,"Quantity exceeds snapshot","Within quantity snapshot"),"Stock not stated")))</x:f>
        <x:v>Within quantity snapshot</x:v>
      </x:c>
      <x:c r="U186" s="2" t="str">
        <x:f>INDEX('Dated offers'!$C$7:$C$305,MATCH($Z186,'Dated offers'!$A$7:$A$305,0))</x:f>
        <x:v>LCSC</x:v>
      </x:c>
      <x:c r="V186" s="2" t="str">
        <x:f>INDEX('Dated offers'!$D$7:$D$305,MATCH($Z186,'Dated offers'!$A$7:$A$305,0))</x:f>
        <x:v>C2178056</x:v>
      </x:c>
      <x:c r="W186" s="24" t="n">
        <x:f>INDEX('Dated offers'!$E$7:$E$305,MATCH($Z186,'Dated offers'!$A$7:$A$305,0))</x:f>
        <x:v>46307.44740040509</x:v>
      </x:c>
      <x:c r="X186" s="2" t="b">
        <x:f>INDEX('Dated offers'!$N$7:$N$305,MATCH($Z186,'Dated offers'!$A$7:$A$305,0))</x:f>
        <x:v>0</x:v>
      </x:c>
      <x:c r="Y186" s="2" t="str">
        <x:f>INDEX('Dated offers'!$O$7:$O$305,MATCH($Z186,'Dated offers'!$A$7:$A$305,0))</x:f>
        <x:v>Unreserved inventory snapshot</x:v>
      </x:c>
      <x:c r="Z186" s="17" t="str">
        <x:v>OF0024</x:v>
      </x:c>
      <x:c r="AA186" s="2"/>
      <x:c r="AB186" s="2" t="str">
        <x:f>INDEX('Dated offers'!$Q$7:$Q$305,MATCH($Z186,'Dated offers'!$A$7:$A$305,0))</x:f>
        <x:v>https://www.lcsc.com/product-detail/C2178056.html</x:v>
      </x:c>
    </x:row>
    <x:row r="187" ht="24" customHeight="1">
      <x:c r="A187" s="2" t="str">
        <x:v>25 boards / 2% planning</x:v>
      </x:c>
      <x:c r="B187" s="17" t="str">
        <x:v>C0805C475K4RACTU</x:v>
      </x:c>
      <x:c r="C187" s="18" t="n">
        <x:v>25</x:v>
      </x:c>
      <x:c r="D187" s="27" t="n">
        <x:v>0.02</x:v>
      </x:c>
      <x:c r="E187" s="18" t="n">
        <x:f>INDEX('Assembly BOM'!$C$7:$C$162,MATCH($B187,'Assembly BOM'!$A$7:$A$162,0))</x:f>
        <x:v>2</x:v>
      </x:c>
      <x:c r="F187" s="18" t="n">
        <x:f>C187*E187</x:f>
        <x:v>50</x:v>
      </x:c>
      <x:c r="G187" s="18" t="n">
        <x:f>ROUNDUP(F187*(1+D187),0)</x:f>
        <x:v>51</x:v>
      </x:c>
      <x:c r="H187" s="18" t="n">
        <x:f>INDEX('Dated offers'!$F$7:$F$305,MATCH($Z187,'Dated offers'!$A$7:$A$305,0))</x:f>
        <x:v>1</x:v>
      </x:c>
      <x:c r="I187" s="18" t="n">
        <x:f>INDEX('Dated offers'!$G$7:$G$305,MATCH($Z187,'Dated offers'!$A$7:$A$305,0))</x:f>
        <x:v>1</x:v>
      </x:c>
      <x:c r="J187" s="18" t="n">
        <x:f>CEILING(MAX(G187,H187),I187)</x:f>
        <x:v>51</x:v>
      </x:c>
      <x:c r="K187" s="18" t="n">
        <x:v>51</x:v>
      </x:c>
      <x:c r="L187" s="18" t="n">
        <x:f>INDEX('Dated offers'!$I$7:$I$305,MATCH($Z187,'Dated offers'!$A$7:$A$305,0))</x:f>
        <x:v>50</x:v>
      </x:c>
      <x:c r="M187" s="25" t="n">
        <x:f>INDEX('Dated offers'!$J$7:$J$305,MATCH($Z187,'Dated offers'!$A$7:$A$305,0))</x:f>
        <x:v>0.1526</x:v>
      </x:c>
      <x:c r="N187" s="25" t="n">
        <x:f>INDEX('Dated offers'!$K$7:$K$305,MATCH($Z187,'Dated offers'!$A$7:$A$305,0))</x:f>
        <x:v>0</x:v>
      </x:c>
      <x:c r="O187" s="25" t="n">
        <x:f>F187*M187</x:f>
        <x:v>7.630000000000001</x:v>
      </x:c>
      <x:c r="P187" s="25" t="n">
        <x:f>G187*M187</x:f>
        <x:v>7.7826</x:v>
      </x:c>
      <x:c r="Q187" s="25" t="n">
        <x:f>K187*M187+N187</x:f>
        <x:v>7.7826</x:v>
      </x:c>
      <x:c r="R187" s="18" t="n">
        <x:f>K187-G187</x:f>
        <x:v>0</x:v>
      </x:c>
      <x:c r="S187" s="18" t="n">
        <x:f>INDEX('Dated offers'!$H$7:$H$305,MATCH($Z187,'Dated offers'!$A$7:$A$305,0))</x:f>
        <x:v>280009</x:v>
      </x:c>
      <x:c r="T187" s="2" t="str">
        <x:f>IF(K187&lt;G187,"Order below requirement",IF(K187&lt;L187,"Below price tier",IF(ISNUMBER(S187),IF(K187&gt;S187,"Quantity exceeds snapshot","Within quantity snapshot"),"Stock not stated")))</x:f>
        <x:v>Within quantity snapshot</x:v>
      </x:c>
      <x:c r="U187" s="2" t="str">
        <x:f>INDEX('Dated offers'!$C$7:$C$305,MATCH($Z187,'Dated offers'!$A$7:$A$305,0))</x:f>
        <x:v>DigiKey</x:v>
      </x:c>
      <x:c r="V187" s="2" t="str">
        <x:f>INDEX('Dated offers'!$D$7:$D$305,MATCH($Z187,'Dated offers'!$A$7:$A$305,0))</x:f>
        <x:v>Not stated</x:v>
      </x:c>
      <x:c r="W187" s="24" t="n">
        <x:f>INDEX('Dated offers'!$E$7:$E$305,MATCH($Z187,'Dated offers'!$A$7:$A$305,0))</x:f>
        <x:v>46307.47807265046</x:v>
      </x:c>
      <x:c r="X187" s="2" t="b">
        <x:f>INDEX('Dated offers'!$N$7:$N$305,MATCH($Z187,'Dated offers'!$A$7:$A$305,0))</x:f>
        <x:v>0</x:v>
      </x:c>
      <x:c r="Y187" s="2" t="str">
        <x:f>INDEX('Dated offers'!$O$7:$O$305,MATCH($Z187,'Dated offers'!$A$7:$A$305,0))</x:f>
        <x:v>Unreserved inventory snapshot</x:v>
      </x:c>
      <x:c r="Z187" s="17" t="str">
        <x:v>OF0025</x:v>
      </x:c>
      <x:c r="AA187" s="2"/>
      <x:c r="AB187" s="2" t="str">
        <x:f>INDEX('Dated offers'!$Q$7:$Q$305,MATCH($Z187,'Dated offers'!$A$7:$A$305,0))</x:f>
        <x:v>https://www.digikey.com/en/products/detail/kemet/C0805C475K4RACTU/3317449</x:v>
      </x:c>
    </x:row>
    <x:row r="188" ht="24" customHeight="1">
      <x:c r="A188" s="2" t="str">
        <x:v>25 boards / 2% planning</x:v>
      </x:c>
      <x:c r="B188" s="17" t="str">
        <x:v>CGA6N3X7R2A225K230AB</x:v>
      </x:c>
      <x:c r="C188" s="18" t="n">
        <x:v>25</x:v>
      </x:c>
      <x:c r="D188" s="27" t="n">
        <x:v>0.02</x:v>
      </x:c>
      <x:c r="E188" s="18" t="n">
        <x:f>INDEX('Assembly BOM'!$C$7:$C$162,MATCH($B188,'Assembly BOM'!$A$7:$A$162,0))</x:f>
        <x:v>6</x:v>
      </x:c>
      <x:c r="F188" s="18" t="n">
        <x:f>C188*E188</x:f>
        <x:v>150</x:v>
      </x:c>
      <x:c r="G188" s="18" t="n">
        <x:f>ROUNDUP(F188*(1+D188),0)</x:f>
        <x:v>153</x:v>
      </x:c>
      <x:c r="H188" s="18" t="n">
        <x:f>INDEX('Dated offers'!$F$7:$F$305,MATCH($Z188,'Dated offers'!$A$7:$A$305,0))</x:f>
        <x:v>1</x:v>
      </x:c>
      <x:c r="I188" s="18" t="n">
        <x:f>INDEX('Dated offers'!$G$7:$G$305,MATCH($Z188,'Dated offers'!$A$7:$A$305,0))</x:f>
        <x:v>1</x:v>
      </x:c>
      <x:c r="J188" s="18" t="n">
        <x:f>CEILING(MAX(G188,H188),I188)</x:f>
        <x:v>153</x:v>
      </x:c>
      <x:c r="K188" s="18" t="n">
        <x:v>153</x:v>
      </x:c>
      <x:c r="L188" s="18" t="n">
        <x:f>INDEX('Dated offers'!$I$7:$I$305,MATCH($Z188,'Dated offers'!$A$7:$A$305,0))</x:f>
        <x:v>100</x:v>
      </x:c>
      <x:c r="M188" s="25" t="n">
        <x:f>INDEX('Dated offers'!$J$7:$J$305,MATCH($Z188,'Dated offers'!$A$7:$A$305,0))</x:f>
        <x:v>0.5267</x:v>
      </x:c>
      <x:c r="N188" s="25" t="n">
        <x:f>INDEX('Dated offers'!$K$7:$K$305,MATCH($Z188,'Dated offers'!$A$7:$A$305,0))</x:f>
        <x:v>0</x:v>
      </x:c>
      <x:c r="O188" s="25" t="n">
        <x:f>F188*M188</x:f>
        <x:v>79.005</x:v>
      </x:c>
      <x:c r="P188" s="25" t="n">
        <x:f>G188*M188</x:f>
        <x:v>80.5851</x:v>
      </x:c>
      <x:c r="Q188" s="25" t="n">
        <x:f>K188*M188+N188</x:f>
        <x:v>80.5851</x:v>
      </x:c>
      <x:c r="R188" s="18" t="n">
        <x:f>K188-G188</x:f>
        <x:v>0</x:v>
      </x:c>
      <x:c r="S188" s="18" t="n">
        <x:f>INDEX('Dated offers'!$H$7:$H$305,MATCH($Z188,'Dated offers'!$A$7:$A$305,0))</x:f>
        <x:v>31398</x:v>
      </x:c>
      <x:c r="T188" s="2" t="str">
        <x:f>IF(K188&lt;G188,"Order below requirement",IF(K188&lt;L188,"Below price tier",IF(ISNUMBER(S188),IF(K188&gt;S188,"Quantity exceeds snapshot","Within quantity snapshot"),"Stock not stated")))</x:f>
        <x:v>Within quantity snapshot</x:v>
      </x:c>
      <x:c r="U188" s="2" t="str">
        <x:f>INDEX('Dated offers'!$C$7:$C$305,MATCH($Z188,'Dated offers'!$A$7:$A$305,0))</x:f>
        <x:v>DigiKey</x:v>
      </x:c>
      <x:c r="V188" s="2" t="str">
        <x:f>INDEX('Dated offers'!$D$7:$D$305,MATCH($Z188,'Dated offers'!$A$7:$A$305,0))</x:f>
        <x:v>Not stated</x:v>
      </x:c>
      <x:c r="W188" s="24" t="n">
        <x:f>INDEX('Dated offers'!$E$7:$E$305,MATCH($Z188,'Dated offers'!$A$7:$A$305,0))</x:f>
        <x:v>46307.47807262732</x:v>
      </x:c>
      <x:c r="X188" s="2" t="b">
        <x:f>INDEX('Dated offers'!$N$7:$N$305,MATCH($Z188,'Dated offers'!$A$7:$A$305,0))</x:f>
        <x:v>0</x:v>
      </x:c>
      <x:c r="Y188" s="2" t="str">
        <x:f>INDEX('Dated offers'!$O$7:$O$305,MATCH($Z188,'Dated offers'!$A$7:$A$305,0))</x:f>
        <x:v>Unreserved inventory snapshot</x:v>
      </x:c>
      <x:c r="Z188" s="17" t="str">
        <x:v>OF0026</x:v>
      </x:c>
      <x:c r="AA188" s="2"/>
      <x:c r="AB188" s="2" t="str">
        <x:f>INDEX('Dated offers'!$Q$7:$Q$305,MATCH($Z188,'Dated offers'!$A$7:$A$305,0))</x:f>
        <x:v>https://www.digikey.com/en/products/detail/tdk-corporation/CGA6N3X7R2A225K230AB/2443344</x:v>
      </x:c>
    </x:row>
    <x:row r="189" ht="24" customHeight="1">
      <x:c r="A189" s="2" t="str">
        <x:v>25 boards / 2% planning</x:v>
      </x:c>
      <x:c r="B189" s="17" t="str">
        <x:v>CL05B104KB5NNNC</x:v>
      </x:c>
      <x:c r="C189" s="18" t="n">
        <x:v>25</x:v>
      </x:c>
      <x:c r="D189" s="27" t="n">
        <x:v>0.02</x:v>
      </x:c>
      <x:c r="E189" s="18" t="n">
        <x:f>INDEX('Assembly BOM'!$C$7:$C$162,MATCH($B189,'Assembly BOM'!$A$7:$A$162,0))</x:f>
        <x:v>59</x:v>
      </x:c>
      <x:c r="F189" s="18" t="n">
        <x:f>C189*E189</x:f>
        <x:v>1475</x:v>
      </x:c>
      <x:c r="G189" s="18" t="n">
        <x:f>ROUNDUP(F189*(1+D189),0)</x:f>
        <x:v>1505</x:v>
      </x:c>
      <x:c r="H189" s="18" t="n">
        <x:f>INDEX('Dated offers'!$F$7:$F$305,MATCH($Z189,'Dated offers'!$A$7:$A$305,0))</x:f>
        <x:v>50</x:v>
      </x:c>
      <x:c r="I189" s="18" t="n">
        <x:f>INDEX('Dated offers'!$G$7:$G$305,MATCH($Z189,'Dated offers'!$A$7:$A$305,0))</x:f>
        <x:v>50</x:v>
      </x:c>
      <x:c r="J189" s="18" t="n">
        <x:f>CEILING(MAX(G189,H189),I189)</x:f>
        <x:v>1550</x:v>
      </x:c>
      <x:c r="K189" s="18" t="n">
        <x:v>1550</x:v>
      </x:c>
      <x:c r="L189" s="18" t="n">
        <x:f>INDEX('Dated offers'!$I$7:$I$305,MATCH($Z189,'Dated offers'!$A$7:$A$305,0))</x:f>
        <x:v>1500</x:v>
      </x:c>
      <x:c r="M189" s="25" t="n">
        <x:f>INDEX('Dated offers'!$J$7:$J$305,MATCH($Z189,'Dated offers'!$A$7:$A$305,0))</x:f>
        <x:v>0.0066</x:v>
      </x:c>
      <x:c r="N189" s="25" t="n">
        <x:f>INDEX('Dated offers'!$K$7:$K$305,MATCH($Z189,'Dated offers'!$A$7:$A$305,0))</x:f>
        <x:v>0</x:v>
      </x:c>
      <x:c r="O189" s="25" t="n">
        <x:f>F189*M189</x:f>
        <x:v>9.735</x:v>
      </x:c>
      <x:c r="P189" s="25" t="n">
        <x:f>G189*M189</x:f>
        <x:v>9.933</x:v>
      </x:c>
      <x:c r="Q189" s="25" t="n">
        <x:f>K189*M189+N189</x:f>
        <x:v>10.23</x:v>
      </x:c>
      <x:c r="R189" s="18" t="n">
        <x:f>K189-G189</x:f>
        <x:v>45</x:v>
      </x:c>
      <x:c r="S189" s="18" t="n">
        <x:f>INDEX('Dated offers'!$H$7:$H$305,MATCH($Z189,'Dated offers'!$A$7:$A$305,0))</x:f>
        <x:v>155500</x:v>
      </x:c>
      <x:c r="T189" s="2" t="str">
        <x:f>IF(K189&lt;G189,"Order below requirement",IF(K189&lt;L189,"Below price tier",IF(ISNUMBER(S189),IF(K189&gt;S189,"Quantity exceeds snapshot","Within quantity snapshot"),"Stock not stated")))</x:f>
        <x:v>Within quantity snapshot</x:v>
      </x:c>
      <x:c r="U189" s="2" t="str">
        <x:f>INDEX('Dated offers'!$C$7:$C$305,MATCH($Z189,'Dated offers'!$A$7:$A$305,0))</x:f>
        <x:v>LCSC</x:v>
      </x:c>
      <x:c r="V189" s="2" t="str">
        <x:f>INDEX('Dated offers'!$D$7:$D$305,MATCH($Z189,'Dated offers'!$A$7:$A$305,0))</x:f>
        <x:v>C960916</x:v>
      </x:c>
      <x:c r="W189" s="24" t="n">
        <x:f>INDEX('Dated offers'!$E$7:$E$305,MATCH($Z189,'Dated offers'!$A$7:$A$305,0))</x:f>
        <x:v>46307.44740570602</x:v>
      </x:c>
      <x:c r="X189" s="2" t="b">
        <x:f>INDEX('Dated offers'!$N$7:$N$305,MATCH($Z189,'Dated offers'!$A$7:$A$305,0))</x:f>
        <x:v>0</x:v>
      </x:c>
      <x:c r="Y189" s="2" t="str">
        <x:f>INDEX('Dated offers'!$O$7:$O$305,MATCH($Z189,'Dated offers'!$A$7:$A$305,0))</x:f>
        <x:v>Unreserved inventory snapshot</x:v>
      </x:c>
      <x:c r="Z189" s="17" t="str">
        <x:v>OF0027</x:v>
      </x:c>
      <x:c r="AA189" s="2"/>
      <x:c r="AB189" s="2" t="str">
        <x:f>INDEX('Dated offers'!$Q$7:$Q$305,MATCH($Z189,'Dated offers'!$A$7:$A$305,0))</x:f>
        <x:v>https://www.lcsc.com/product-detail/C960916.html</x:v>
      </x:c>
    </x:row>
    <x:row r="190" ht="24" customHeight="1">
      <x:c r="A190" s="2" t="str">
        <x:v>25 boards / 2% planning</x:v>
      </x:c>
      <x:c r="B190" s="17" t="str">
        <x:v>CL10B225KP8NNNC</x:v>
      </x:c>
      <x:c r="C190" s="18" t="n">
        <x:v>25</x:v>
      </x:c>
      <x:c r="D190" s="27" t="n">
        <x:v>0.02</x:v>
      </x:c>
      <x:c r="E190" s="18" t="n">
        <x:f>INDEX('Assembly BOM'!$C$7:$C$162,MATCH($B190,'Assembly BOM'!$A$7:$A$162,0))</x:f>
        <x:v>18</x:v>
      </x:c>
      <x:c r="F190" s="18" t="n">
        <x:f>C190*E190</x:f>
        <x:v>450</x:v>
      </x:c>
      <x:c r="G190" s="18" t="n">
        <x:f>ROUNDUP(F190*(1+D190),0)</x:f>
        <x:v>459</x:v>
      </x:c>
      <x:c r="H190" s="18" t="n">
        <x:f>INDEX('Dated offers'!$F$7:$F$305,MATCH($Z190,'Dated offers'!$A$7:$A$305,0))</x:f>
        <x:v>20</x:v>
      </x:c>
      <x:c r="I190" s="18" t="n">
        <x:f>INDEX('Dated offers'!$G$7:$G$305,MATCH($Z190,'Dated offers'!$A$7:$A$305,0))</x:f>
        <x:v>20</x:v>
      </x:c>
      <x:c r="J190" s="18" t="n">
        <x:f>CEILING(MAX(G190,H190),I190)</x:f>
        <x:v>460</x:v>
      </x:c>
      <x:c r="K190" s="18" t="n">
        <x:v>460</x:v>
      </x:c>
      <x:c r="L190" s="18" t="n">
        <x:f>INDEX('Dated offers'!$I$7:$I$305,MATCH($Z190,'Dated offers'!$A$7:$A$305,0))</x:f>
        <x:v>200</x:v>
      </x:c>
      <x:c r="M190" s="25" t="n">
        <x:f>INDEX('Dated offers'!$J$7:$J$305,MATCH($Z190,'Dated offers'!$A$7:$A$305,0))</x:f>
        <x:v>0.021</x:v>
      </x:c>
      <x:c r="N190" s="25" t="n">
        <x:f>INDEX('Dated offers'!$K$7:$K$305,MATCH($Z190,'Dated offers'!$A$7:$A$305,0))</x:f>
        <x:v>0</x:v>
      </x:c>
      <x:c r="O190" s="25" t="n">
        <x:f>F190*M190</x:f>
        <x:v>9.450000000000001</x:v>
      </x:c>
      <x:c r="P190" s="25" t="n">
        <x:f>G190*M190</x:f>
        <x:v>9.639000000000001</x:v>
      </x:c>
      <x:c r="Q190" s="25" t="n">
        <x:f>K190*M190+N190</x:f>
        <x:v>9.66</x:v>
      </x:c>
      <x:c r="R190" s="18" t="n">
        <x:f>K190-G190</x:f>
        <x:v>1</x:v>
      </x:c>
      <x:c r="S190" s="18" t="n">
        <x:f>INDEX('Dated offers'!$H$7:$H$305,MATCH($Z190,'Dated offers'!$A$7:$A$305,0))</x:f>
        <x:v>274380</x:v>
      </x:c>
      <x:c r="T190" s="2" t="str">
        <x:f>IF(K190&lt;G190,"Order below requirement",IF(K190&lt;L190,"Below price tier",IF(ISNUMBER(S190),IF(K190&gt;S190,"Quantity exceeds snapshot","Within quantity snapshot"),"Stock not stated")))</x:f>
        <x:v>Within quantity snapshot</x:v>
      </x:c>
      <x:c r="U190" s="2" t="str">
        <x:f>INDEX('Dated offers'!$C$7:$C$305,MATCH($Z190,'Dated offers'!$A$7:$A$305,0))</x:f>
        <x:v>LCSC</x:v>
      </x:c>
      <x:c r="V190" s="2" t="str">
        <x:f>INDEX('Dated offers'!$D$7:$D$305,MATCH($Z190,'Dated offers'!$A$7:$A$305,0))</x:f>
        <x:v>C100082</x:v>
      </x:c>
      <x:c r="W190" s="24" t="n">
        <x:f>INDEX('Dated offers'!$E$7:$E$305,MATCH($Z190,'Dated offers'!$A$7:$A$305,0))</x:f>
        <x:v>46307.44740732639</x:v>
      </x:c>
      <x:c r="X190" s="2" t="b">
        <x:f>INDEX('Dated offers'!$N$7:$N$305,MATCH($Z190,'Dated offers'!$A$7:$A$305,0))</x:f>
        <x:v>0</x:v>
      </x:c>
      <x:c r="Y190" s="2" t="str">
        <x:f>INDEX('Dated offers'!$O$7:$O$305,MATCH($Z190,'Dated offers'!$A$7:$A$305,0))</x:f>
        <x:v>Unreserved inventory snapshot</x:v>
      </x:c>
      <x:c r="Z190" s="17" t="str">
        <x:v>OF0028</x:v>
      </x:c>
      <x:c r="AA190" s="2"/>
      <x:c r="AB190" s="2" t="str">
        <x:f>INDEX('Dated offers'!$Q$7:$Q$305,MATCH($Z190,'Dated offers'!$A$7:$A$305,0))</x:f>
        <x:v>https://www.lcsc.com/product-detail/C100082.html</x:v>
      </x:c>
    </x:row>
    <x:row r="191" ht="24" customHeight="1">
      <x:c r="A191" s="2" t="str">
        <x:v>25 boards / 2% planning</x:v>
      </x:c>
      <x:c r="B191" s="17" t="str">
        <x:v>CL21B105KBFNNNF</x:v>
      </x:c>
      <x:c r="C191" s="18" t="n">
        <x:v>25</x:v>
      </x:c>
      <x:c r="D191" s="27" t="n">
        <x:v>0.02</x:v>
      </x:c>
      <x:c r="E191" s="18" t="n">
        <x:f>INDEX('Assembly BOM'!$C$7:$C$162,MATCH($B191,'Assembly BOM'!$A$7:$A$162,0))</x:f>
        <x:v>4</x:v>
      </x:c>
      <x:c r="F191" s="18" t="n">
        <x:f>C191*E191</x:f>
        <x:v>100</x:v>
      </x:c>
      <x:c r="G191" s="18" t="n">
        <x:f>ROUNDUP(F191*(1+D191),0)</x:f>
        <x:v>102</x:v>
      </x:c>
      <x:c r="H191" s="18" t="n">
        <x:f>INDEX('Dated offers'!$F$7:$F$305,MATCH($Z191,'Dated offers'!$A$7:$A$305,0))</x:f>
        <x:v>10</x:v>
      </x:c>
      <x:c r="I191" s="18" t="n">
        <x:f>INDEX('Dated offers'!$G$7:$G$305,MATCH($Z191,'Dated offers'!$A$7:$A$305,0))</x:f>
        <x:v>10</x:v>
      </x:c>
      <x:c r="J191" s="18" t="n">
        <x:f>CEILING(MAX(G191,H191),I191)</x:f>
        <x:v>110</x:v>
      </x:c>
      <x:c r="K191" s="18" t="n">
        <x:v>110</x:v>
      </x:c>
      <x:c r="L191" s="18" t="n">
        <x:f>INDEX('Dated offers'!$I$7:$I$305,MATCH($Z191,'Dated offers'!$A$7:$A$305,0))</x:f>
        <x:v>100</x:v>
      </x:c>
      <x:c r="M191" s="25" t="n">
        <x:f>INDEX('Dated offers'!$J$7:$J$305,MATCH($Z191,'Dated offers'!$A$7:$A$305,0))</x:f>
        <x:v>0.029</x:v>
      </x:c>
      <x:c r="N191" s="25" t="n">
        <x:f>INDEX('Dated offers'!$K$7:$K$305,MATCH($Z191,'Dated offers'!$A$7:$A$305,0))</x:f>
        <x:v>0</x:v>
      </x:c>
      <x:c r="O191" s="25" t="n">
        <x:f>F191*M191</x:f>
        <x:v>2.9000000000000004</x:v>
      </x:c>
      <x:c r="P191" s="25" t="n">
        <x:f>G191*M191</x:f>
        <x:v>2.958</x:v>
      </x:c>
      <x:c r="Q191" s="25" t="n">
        <x:f>K191*M191+N191</x:f>
        <x:v>3.19</x:v>
      </x:c>
      <x:c r="R191" s="18" t="n">
        <x:f>K191-G191</x:f>
        <x:v>8</x:v>
      </x:c>
      <x:c r="S191" s="18" t="n">
        <x:f>INDEX('Dated offers'!$H$7:$H$305,MATCH($Z191,'Dated offers'!$A$7:$A$305,0))</x:f>
        <x:v>450</x:v>
      </x:c>
      <x:c r="T191" s="2" t="str">
        <x:f>IF(K191&lt;G191,"Order below requirement",IF(K191&lt;L191,"Below price tier",IF(ISNUMBER(S191),IF(K191&gt;S191,"Quantity exceeds snapshot","Within quantity snapshot"),"Stock not stated")))</x:f>
        <x:v>Within quantity snapshot</x:v>
      </x:c>
      <x:c r="U191" s="2" t="str">
        <x:f>INDEX('Dated offers'!$C$7:$C$305,MATCH($Z191,'Dated offers'!$A$7:$A$305,0))</x:f>
        <x:v>LCSC</x:v>
      </x:c>
      <x:c r="V191" s="2" t="str">
        <x:f>INDEX('Dated offers'!$D$7:$D$305,MATCH($Z191,'Dated offers'!$A$7:$A$305,0))</x:f>
        <x:v>C16195091</x:v>
      </x:c>
      <x:c r="W191" s="24" t="n">
        <x:f>INDEX('Dated offers'!$E$7:$E$305,MATCH($Z191,'Dated offers'!$A$7:$A$305,0))</x:f>
        <x:v>46307.709842337965</x:v>
      </x:c>
      <x:c r="X191" s="2" t="b">
        <x:f>INDEX('Dated offers'!$N$7:$N$305,MATCH($Z191,'Dated offers'!$A$7:$A$305,0))</x:f>
        <x:v>0</x:v>
      </x:c>
      <x:c r="Y191" s="2" t="str">
        <x:f>INDEX('Dated offers'!$O$7:$O$305,MATCH($Z191,'Dated offers'!$A$7:$A$305,0))</x:f>
        <x:v>Unreserved inventory snapshot</x:v>
      </x:c>
      <x:c r="Z191" s="17" t="str">
        <x:v>OF0029</x:v>
      </x:c>
      <x:c r="AA191" s="2"/>
      <x:c r="AB191" s="2" t="str">
        <x:f>INDEX('Dated offers'!$Q$7:$Q$305,MATCH($Z191,'Dated offers'!$A$7:$A$305,0))</x:f>
        <x:v>https://www.lcsc.com/product-detail/C16195091.html</x:v>
      </x:c>
    </x:row>
    <x:row r="192" ht="24" customHeight="1">
      <x:c r="A192" s="2" t="str">
        <x:v>25 boards / 2% planning</x:v>
      </x:c>
      <x:c r="B192" s="17" t="str">
        <x:v>CL32B106KBJZW6E</x:v>
      </x:c>
      <x:c r="C192" s="18" t="n">
        <x:v>25</x:v>
      </x:c>
      <x:c r="D192" s="27" t="n">
        <x:v>0.02</x:v>
      </x:c>
      <x:c r="E192" s="18" t="n">
        <x:f>INDEX('Assembly BOM'!$C$7:$C$162,MATCH($B192,'Assembly BOM'!$A$7:$A$162,0))</x:f>
        <x:v>2</x:v>
      </x:c>
      <x:c r="F192" s="18" t="n">
        <x:f>C192*E192</x:f>
        <x:v>50</x:v>
      </x:c>
      <x:c r="G192" s="18" t="n">
        <x:f>ROUNDUP(F192*(1+D192),0)</x:f>
        <x:v>51</x:v>
      </x:c>
      <x:c r="H192" s="18" t="n">
        <x:f>INDEX('Dated offers'!$F$7:$F$305,MATCH($Z192,'Dated offers'!$A$7:$A$305,0))</x:f>
        <x:v>1</x:v>
      </x:c>
      <x:c r="I192" s="18" t="n">
        <x:f>INDEX('Dated offers'!$G$7:$G$305,MATCH($Z192,'Dated offers'!$A$7:$A$305,0))</x:f>
        <x:v>1</x:v>
      </x:c>
      <x:c r="J192" s="18" t="n">
        <x:f>CEILING(MAX(G192,H192),I192)</x:f>
        <x:v>51</x:v>
      </x:c>
      <x:c r="K192" s="18" t="n">
        <x:v>51</x:v>
      </x:c>
      <x:c r="L192" s="18" t="n">
        <x:f>INDEX('Dated offers'!$I$7:$I$305,MATCH($Z192,'Dated offers'!$A$7:$A$305,0))</x:f>
        <x:v>50</x:v>
      </x:c>
      <x:c r="M192" s="25" t="n">
        <x:f>INDEX('Dated offers'!$J$7:$J$305,MATCH($Z192,'Dated offers'!$A$7:$A$305,0))</x:f>
        <x:v>0.5222</x:v>
      </x:c>
      <x:c r="N192" s="25" t="n">
        <x:f>INDEX('Dated offers'!$K$7:$K$305,MATCH($Z192,'Dated offers'!$A$7:$A$305,0))</x:f>
        <x:v>0</x:v>
      </x:c>
      <x:c r="O192" s="25" t="n">
        <x:f>F192*M192</x:f>
        <x:v>26.11</x:v>
      </x:c>
      <x:c r="P192" s="25" t="n">
        <x:f>G192*M192</x:f>
        <x:v>26.6322</x:v>
      </x:c>
      <x:c r="Q192" s="25" t="n">
        <x:f>K192*M192+N192</x:f>
        <x:v>26.6322</x:v>
      </x:c>
      <x:c r="R192" s="18" t="n">
        <x:f>K192-G192</x:f>
        <x:v>0</x:v>
      </x:c>
      <x:c r="S192" s="18" t="n">
        <x:f>INDEX('Dated offers'!$H$7:$H$305,MATCH($Z192,'Dated offers'!$A$7:$A$305,0))</x:f>
        <x:v>167479</x:v>
      </x:c>
      <x:c r="T192" s="2" t="str">
        <x:f>IF(K192&lt;G192,"Order below requirement",IF(K192&lt;L192,"Below price tier",IF(ISNUMBER(S192),IF(K192&gt;S192,"Quantity exceeds snapshot","Within quantity snapshot"),"Stock not stated")))</x:f>
        <x:v>Within quantity snapshot</x:v>
      </x:c>
      <x:c r="U192" s="2" t="str">
        <x:f>INDEX('Dated offers'!$C$7:$C$305,MATCH($Z192,'Dated offers'!$A$7:$A$305,0))</x:f>
        <x:v>DigiKey</x:v>
      </x:c>
      <x:c r="V192" s="2" t="str">
        <x:f>INDEX('Dated offers'!$D$7:$D$305,MATCH($Z192,'Dated offers'!$A$7:$A$305,0))</x:f>
        <x:v>Not stated</x:v>
      </x:c>
      <x:c r="W192" s="24" t="n">
        <x:f>INDEX('Dated offers'!$E$7:$E$305,MATCH($Z192,'Dated offers'!$A$7:$A$305,0))</x:f>
        <x:v>46307.47807262732</x:v>
      </x:c>
      <x:c r="X192" s="2" t="b">
        <x:f>INDEX('Dated offers'!$N$7:$N$305,MATCH($Z192,'Dated offers'!$A$7:$A$305,0))</x:f>
        <x:v>0</x:v>
      </x:c>
      <x:c r="Y192" s="2" t="str">
        <x:f>INDEX('Dated offers'!$O$7:$O$305,MATCH($Z192,'Dated offers'!$A$7:$A$305,0))</x:f>
        <x:v>Unreserved inventory snapshot</x:v>
      </x:c>
      <x:c r="Z192" s="17" t="str">
        <x:v>OF0030</x:v>
      </x:c>
      <x:c r="AA192" s="2"/>
      <x:c r="AB192" s="2" t="str">
        <x:f>INDEX('Dated offers'!$Q$7:$Q$305,MATCH($Z192,'Dated offers'!$A$7:$A$305,0))</x:f>
        <x:v>https://www.digikey.com/en/products/detail/samsung-electro-mechanics-america-inc/CL32B106KBJZW6E/7320557</x:v>
      </x:c>
    </x:row>
    <x:row r="193" ht="24" customHeight="1">
      <x:c r="A193" s="2" t="str">
        <x:v>25 boards / 2% planning</x:v>
      </x:c>
      <x:c r="B193" s="17" t="str">
        <x:v>CL32B226KAJNNNE</x:v>
      </x:c>
      <x:c r="C193" s="18" t="n">
        <x:v>25</x:v>
      </x:c>
      <x:c r="D193" s="27" t="n">
        <x:v>0.02</x:v>
      </x:c>
      <x:c r="E193" s="18" t="n">
        <x:f>INDEX('Assembly BOM'!$C$7:$C$162,MATCH($B193,'Assembly BOM'!$A$7:$A$162,0))</x:f>
        <x:v>25</x:v>
      </x:c>
      <x:c r="F193" s="18" t="n">
        <x:f>C193*E193</x:f>
        <x:v>625</x:v>
      </x:c>
      <x:c r="G193" s="18" t="n">
        <x:f>ROUNDUP(F193*(1+D193),0)</x:f>
        <x:v>638</x:v>
      </x:c>
      <x:c r="H193" s="18" t="n">
        <x:f>INDEX('Dated offers'!$F$7:$F$305,MATCH($Z193,'Dated offers'!$A$7:$A$305,0))</x:f>
        <x:v>1</x:v>
      </x:c>
      <x:c r="I193" s="18" t="n">
        <x:f>INDEX('Dated offers'!$G$7:$G$305,MATCH($Z193,'Dated offers'!$A$7:$A$305,0))</x:f>
        <x:v>1</x:v>
      </x:c>
      <x:c r="J193" s="18" t="n">
        <x:f>CEILING(MAX(G193,H193),I193)</x:f>
        <x:v>638</x:v>
      </x:c>
      <x:c r="K193" s="18" t="n">
        <x:v>638</x:v>
      </x:c>
      <x:c r="L193" s="18" t="n">
        <x:f>INDEX('Dated offers'!$I$7:$I$305,MATCH($Z193,'Dated offers'!$A$7:$A$305,0))</x:f>
        <x:v>500</x:v>
      </x:c>
      <x:c r="M193" s="25" t="n">
        <x:f>INDEX('Dated offers'!$J$7:$J$305,MATCH($Z193,'Dated offers'!$A$7:$A$305,0))</x:f>
        <x:v>0.2028</x:v>
      </x:c>
      <x:c r="N193" s="25" t="n">
        <x:f>INDEX('Dated offers'!$K$7:$K$305,MATCH($Z193,'Dated offers'!$A$7:$A$305,0))</x:f>
        <x:v>0</x:v>
      </x:c>
      <x:c r="O193" s="25" t="n">
        <x:f>F193*M193</x:f>
        <x:v>126.75</x:v>
      </x:c>
      <x:c r="P193" s="25" t="n">
        <x:f>G193*M193</x:f>
        <x:v>129.3864</x:v>
      </x:c>
      <x:c r="Q193" s="25" t="n">
        <x:f>K193*M193+N193</x:f>
        <x:v>129.3864</x:v>
      </x:c>
      <x:c r="R193" s="18" t="n">
        <x:f>K193-G193</x:f>
        <x:v>0</x:v>
      </x:c>
      <x:c r="S193" s="18" t="n">
        <x:f>INDEX('Dated offers'!$H$7:$H$305,MATCH($Z193,'Dated offers'!$A$7:$A$305,0))</x:f>
        <x:v>42997</x:v>
      </x:c>
      <x:c r="T193" s="2" t="str">
        <x:f>IF(K193&lt;G193,"Order below requirement",IF(K193&lt;L193,"Below price tier",IF(ISNUMBER(S193),IF(K193&gt;S193,"Quantity exceeds snapshot","Within quantity snapshot"),"Stock not stated")))</x:f>
        <x:v>Within quantity snapshot</x:v>
      </x:c>
      <x:c r="U193" s="2" t="str">
        <x:f>INDEX('Dated offers'!$C$7:$C$305,MATCH($Z193,'Dated offers'!$A$7:$A$305,0))</x:f>
        <x:v>LCSC</x:v>
      </x:c>
      <x:c r="V193" s="2" t="str">
        <x:f>INDEX('Dated offers'!$D$7:$D$305,MATCH($Z193,'Dated offers'!$A$7:$A$305,0))</x:f>
        <x:v>C309062</x:v>
      </x:c>
      <x:c r="W193" s="24" t="n">
        <x:f>INDEX('Dated offers'!$E$7:$E$305,MATCH($Z193,'Dated offers'!$A$7:$A$305,0))</x:f>
        <x:v>46307.61958569445</x:v>
      </x:c>
      <x:c r="X193" s="2" t="b">
        <x:f>INDEX('Dated offers'!$N$7:$N$305,MATCH($Z193,'Dated offers'!$A$7:$A$305,0))</x:f>
        <x:v>0</x:v>
      </x:c>
      <x:c r="Y193" s="2" t="str">
        <x:f>INDEX('Dated offers'!$O$7:$O$305,MATCH($Z193,'Dated offers'!$A$7:$A$305,0))</x:f>
        <x:v>Unreserved inventory snapshot</x:v>
      </x:c>
      <x:c r="Z193" s="17" t="str">
        <x:v>OF0031</x:v>
      </x:c>
      <x:c r="AA193" s="2"/>
      <x:c r="AB193" s="2" t="str">
        <x:f>INDEX('Dated offers'!$Q$7:$Q$305,MATCH($Z193,'Dated offers'!$A$7:$A$305,0))</x:f>
        <x:v>https://www.lcsc.com/product-detail/C309062.html</x:v>
      </x:c>
    </x:row>
    <x:row r="194" ht="24" customHeight="1">
      <x:c r="A194" s="2" t="str">
        <x:v>25 boards / 2% planning</x:v>
      </x:c>
      <x:c r="B194" s="17" t="str">
        <x:v>CL32B476KPJNNWE</x:v>
      </x:c>
      <x:c r="C194" s="18" t="n">
        <x:v>25</x:v>
      </x:c>
      <x:c r="D194" s="27" t="n">
        <x:v>0.02</x:v>
      </x:c>
      <x:c r="E194" s="18" t="n">
        <x:f>INDEX('Assembly BOM'!$C$7:$C$162,MATCH($B194,'Assembly BOM'!$A$7:$A$162,0))</x:f>
        <x:v>2</x:v>
      </x:c>
      <x:c r="F194" s="18" t="n">
        <x:f>C194*E194</x:f>
        <x:v>50</x:v>
      </x:c>
      <x:c r="G194" s="18" t="n">
        <x:f>ROUNDUP(F194*(1+D194),0)</x:f>
        <x:v>51</x:v>
      </x:c>
      <x:c r="H194" s="18" t="n">
        <x:f>INDEX('Dated offers'!$F$7:$F$305,MATCH($Z194,'Dated offers'!$A$7:$A$305,0))</x:f>
        <x:v>1</x:v>
      </x:c>
      <x:c r="I194" s="18" t="n">
        <x:f>INDEX('Dated offers'!$G$7:$G$305,MATCH($Z194,'Dated offers'!$A$7:$A$305,0))</x:f>
        <x:v>1</x:v>
      </x:c>
      <x:c r="J194" s="18" t="n">
        <x:f>CEILING(MAX(G194,H194),I194)</x:f>
        <x:v>51</x:v>
      </x:c>
      <x:c r="K194" s="18" t="n">
        <x:v>51</x:v>
      </x:c>
      <x:c r="L194" s="18" t="n">
        <x:f>INDEX('Dated offers'!$I$7:$I$305,MATCH($Z194,'Dated offers'!$A$7:$A$305,0))</x:f>
        <x:v>30</x:v>
      </x:c>
      <x:c r="M194" s="25" t="n">
        <x:f>INDEX('Dated offers'!$J$7:$J$305,MATCH($Z194,'Dated offers'!$A$7:$A$305,0))</x:f>
        <x:v>0.5278</x:v>
      </x:c>
      <x:c r="N194" s="25" t="n">
        <x:f>INDEX('Dated offers'!$K$7:$K$305,MATCH($Z194,'Dated offers'!$A$7:$A$305,0))</x:f>
        <x:v>0</x:v>
      </x:c>
      <x:c r="O194" s="25" t="n">
        <x:f>F194*M194</x:f>
        <x:v>26.39</x:v>
      </x:c>
      <x:c r="P194" s="25" t="n">
        <x:f>G194*M194</x:f>
        <x:v>26.917800000000003</x:v>
      </x:c>
      <x:c r="Q194" s="25" t="n">
        <x:f>K194*M194+N194</x:f>
        <x:v>26.917800000000003</x:v>
      </x:c>
      <x:c r="R194" s="18" t="n">
        <x:f>K194-G194</x:f>
        <x:v>0</x:v>
      </x:c>
      <x:c r="S194" s="18" t="n">
        <x:f>INDEX('Dated offers'!$H$7:$H$305,MATCH($Z194,'Dated offers'!$A$7:$A$305,0))</x:f>
        <x:v>1284</x:v>
      </x:c>
      <x:c r="T194" s="2" t="str">
        <x:f>IF(K194&lt;G194,"Order below requirement",IF(K194&lt;L194,"Below price tier",IF(ISNUMBER(S194),IF(K194&gt;S194,"Quantity exceeds snapshot","Within quantity snapshot"),"Stock not stated")))</x:f>
        <x:v>Within quantity snapshot</x:v>
      </x:c>
      <x:c r="U194" s="2" t="str">
        <x:f>INDEX('Dated offers'!$C$7:$C$305,MATCH($Z194,'Dated offers'!$A$7:$A$305,0))</x:f>
        <x:v>LCSC</x:v>
      </x:c>
      <x:c r="V194" s="2" t="str">
        <x:f>INDEX('Dated offers'!$D$7:$D$305,MATCH($Z194,'Dated offers'!$A$7:$A$305,0))</x:f>
        <x:v>C2932479</x:v>
      </x:c>
      <x:c r="W194" s="24" t="n">
        <x:f>INDEX('Dated offers'!$E$7:$E$305,MATCH($Z194,'Dated offers'!$A$7:$A$305,0))</x:f>
        <x:v>46307.656600462964</x:v>
      </x:c>
      <x:c r="X194" s="2" t="b">
        <x:f>INDEX('Dated offers'!$N$7:$N$305,MATCH($Z194,'Dated offers'!$A$7:$A$305,0))</x:f>
        <x:v>0</x:v>
      </x:c>
      <x:c r="Y194" s="2" t="str">
        <x:f>INDEX('Dated offers'!$O$7:$O$305,MATCH($Z194,'Dated offers'!$A$7:$A$305,0))</x:f>
        <x:v>Unreserved inventory snapshot</x:v>
      </x:c>
      <x:c r="Z194" s="17" t="str">
        <x:v>OF0032</x:v>
      </x:c>
      <x:c r="AA194" s="2"/>
      <x:c r="AB194" s="2" t="str">
        <x:f>INDEX('Dated offers'!$Q$7:$Q$305,MATCH($Z194,'Dated offers'!$A$7:$A$305,0))</x:f>
        <x:v>https://www.lcsc.com/product-detail/C2932479.html</x:v>
      </x:c>
    </x:row>
    <x:row r="195" ht="24" customHeight="1">
      <x:c r="A195" s="2" t="str">
        <x:v>25 boards / 2% planning</x:v>
      </x:c>
      <x:c r="B195" s="17" t="str">
        <x:v>CRCW04020000Z0ED</x:v>
      </x:c>
      <x:c r="C195" s="18" t="n">
        <x:v>25</x:v>
      </x:c>
      <x:c r="D195" s="27" t="n">
        <x:v>0.02</x:v>
      </x:c>
      <x:c r="E195" s="18" t="n">
        <x:f>INDEX('Assembly BOM'!$C$7:$C$162,MATCH($B195,'Assembly BOM'!$A$7:$A$162,0))</x:f>
        <x:v>6</x:v>
      </x:c>
      <x:c r="F195" s="18" t="n">
        <x:f>C195*E195</x:f>
        <x:v>150</x:v>
      </x:c>
      <x:c r="G195" s="18" t="n">
        <x:f>ROUNDUP(F195*(1+D195),0)</x:f>
        <x:v>153</x:v>
      </x:c>
      <x:c r="H195" s="18" t="n">
        <x:f>INDEX('Dated offers'!$F$7:$F$305,MATCH($Z195,'Dated offers'!$A$7:$A$305,0))</x:f>
        <x:v>1</x:v>
      </x:c>
      <x:c r="I195" s="18" t="n">
        <x:f>INDEX('Dated offers'!$G$7:$G$305,MATCH($Z195,'Dated offers'!$A$7:$A$305,0))</x:f>
        <x:v>1</x:v>
      </x:c>
      <x:c r="J195" s="18" t="n">
        <x:f>CEILING(MAX(G195,H195),I195)</x:f>
        <x:v>153</x:v>
      </x:c>
      <x:c r="K195" s="18" t="n">
        <x:v>153</x:v>
      </x:c>
      <x:c r="L195" s="18" t="n">
        <x:f>INDEX('Dated offers'!$I$7:$I$305,MATCH($Z195,'Dated offers'!$A$7:$A$305,0))</x:f>
        <x:v>100</x:v>
      </x:c>
      <x:c r="M195" s="25" t="n">
        <x:f>INDEX('Dated offers'!$J$7:$J$305,MATCH($Z195,'Dated offers'!$A$7:$A$305,0))</x:f>
        <x:v>0.0099</x:v>
      </x:c>
      <x:c r="N195" s="25" t="n">
        <x:f>INDEX('Dated offers'!$K$7:$K$305,MATCH($Z195,'Dated offers'!$A$7:$A$305,0))</x:f>
        <x:v>0</x:v>
      </x:c>
      <x:c r="O195" s="25" t="n">
        <x:f>F195*M195</x:f>
        <x:v>1.485</x:v>
      </x:c>
      <x:c r="P195" s="25" t="n">
        <x:f>G195*M195</x:f>
        <x:v>1.5147000000000002</x:v>
      </x:c>
      <x:c r="Q195" s="25" t="n">
        <x:f>K195*M195+N195</x:f>
        <x:v>1.5147000000000002</x:v>
      </x:c>
      <x:c r="R195" s="18" t="n">
        <x:f>K195-G195</x:f>
        <x:v>0</x:v>
      </x:c>
      <x:c r="S195" s="18" t="n">
        <x:f>INDEX('Dated offers'!$H$7:$H$305,MATCH($Z195,'Dated offers'!$A$7:$A$305,0))</x:f>
        <x:v>3541597</x:v>
      </x:c>
      <x:c r="T195" s="2" t="str">
        <x:f>IF(K195&lt;G195,"Order below requirement",IF(K195&lt;L195,"Below price tier",IF(ISNUMBER(S195),IF(K195&gt;S195,"Quantity exceeds snapshot","Within quantity snapshot"),"Stock not stated")))</x:f>
        <x:v>Within quantity snapshot</x:v>
      </x:c>
      <x:c r="U195" s="2" t="str">
        <x:f>INDEX('Dated offers'!$C$7:$C$305,MATCH($Z195,'Dated offers'!$A$7:$A$305,0))</x:f>
        <x:v>DigiKey</x:v>
      </x:c>
      <x:c r="V195" s="2" t="str">
        <x:f>INDEX('Dated offers'!$D$7:$D$305,MATCH($Z195,'Dated offers'!$A$7:$A$305,0))</x:f>
        <x:v>Not stated</x:v>
      </x:c>
      <x:c r="W195" s="24" t="n">
        <x:f>INDEX('Dated offers'!$E$7:$E$305,MATCH($Z195,'Dated offers'!$A$7:$A$305,0))</x:f>
        <x:v>46307.47807262732</x:v>
      </x:c>
      <x:c r="X195" s="2" t="b">
        <x:f>INDEX('Dated offers'!$N$7:$N$305,MATCH($Z195,'Dated offers'!$A$7:$A$305,0))</x:f>
        <x:v>0</x:v>
      </x:c>
      <x:c r="Y195" s="2" t="str">
        <x:f>INDEX('Dated offers'!$O$7:$O$305,MATCH($Z195,'Dated offers'!$A$7:$A$305,0))</x:f>
        <x:v>Unreserved inventory snapshot</x:v>
      </x:c>
      <x:c r="Z195" s="17" t="str">
        <x:v>OF0033</x:v>
      </x:c>
      <x:c r="AA195" s="2"/>
      <x:c r="AB195" s="2" t="str">
        <x:f>INDEX('Dated offers'!$Q$7:$Q$305,MATCH($Z195,'Dated offers'!$A$7:$A$305,0))</x:f>
        <x:v>https://www.digikey.com/en/products/detail/vishay-dale/CRCW04020000Z0ED/1177495</x:v>
      </x:c>
    </x:row>
    <x:row r="196" ht="24" customHeight="1">
      <x:c r="A196" s="2" t="str">
        <x:v>25 boards / 2% planning</x:v>
      </x:c>
      <x:c r="B196" s="17" t="str">
        <x:v>CRCW0402100KFKED</x:v>
      </x:c>
      <x:c r="C196" s="18" t="n">
        <x:v>25</x:v>
      </x:c>
      <x:c r="D196" s="27" t="n">
        <x:v>0.02</x:v>
      </x:c>
      <x:c r="E196" s="18" t="n">
        <x:f>INDEX('Assembly BOM'!$C$7:$C$162,MATCH($B196,'Assembly BOM'!$A$7:$A$162,0))</x:f>
        <x:v>17</x:v>
      </x:c>
      <x:c r="F196" s="18" t="n">
        <x:f>C196*E196</x:f>
        <x:v>425</x:v>
      </x:c>
      <x:c r="G196" s="18" t="n">
        <x:f>ROUNDUP(F196*(1+D196),0)</x:f>
        <x:v>434</x:v>
      </x:c>
      <x:c r="H196" s="18" t="n">
        <x:f>INDEX('Dated offers'!$F$7:$F$305,MATCH($Z196,'Dated offers'!$A$7:$A$305,0))</x:f>
        <x:v>100</x:v>
      </x:c>
      <x:c r="I196" s="18" t="n">
        <x:f>INDEX('Dated offers'!$G$7:$G$305,MATCH($Z196,'Dated offers'!$A$7:$A$305,0))</x:f>
        <x:v>100</x:v>
      </x:c>
      <x:c r="J196" s="18" t="n">
        <x:f>CEILING(MAX(G196,H196),I196)</x:f>
        <x:v>500</x:v>
      </x:c>
      <x:c r="K196" s="18" t="n">
        <x:v>500</x:v>
      </x:c>
      <x:c r="L196" s="18" t="n">
        <x:f>INDEX('Dated offers'!$I$7:$I$305,MATCH($Z196,'Dated offers'!$A$7:$A$305,0))</x:f>
        <x:v>100</x:v>
      </x:c>
      <x:c r="M196" s="25" t="n">
        <x:f>INDEX('Dated offers'!$J$7:$J$305,MATCH($Z196,'Dated offers'!$A$7:$A$305,0))</x:f>
        <x:v>0.0042</x:v>
      </x:c>
      <x:c r="N196" s="25" t="n">
        <x:f>INDEX('Dated offers'!$K$7:$K$305,MATCH($Z196,'Dated offers'!$A$7:$A$305,0))</x:f>
        <x:v>0</x:v>
      </x:c>
      <x:c r="O196" s="25" t="n">
        <x:f>F196*M196</x:f>
        <x:v>1.785</x:v>
      </x:c>
      <x:c r="P196" s="25" t="n">
        <x:f>G196*M196</x:f>
        <x:v>1.8228</x:v>
      </x:c>
      <x:c r="Q196" s="25" t="n">
        <x:f>K196*M196+N196</x:f>
        <x:v>2.1</x:v>
      </x:c>
      <x:c r="R196" s="18" t="n">
        <x:f>K196-G196</x:f>
        <x:v>66</x:v>
      </x:c>
      <x:c r="S196" s="18" t="n">
        <x:f>INDEX('Dated offers'!$H$7:$H$305,MATCH($Z196,'Dated offers'!$A$7:$A$305,0))</x:f>
        <x:v>49900</x:v>
      </x:c>
      <x:c r="T196" s="2" t="str">
        <x:f>IF(K196&lt;G196,"Order below requirement",IF(K196&lt;L196,"Below price tier",IF(ISNUMBER(S196),IF(K196&gt;S196,"Quantity exceeds snapshot","Within quantity snapshot"),"Stock not stated")))</x:f>
        <x:v>Within quantity snapshot</x:v>
      </x:c>
      <x:c r="U196" s="2" t="str">
        <x:f>INDEX('Dated offers'!$C$7:$C$305,MATCH($Z196,'Dated offers'!$A$7:$A$305,0))</x:f>
        <x:v>LCSC</x:v>
      </x:c>
      <x:c r="V196" s="2" t="str">
        <x:f>INDEX('Dated offers'!$D$7:$D$305,MATCH($Z196,'Dated offers'!$A$7:$A$305,0))</x:f>
        <x:v>C481918</x:v>
      </x:c>
      <x:c r="W196" s="24" t="n">
        <x:f>INDEX('Dated offers'!$E$7:$E$305,MATCH($Z196,'Dated offers'!$A$7:$A$305,0))</x:f>
        <x:v>46307.44741224537</x:v>
      </x:c>
      <x:c r="X196" s="2" t="b">
        <x:f>INDEX('Dated offers'!$N$7:$N$305,MATCH($Z196,'Dated offers'!$A$7:$A$305,0))</x:f>
        <x:v>0</x:v>
      </x:c>
      <x:c r="Y196" s="2" t="str">
        <x:f>INDEX('Dated offers'!$O$7:$O$305,MATCH($Z196,'Dated offers'!$A$7:$A$305,0))</x:f>
        <x:v>Unreserved inventory snapshot</x:v>
      </x:c>
      <x:c r="Z196" s="17" t="str">
        <x:v>OF0034</x:v>
      </x:c>
      <x:c r="AA196" s="2"/>
      <x:c r="AB196" s="2" t="str">
        <x:f>INDEX('Dated offers'!$Q$7:$Q$305,MATCH($Z196,'Dated offers'!$A$7:$A$305,0))</x:f>
        <x:v>https://www.lcsc.com/product-detail/C481918.html</x:v>
      </x:c>
    </x:row>
    <x:row r="197" ht="24" customHeight="1">
      <x:c r="A197" s="2" t="str">
        <x:v>25 boards / 2% planning</x:v>
      </x:c>
      <x:c r="B197" s="17" t="str">
        <x:v>CRCW0402100RFKED</x:v>
      </x:c>
      <x:c r="C197" s="18" t="n">
        <x:v>25</x:v>
      </x:c>
      <x:c r="D197" s="27" t="n">
        <x:v>0.02</x:v>
      </x:c>
      <x:c r="E197" s="18" t="n">
        <x:f>INDEX('Assembly BOM'!$C$7:$C$162,MATCH($B197,'Assembly BOM'!$A$7:$A$162,0))</x:f>
        <x:v>4</x:v>
      </x:c>
      <x:c r="F197" s="18" t="n">
        <x:f>C197*E197</x:f>
        <x:v>100</x:v>
      </x:c>
      <x:c r="G197" s="18" t="n">
        <x:f>ROUNDUP(F197*(1+D197),0)</x:f>
        <x:v>102</x:v>
      </x:c>
      <x:c r="H197" s="18" t="n">
        <x:f>INDEX('Dated offers'!$F$7:$F$305,MATCH($Z197,'Dated offers'!$A$7:$A$305,0))</x:f>
        <x:v>1</x:v>
      </x:c>
      <x:c r="I197" s="18" t="n">
        <x:f>INDEX('Dated offers'!$G$7:$G$305,MATCH($Z197,'Dated offers'!$A$7:$A$305,0))</x:f>
        <x:v>1</x:v>
      </x:c>
      <x:c r="J197" s="18" t="n">
        <x:f>CEILING(MAX(G197,H197),I197)</x:f>
        <x:v>102</x:v>
      </x:c>
      <x:c r="K197" s="18" t="n">
        <x:v>102</x:v>
      </x:c>
      <x:c r="L197" s="18" t="n">
        <x:f>INDEX('Dated offers'!$I$7:$I$305,MATCH($Z197,'Dated offers'!$A$7:$A$305,0))</x:f>
        <x:v>100</x:v>
      </x:c>
      <x:c r="M197" s="25" t="n">
        <x:f>INDEX('Dated offers'!$J$7:$J$305,MATCH($Z197,'Dated offers'!$A$7:$A$305,0))</x:f>
        <x:v>0.0157</x:v>
      </x:c>
      <x:c r="N197" s="25" t="n">
        <x:f>INDEX('Dated offers'!$K$7:$K$305,MATCH($Z197,'Dated offers'!$A$7:$A$305,0))</x:f>
        <x:v>0</x:v>
      </x:c>
      <x:c r="O197" s="25" t="n">
        <x:f>F197*M197</x:f>
        <x:v>1.5699999999999998</x:v>
      </x:c>
      <x:c r="P197" s="25" t="n">
        <x:f>G197*M197</x:f>
        <x:v>1.6014</x:v>
      </x:c>
      <x:c r="Q197" s="25" t="n">
        <x:f>K197*M197+N197</x:f>
        <x:v>1.6014</x:v>
      </x:c>
      <x:c r="R197" s="18" t="n">
        <x:f>K197-G197</x:f>
        <x:v>0</x:v>
      </x:c>
      <x:c r="S197" s="18" t="n">
        <x:f>INDEX('Dated offers'!$H$7:$H$305,MATCH($Z197,'Dated offers'!$A$7:$A$305,0))</x:f>
        <x:v>2318138</x:v>
      </x:c>
      <x:c r="T197" s="2" t="str">
        <x:f>IF(K197&lt;G197,"Order below requirement",IF(K197&lt;L197,"Below price tier",IF(ISNUMBER(S197),IF(K197&gt;S197,"Quantity exceeds snapshot","Within quantity snapshot"),"Stock not stated")))</x:f>
        <x:v>Within quantity snapshot</x:v>
      </x:c>
      <x:c r="U197" s="2" t="str">
        <x:f>INDEX('Dated offers'!$C$7:$C$305,MATCH($Z197,'Dated offers'!$A$7:$A$305,0))</x:f>
        <x:v>DigiKey</x:v>
      </x:c>
      <x:c r="V197" s="2" t="str">
        <x:f>INDEX('Dated offers'!$D$7:$D$305,MATCH($Z197,'Dated offers'!$A$7:$A$305,0))</x:f>
        <x:v>Not stated</x:v>
      </x:c>
      <x:c r="W197" s="24" t="n">
        <x:f>INDEX('Dated offers'!$E$7:$E$305,MATCH($Z197,'Dated offers'!$A$7:$A$305,0))</x:f>
        <x:v>46307.47807262732</x:v>
      </x:c>
      <x:c r="X197" s="2" t="b">
        <x:f>INDEX('Dated offers'!$N$7:$N$305,MATCH($Z197,'Dated offers'!$A$7:$A$305,0))</x:f>
        <x:v>0</x:v>
      </x:c>
      <x:c r="Y197" s="2" t="str">
        <x:f>INDEX('Dated offers'!$O$7:$O$305,MATCH($Z197,'Dated offers'!$A$7:$A$305,0))</x:f>
        <x:v>Unreserved inventory snapshot</x:v>
      </x:c>
      <x:c r="Z197" s="17" t="str">
        <x:v>OF0035</x:v>
      </x:c>
      <x:c r="AA197" s="2"/>
      <x:c r="AB197" s="2" t="str">
        <x:f>INDEX('Dated offers'!$Q$7:$Q$305,MATCH($Z197,'Dated offers'!$A$7:$A$305,0))</x:f>
        <x:v>https://www.digikey.com/en/products/detail/vishay-dale/CRCW0402100RFKED/1177893</x:v>
      </x:c>
    </x:row>
    <x:row r="198" ht="24" customHeight="1">
      <x:c r="A198" s="2" t="str">
        <x:v>25 boards / 2% planning</x:v>
      </x:c>
      <x:c r="B198" s="17" t="str">
        <x:v>CRCW040210K0FKED</x:v>
      </x:c>
      <x:c r="C198" s="18" t="n">
        <x:v>25</x:v>
      </x:c>
      <x:c r="D198" s="27" t="n">
        <x:v>0.02</x:v>
      </x:c>
      <x:c r="E198" s="18" t="n">
        <x:f>INDEX('Assembly BOM'!$C$7:$C$162,MATCH($B198,'Assembly BOM'!$A$7:$A$162,0))</x:f>
        <x:v>27</x:v>
      </x:c>
      <x:c r="F198" s="18" t="n">
        <x:f>C198*E198</x:f>
        <x:v>675</x:v>
      </x:c>
      <x:c r="G198" s="18" t="n">
        <x:f>ROUNDUP(F198*(1+D198),0)</x:f>
        <x:v>689</x:v>
      </x:c>
      <x:c r="H198" s="18" t="n">
        <x:f>INDEX('Dated offers'!$F$7:$F$305,MATCH($Z198,'Dated offers'!$A$7:$A$305,0))</x:f>
        <x:v>10</x:v>
      </x:c>
      <x:c r="I198" s="18" t="n">
        <x:f>INDEX('Dated offers'!$G$7:$G$305,MATCH($Z198,'Dated offers'!$A$7:$A$305,0))</x:f>
        <x:v>10</x:v>
      </x:c>
      <x:c r="J198" s="18" t="n">
        <x:f>CEILING(MAX(G198,H198),I198)</x:f>
        <x:v>690</x:v>
      </x:c>
      <x:c r="K198" s="18" t="n">
        <x:v>690</x:v>
      </x:c>
      <x:c r="L198" s="18" t="n">
        <x:f>INDEX('Dated offers'!$I$7:$I$305,MATCH($Z198,'Dated offers'!$A$7:$A$305,0))</x:f>
        <x:v>300</x:v>
      </x:c>
      <x:c r="M198" s="25" t="n">
        <x:f>INDEX('Dated offers'!$J$7:$J$305,MATCH($Z198,'Dated offers'!$A$7:$A$305,0))</x:f>
        <x:v>0.0022</x:v>
      </x:c>
      <x:c r="N198" s="25" t="n">
        <x:f>INDEX('Dated offers'!$K$7:$K$305,MATCH($Z198,'Dated offers'!$A$7:$A$305,0))</x:f>
        <x:v>0</x:v>
      </x:c>
      <x:c r="O198" s="25" t="n">
        <x:f>F198*M198</x:f>
        <x:v>1.485</x:v>
      </x:c>
      <x:c r="P198" s="25" t="n">
        <x:f>G198*M198</x:f>
        <x:v>1.5158</x:v>
      </x:c>
      <x:c r="Q198" s="25" t="n">
        <x:f>K198*M198+N198</x:f>
        <x:v>1.518</x:v>
      </x:c>
      <x:c r="R198" s="18" t="n">
        <x:f>K198-G198</x:f>
        <x:v>1</x:v>
      </x:c>
      <x:c r="S198" s="18" t="n">
        <x:f>INDEX('Dated offers'!$H$7:$H$305,MATCH($Z198,'Dated offers'!$A$7:$A$305,0))</x:f>
        <x:v>499990</x:v>
      </x:c>
      <x:c r="T198" s="2" t="str">
        <x:f>IF(K198&lt;G198,"Order below requirement",IF(K198&lt;L198,"Below price tier",IF(ISNUMBER(S198),IF(K198&gt;S198,"Quantity exceeds snapshot","Within quantity snapshot"),"Stock not stated")))</x:f>
        <x:v>Within quantity snapshot</x:v>
      </x:c>
      <x:c r="U198" s="2" t="str">
        <x:f>INDEX('Dated offers'!$C$7:$C$305,MATCH($Z198,'Dated offers'!$A$7:$A$305,0))</x:f>
        <x:v>LCSC</x:v>
      </x:c>
      <x:c r="V198" s="2" t="str">
        <x:f>INDEX('Dated offers'!$D$7:$D$305,MATCH($Z198,'Dated offers'!$A$7:$A$305,0))</x:f>
        <x:v>C71617</x:v>
      </x:c>
      <x:c r="W198" s="24" t="n">
        <x:f>INDEX('Dated offers'!$E$7:$E$305,MATCH($Z198,'Dated offers'!$A$7:$A$305,0))</x:f>
        <x:v>46307.44741956019</x:v>
      </x:c>
      <x:c r="X198" s="2" t="b">
        <x:f>INDEX('Dated offers'!$N$7:$N$305,MATCH($Z198,'Dated offers'!$A$7:$A$305,0))</x:f>
        <x:v>0</x:v>
      </x:c>
      <x:c r="Y198" s="2" t="str">
        <x:f>INDEX('Dated offers'!$O$7:$O$305,MATCH($Z198,'Dated offers'!$A$7:$A$305,0))</x:f>
        <x:v>Unreserved inventory snapshot</x:v>
      </x:c>
      <x:c r="Z198" s="17" t="str">
        <x:v>OF0036</x:v>
      </x:c>
      <x:c r="AA198" s="2"/>
      <x:c r="AB198" s="2" t="str">
        <x:f>INDEX('Dated offers'!$Q$7:$Q$305,MATCH($Z198,'Dated offers'!$A$7:$A$305,0))</x:f>
        <x:v>https://www.lcsc.com/product-detail/C71617.html</x:v>
      </x:c>
    </x:row>
    <x:row r="199" ht="24" customHeight="1">
      <x:c r="A199" s="2" t="str">
        <x:v>25 boards / 2% planning</x:v>
      </x:c>
      <x:c r="B199" s="17" t="str">
        <x:v>CRCW0402150KFKED</x:v>
      </x:c>
      <x:c r="C199" s="18" t="n">
        <x:v>25</x:v>
      </x:c>
      <x:c r="D199" s="27" t="n">
        <x:v>0.02</x:v>
      </x:c>
      <x:c r="E199" s="18" t="n">
        <x:f>INDEX('Assembly BOM'!$C$7:$C$162,MATCH($B199,'Assembly BOM'!$A$7:$A$162,0))</x:f>
        <x:v>1</x:v>
      </x:c>
      <x:c r="F199" s="18" t="n">
        <x:f>C199*E199</x:f>
        <x:v>25</x:v>
      </x:c>
      <x:c r="G199" s="18" t="n">
        <x:f>ROUNDUP(F199*(1+D199),0)</x:f>
        <x:v>26</x:v>
      </x:c>
      <x:c r="H199" s="18" t="n">
        <x:f>INDEX('Dated offers'!$F$7:$F$305,MATCH($Z199,'Dated offers'!$A$7:$A$305,0))</x:f>
        <x:v>1</x:v>
      </x:c>
      <x:c r="I199" s="18" t="n">
        <x:f>INDEX('Dated offers'!$G$7:$G$305,MATCH($Z199,'Dated offers'!$A$7:$A$305,0))</x:f>
        <x:v>1</x:v>
      </x:c>
      <x:c r="J199" s="18" t="n">
        <x:f>CEILING(MAX(G199,H199),I199)</x:f>
        <x:v>26</x:v>
      </x:c>
      <x:c r="K199" s="18" t="n">
        <x:v>26</x:v>
      </x:c>
      <x:c r="L199" s="18" t="n">
        <x:f>INDEX('Dated offers'!$I$7:$I$305,MATCH($Z199,'Dated offers'!$A$7:$A$305,0))</x:f>
        <x:v>25</x:v>
      </x:c>
      <x:c r="M199" s="25" t="n">
        <x:f>INDEX('Dated offers'!$J$7:$J$305,MATCH($Z199,'Dated offers'!$A$7:$A$305,0))</x:f>
        <x:v>0.0236</x:v>
      </x:c>
      <x:c r="N199" s="25" t="n">
        <x:f>INDEX('Dated offers'!$K$7:$K$305,MATCH($Z199,'Dated offers'!$A$7:$A$305,0))</x:f>
        <x:v>0</x:v>
      </x:c>
      <x:c r="O199" s="25" t="n">
        <x:f>F199*M199</x:f>
        <x:v>0.59</x:v>
      </x:c>
      <x:c r="P199" s="25" t="n">
        <x:f>G199*M199</x:f>
        <x:v>0.6136</x:v>
      </x:c>
      <x:c r="Q199" s="25" t="n">
        <x:f>K199*M199+N199</x:f>
        <x:v>0.6136</x:v>
      </x:c>
      <x:c r="R199" s="18" t="n">
        <x:f>K199-G199</x:f>
        <x:v>0</x:v>
      </x:c>
      <x:c r="S199" s="18" t="n">
        <x:f>INDEX('Dated offers'!$H$7:$H$305,MATCH($Z199,'Dated offers'!$A$7:$A$305,0))</x:f>
        <x:v>198771</x:v>
      </x:c>
      <x:c r="T199" s="2" t="str">
        <x:f>IF(K199&lt;G199,"Order below requirement",IF(K199&lt;L199,"Below price tier",IF(ISNUMBER(S199),IF(K199&gt;S199,"Quantity exceeds snapshot","Within quantity snapshot"),"Stock not stated")))</x:f>
        <x:v>Within quantity snapshot</x:v>
      </x:c>
      <x:c r="U199" s="2" t="str">
        <x:f>INDEX('Dated offers'!$C$7:$C$305,MATCH($Z199,'Dated offers'!$A$7:$A$305,0))</x:f>
        <x:v>DigiKey</x:v>
      </x:c>
      <x:c r="V199" s="2" t="str">
        <x:f>INDEX('Dated offers'!$D$7:$D$305,MATCH($Z199,'Dated offers'!$A$7:$A$305,0))</x:f>
        <x:v>Not stated</x:v>
      </x:c>
      <x:c r="W199" s="24" t="n">
        <x:f>INDEX('Dated offers'!$E$7:$E$305,MATCH($Z199,'Dated offers'!$A$7:$A$305,0))</x:f>
        <x:v>46307.478072604164</x:v>
      </x:c>
      <x:c r="X199" s="2" t="b">
        <x:f>INDEX('Dated offers'!$N$7:$N$305,MATCH($Z199,'Dated offers'!$A$7:$A$305,0))</x:f>
        <x:v>0</x:v>
      </x:c>
      <x:c r="Y199" s="2" t="str">
        <x:f>INDEX('Dated offers'!$O$7:$O$305,MATCH($Z199,'Dated offers'!$A$7:$A$305,0))</x:f>
        <x:v>Unreserved inventory snapshot</x:v>
      </x:c>
      <x:c r="Z199" s="17" t="str">
        <x:v>OF0037</x:v>
      </x:c>
      <x:c r="AA199" s="2"/>
      <x:c r="AB199" s="2" t="str">
        <x:f>INDEX('Dated offers'!$Q$7:$Q$305,MATCH($Z199,'Dated offers'!$A$7:$A$305,0))</x:f>
        <x:v>https://www.digikey.com/en/products/detail/vishay-dale/CRCW0402150KFKED/1178253</x:v>
      </x:c>
    </x:row>
    <x:row r="200" ht="24" customHeight="1">
      <x:c r="A200" s="2" t="str">
        <x:v>25 boards / 2% planning</x:v>
      </x:c>
      <x:c r="B200" s="17" t="str">
        <x:v>CRCW0402150RFKED</x:v>
      </x:c>
      <x:c r="C200" s="18" t="n">
        <x:v>25</x:v>
      </x:c>
      <x:c r="D200" s="27" t="n">
        <x:v>0.02</x:v>
      </x:c>
      <x:c r="E200" s="18" t="n">
        <x:f>INDEX('Assembly BOM'!$C$7:$C$162,MATCH($B200,'Assembly BOM'!$A$7:$A$162,0))</x:f>
        <x:v>1</x:v>
      </x:c>
      <x:c r="F200" s="18" t="n">
        <x:f>C200*E200</x:f>
        <x:v>25</x:v>
      </x:c>
      <x:c r="G200" s="18" t="n">
        <x:f>ROUNDUP(F200*(1+D200),0)</x:f>
        <x:v>26</x:v>
      </x:c>
      <x:c r="H200" s="18" t="n">
        <x:f>INDEX('Dated offers'!$F$7:$F$305,MATCH($Z200,'Dated offers'!$A$7:$A$305,0))</x:f>
        <x:v>1</x:v>
      </x:c>
      <x:c r="I200" s="18" t="n">
        <x:f>INDEX('Dated offers'!$G$7:$G$305,MATCH($Z200,'Dated offers'!$A$7:$A$305,0))</x:f>
        <x:v>1</x:v>
      </x:c>
      <x:c r="J200" s="18" t="n">
        <x:f>CEILING(MAX(G200,H200),I200)</x:f>
        <x:v>26</x:v>
      </x:c>
      <x:c r="K200" s="18" t="n">
        <x:v>26</x:v>
      </x:c>
      <x:c r="L200" s="18" t="n">
        <x:f>INDEX('Dated offers'!$I$7:$I$305,MATCH($Z200,'Dated offers'!$A$7:$A$305,0))</x:f>
        <x:v>25</x:v>
      </x:c>
      <x:c r="M200" s="25" t="n">
        <x:f>INDEX('Dated offers'!$J$7:$J$305,MATCH($Z200,'Dated offers'!$A$7:$A$305,0))</x:f>
        <x:v>0.0236</x:v>
      </x:c>
      <x:c r="N200" s="25" t="n">
        <x:f>INDEX('Dated offers'!$K$7:$K$305,MATCH($Z200,'Dated offers'!$A$7:$A$305,0))</x:f>
        <x:v>0</x:v>
      </x:c>
      <x:c r="O200" s="25" t="n">
        <x:f>F200*M200</x:f>
        <x:v>0.59</x:v>
      </x:c>
      <x:c r="P200" s="25" t="n">
        <x:f>G200*M200</x:f>
        <x:v>0.6136</x:v>
      </x:c>
      <x:c r="Q200" s="25" t="n">
        <x:f>K200*M200+N200</x:f>
        <x:v>0.6136</x:v>
      </x:c>
      <x:c r="R200" s="18" t="n">
        <x:f>K200-G200</x:f>
        <x:v>0</x:v>
      </x:c>
      <x:c r="S200" s="18" t="n">
        <x:f>INDEX('Dated offers'!$H$7:$H$305,MATCH($Z200,'Dated offers'!$A$7:$A$305,0))</x:f>
        <x:v>85136</x:v>
      </x:c>
      <x:c r="T200" s="2" t="str">
        <x:f>IF(K200&lt;G200,"Order below requirement",IF(K200&lt;L200,"Below price tier",IF(ISNUMBER(S200),IF(K200&gt;S200,"Quantity exceeds snapshot","Within quantity snapshot"),"Stock not stated")))</x:f>
        <x:v>Within quantity snapshot</x:v>
      </x:c>
      <x:c r="U200" s="2" t="str">
        <x:f>INDEX('Dated offers'!$C$7:$C$305,MATCH($Z200,'Dated offers'!$A$7:$A$305,0))</x:f>
        <x:v>DigiKey</x:v>
      </x:c>
      <x:c r="V200" s="2" t="str">
        <x:f>INDEX('Dated offers'!$D$7:$D$305,MATCH($Z200,'Dated offers'!$A$7:$A$305,0))</x:f>
        <x:v>Not stated</x:v>
      </x:c>
      <x:c r="W200" s="24" t="n">
        <x:f>INDEX('Dated offers'!$E$7:$E$305,MATCH($Z200,'Dated offers'!$A$7:$A$305,0))</x:f>
        <x:v>46307.478072604164</x:v>
      </x:c>
      <x:c r="X200" s="2" t="b">
        <x:f>INDEX('Dated offers'!$N$7:$N$305,MATCH($Z200,'Dated offers'!$A$7:$A$305,0))</x:f>
        <x:v>0</x:v>
      </x:c>
      <x:c r="Y200" s="2" t="str">
        <x:f>INDEX('Dated offers'!$O$7:$O$305,MATCH($Z200,'Dated offers'!$A$7:$A$305,0))</x:f>
        <x:v>Unreserved inventory snapshot</x:v>
      </x:c>
      <x:c r="Z200" s="17" t="str">
        <x:v>OF0038</x:v>
      </x:c>
      <x:c r="AA200" s="2"/>
      <x:c r="AB200" s="2" t="str">
        <x:f>INDEX('Dated offers'!$Q$7:$Q$305,MATCH($Z200,'Dated offers'!$A$7:$A$305,0))</x:f>
        <x:v>https://www.digikey.com/en/products/detail/vishay-dale/CRCW0402150RFKED/1177911</x:v>
      </x:c>
    </x:row>
    <x:row r="201" ht="24" customHeight="1">
      <x:c r="A201" s="2" t="str">
        <x:v>25 boards / 2% planning</x:v>
      </x:c>
      <x:c r="B201" s="17" t="str">
        <x:v>CRCW040215K0FKED</x:v>
      </x:c>
      <x:c r="C201" s="18" t="n">
        <x:v>25</x:v>
      </x:c>
      <x:c r="D201" s="27" t="n">
        <x:v>0.02</x:v>
      </x:c>
      <x:c r="E201" s="18" t="n">
        <x:f>INDEX('Assembly BOM'!$C$7:$C$162,MATCH($B201,'Assembly BOM'!$A$7:$A$162,0))</x:f>
        <x:v>1</x:v>
      </x:c>
      <x:c r="F201" s="18" t="n">
        <x:f>C201*E201</x:f>
        <x:v>25</x:v>
      </x:c>
      <x:c r="G201" s="18" t="n">
        <x:f>ROUNDUP(F201*(1+D201),0)</x:f>
        <x:v>26</x:v>
      </x:c>
      <x:c r="H201" s="18" t="n">
        <x:f>INDEX('Dated offers'!$F$7:$F$305,MATCH($Z201,'Dated offers'!$A$7:$A$305,0))</x:f>
        <x:v>1</x:v>
      </x:c>
      <x:c r="I201" s="18" t="n">
        <x:f>INDEX('Dated offers'!$G$7:$G$305,MATCH($Z201,'Dated offers'!$A$7:$A$305,0))</x:f>
        <x:v>1</x:v>
      </x:c>
      <x:c r="J201" s="18" t="n">
        <x:f>CEILING(MAX(G201,H201),I201)</x:f>
        <x:v>26</x:v>
      </x:c>
      <x:c r="K201" s="18" t="n">
        <x:v>26</x:v>
      </x:c>
      <x:c r="L201" s="18" t="n">
        <x:f>INDEX('Dated offers'!$I$7:$I$305,MATCH($Z201,'Dated offers'!$A$7:$A$305,0))</x:f>
        <x:v>25</x:v>
      </x:c>
      <x:c r="M201" s="25" t="n">
        <x:f>INDEX('Dated offers'!$J$7:$J$305,MATCH($Z201,'Dated offers'!$A$7:$A$305,0))</x:f>
        <x:v>0.0236</x:v>
      </x:c>
      <x:c r="N201" s="25" t="n">
        <x:f>INDEX('Dated offers'!$K$7:$K$305,MATCH($Z201,'Dated offers'!$A$7:$A$305,0))</x:f>
        <x:v>0</x:v>
      </x:c>
      <x:c r="O201" s="25" t="n">
        <x:f>F201*M201</x:f>
        <x:v>0.59</x:v>
      </x:c>
      <x:c r="P201" s="25" t="n">
        <x:f>G201*M201</x:f>
        <x:v>0.6136</x:v>
      </x:c>
      <x:c r="Q201" s="25" t="n">
        <x:f>K201*M201+N201</x:f>
        <x:v>0.6136</x:v>
      </x:c>
      <x:c r="R201" s="18" t="n">
        <x:f>K201-G201</x:f>
        <x:v>0</x:v>
      </x:c>
      <x:c r="S201" s="18" t="n">
        <x:f>INDEX('Dated offers'!$H$7:$H$305,MATCH($Z201,'Dated offers'!$A$7:$A$305,0))</x:f>
        <x:v>515721</x:v>
      </x:c>
      <x:c r="T201" s="2" t="str">
        <x:f>IF(K201&lt;G201,"Order below requirement",IF(K201&lt;L201,"Below price tier",IF(ISNUMBER(S201),IF(K201&gt;S201,"Quantity exceeds snapshot","Within quantity snapshot"),"Stock not stated")))</x:f>
        <x:v>Within quantity snapshot</x:v>
      </x:c>
      <x:c r="U201" s="2" t="str">
        <x:f>INDEX('Dated offers'!$C$7:$C$305,MATCH($Z201,'Dated offers'!$A$7:$A$305,0))</x:f>
        <x:v>DigiKey</x:v>
      </x:c>
      <x:c r="V201" s="2" t="str">
        <x:f>INDEX('Dated offers'!$D$7:$D$305,MATCH($Z201,'Dated offers'!$A$7:$A$305,0))</x:f>
        <x:v>Not stated</x:v>
      </x:c>
      <x:c r="W201" s="24" t="n">
        <x:f>INDEX('Dated offers'!$E$7:$E$305,MATCH($Z201,'Dated offers'!$A$7:$A$305,0))</x:f>
        <x:v>46307.478072604164</x:v>
      </x:c>
      <x:c r="X201" s="2" t="b">
        <x:f>INDEX('Dated offers'!$N$7:$N$305,MATCH($Z201,'Dated offers'!$A$7:$A$305,0))</x:f>
        <x:v>0</x:v>
      </x:c>
      <x:c r="Y201" s="2" t="str">
        <x:f>INDEX('Dated offers'!$O$7:$O$305,MATCH($Z201,'Dated offers'!$A$7:$A$305,0))</x:f>
        <x:v>Unreserved inventory snapshot</x:v>
      </x:c>
      <x:c r="Z201" s="17" t="str">
        <x:v>OF0039</x:v>
      </x:c>
      <x:c r="AA201" s="2"/>
      <x:c r="AB201" s="2" t="str">
        <x:f>INDEX('Dated offers'!$Q$7:$Q$305,MATCH($Z201,'Dated offers'!$A$7:$A$305,0))</x:f>
        <x:v>https://www.digikey.com/en/products/detail/vishay-dale/CRCW040215K0FKED/1178139</x:v>
      </x:c>
    </x:row>
    <x:row r="202" ht="24" customHeight="1">
      <x:c r="A202" s="2" t="str">
        <x:v>25 boards / 2% planning</x:v>
      </x:c>
      <x:c r="B202" s="17" t="str">
        <x:v>CRCW040218K2FKED</x:v>
      </x:c>
      <x:c r="C202" s="18" t="n">
        <x:v>25</x:v>
      </x:c>
      <x:c r="D202" s="27" t="n">
        <x:v>0.02</x:v>
      </x:c>
      <x:c r="E202" s="18" t="n">
        <x:f>INDEX('Assembly BOM'!$C$7:$C$162,MATCH($B202,'Assembly BOM'!$A$7:$A$162,0))</x:f>
        <x:v>2</x:v>
      </x:c>
      <x:c r="F202" s="18" t="n">
        <x:f>C202*E202</x:f>
        <x:v>50</x:v>
      </x:c>
      <x:c r="G202" s="18" t="n">
        <x:f>ROUNDUP(F202*(1+D202),0)</x:f>
        <x:v>51</x:v>
      </x:c>
      <x:c r="H202" s="18" t="n">
        <x:f>INDEX('Dated offers'!$F$7:$F$305,MATCH($Z202,'Dated offers'!$A$7:$A$305,0))</x:f>
        <x:v>1</x:v>
      </x:c>
      <x:c r="I202" s="18" t="n">
        <x:f>INDEX('Dated offers'!$G$7:$G$305,MATCH($Z202,'Dated offers'!$A$7:$A$305,0))</x:f>
        <x:v>1</x:v>
      </x:c>
      <x:c r="J202" s="18" t="n">
        <x:f>CEILING(MAX(G202,H202),I202)</x:f>
        <x:v>51</x:v>
      </x:c>
      <x:c r="K202" s="18" t="n">
        <x:v>51</x:v>
      </x:c>
      <x:c r="L202" s="18" t="n">
        <x:f>INDEX('Dated offers'!$I$7:$I$305,MATCH($Z202,'Dated offers'!$A$7:$A$305,0))</x:f>
        <x:v>50</x:v>
      </x:c>
      <x:c r="M202" s="25" t="n">
        <x:f>INDEX('Dated offers'!$J$7:$J$305,MATCH($Z202,'Dated offers'!$A$7:$A$305,0))</x:f>
        <x:v>0.0192</x:v>
      </x:c>
      <x:c r="N202" s="25" t="n">
        <x:f>INDEX('Dated offers'!$K$7:$K$305,MATCH($Z202,'Dated offers'!$A$7:$A$305,0))</x:f>
        <x:v>0</x:v>
      </x:c>
      <x:c r="O202" s="25" t="n">
        <x:f>F202*M202</x:f>
        <x:v>0.96</x:v>
      </x:c>
      <x:c r="P202" s="25" t="n">
        <x:f>G202*M202</x:f>
        <x:v>0.9792</x:v>
      </x:c>
      <x:c r="Q202" s="25" t="n">
        <x:f>K202*M202+N202</x:f>
        <x:v>0.9792</x:v>
      </x:c>
      <x:c r="R202" s="18" t="n">
        <x:f>K202-G202</x:f>
        <x:v>0</x:v>
      </x:c>
      <x:c r="S202" s="18" t="n">
        <x:f>INDEX('Dated offers'!$H$7:$H$305,MATCH($Z202,'Dated offers'!$A$7:$A$305,0))</x:f>
        <x:v>140682</x:v>
      </x:c>
      <x:c r="T202" s="2" t="str">
        <x:f>IF(K202&lt;G202,"Order below requirement",IF(K202&lt;L202,"Below price tier",IF(ISNUMBER(S202),IF(K202&gt;S202,"Quantity exceeds snapshot","Within quantity snapshot"),"Stock not stated")))</x:f>
        <x:v>Within quantity snapshot</x:v>
      </x:c>
      <x:c r="U202" s="2" t="str">
        <x:f>INDEX('Dated offers'!$C$7:$C$305,MATCH($Z202,'Dated offers'!$A$7:$A$305,0))</x:f>
        <x:v>DigiKey</x:v>
      </x:c>
      <x:c r="V202" s="2" t="str">
        <x:f>INDEX('Dated offers'!$D$7:$D$305,MATCH($Z202,'Dated offers'!$A$7:$A$305,0))</x:f>
        <x:v>Not stated</x:v>
      </x:c>
      <x:c r="W202" s="24" t="n">
        <x:f>INDEX('Dated offers'!$E$7:$E$305,MATCH($Z202,'Dated offers'!$A$7:$A$305,0))</x:f>
        <x:v>46307.478072604164</x:v>
      </x:c>
      <x:c r="X202" s="2" t="b">
        <x:f>INDEX('Dated offers'!$N$7:$N$305,MATCH($Z202,'Dated offers'!$A$7:$A$305,0))</x:f>
        <x:v>0</x:v>
      </x:c>
      <x:c r="Y202" s="2" t="str">
        <x:f>INDEX('Dated offers'!$O$7:$O$305,MATCH($Z202,'Dated offers'!$A$7:$A$305,0))</x:f>
        <x:v>Unreserved inventory snapshot</x:v>
      </x:c>
      <x:c r="Z202" s="17" t="str">
        <x:v>OF0040</x:v>
      </x:c>
      <x:c r="AA202" s="2"/>
      <x:c r="AB202" s="2" t="str">
        <x:f>INDEX('Dated offers'!$Q$7:$Q$305,MATCH($Z202,'Dated offers'!$A$7:$A$305,0))</x:f>
        <x:v>https://www.digikey.com/en/products/detail/vishay-dale/CRCW040218K2FKED/1183265</x:v>
      </x:c>
    </x:row>
    <x:row r="203" ht="24" customHeight="1">
      <x:c r="A203" s="2" t="str">
        <x:v>25 boards / 2% planning</x:v>
      </x:c>
      <x:c r="B203" s="17" t="str">
        <x:v>CRCW04021K00FKED</x:v>
      </x:c>
      <x:c r="C203" s="18" t="n">
        <x:v>25</x:v>
      </x:c>
      <x:c r="D203" s="27" t="n">
        <x:v>0.02</x:v>
      </x:c>
      <x:c r="E203" s="18" t="n">
        <x:f>INDEX('Assembly BOM'!$C$7:$C$162,MATCH($B203,'Assembly BOM'!$A$7:$A$162,0))</x:f>
        <x:v>11</x:v>
      </x:c>
      <x:c r="F203" s="18" t="n">
        <x:f>C203*E203</x:f>
        <x:v>275</x:v>
      </x:c>
      <x:c r="G203" s="18" t="n">
        <x:f>ROUNDUP(F203*(1+D203),0)</x:f>
        <x:v>281</x:v>
      </x:c>
      <x:c r="H203" s="18" t="n">
        <x:f>INDEX('Dated offers'!$F$7:$F$305,MATCH($Z203,'Dated offers'!$A$7:$A$305,0))</x:f>
        <x:v>1</x:v>
      </x:c>
      <x:c r="I203" s="18" t="n">
        <x:f>INDEX('Dated offers'!$G$7:$G$305,MATCH($Z203,'Dated offers'!$A$7:$A$305,0))</x:f>
        <x:v>1</x:v>
      </x:c>
      <x:c r="J203" s="18" t="n">
        <x:f>CEILING(MAX(G203,H203),I203)</x:f>
        <x:v>281</x:v>
      </x:c>
      <x:c r="K203" s="18" t="n">
        <x:v>281</x:v>
      </x:c>
      <x:c r="L203" s="18" t="n">
        <x:f>INDEX('Dated offers'!$I$7:$I$305,MATCH($Z203,'Dated offers'!$A$7:$A$305,0))</x:f>
        <x:v>250</x:v>
      </x:c>
      <x:c r="M203" s="25" t="n">
        <x:f>INDEX('Dated offers'!$J$7:$J$305,MATCH($Z203,'Dated offers'!$A$7:$A$305,0))</x:f>
        <x:v>0.01228</x:v>
      </x:c>
      <x:c r="N203" s="25" t="n">
        <x:f>INDEX('Dated offers'!$K$7:$K$305,MATCH($Z203,'Dated offers'!$A$7:$A$305,0))</x:f>
        <x:v>0</x:v>
      </x:c>
      <x:c r="O203" s="25" t="n">
        <x:f>F203*M203</x:f>
        <x:v>3.377</x:v>
      </x:c>
      <x:c r="P203" s="25" t="n">
        <x:f>G203*M203</x:f>
        <x:v>3.4506799999999997</x:v>
      </x:c>
      <x:c r="Q203" s="25" t="n">
        <x:f>K203*M203+N203</x:f>
        <x:v>3.4506799999999997</x:v>
      </x:c>
      <x:c r="R203" s="18" t="n">
        <x:f>K203-G203</x:f>
        <x:v>0</x:v>
      </x:c>
      <x:c r="S203" s="18" t="n">
        <x:f>INDEX('Dated offers'!$H$7:$H$305,MATCH($Z203,'Dated offers'!$A$7:$A$305,0))</x:f>
        <x:v>4776908</x:v>
      </x:c>
      <x:c r="T203" s="2" t="str">
        <x:f>IF(K203&lt;G203,"Order below requirement",IF(K203&lt;L203,"Below price tier",IF(ISNUMBER(S203),IF(K203&gt;S203,"Quantity exceeds snapshot","Within quantity snapshot"),"Stock not stated")))</x:f>
        <x:v>Within quantity snapshot</x:v>
      </x:c>
      <x:c r="U203" s="2" t="str">
        <x:f>INDEX('Dated offers'!$C$7:$C$305,MATCH($Z203,'Dated offers'!$A$7:$A$305,0))</x:f>
        <x:v>DigiKey</x:v>
      </x:c>
      <x:c r="V203" s="2" t="str">
        <x:f>INDEX('Dated offers'!$D$7:$D$305,MATCH($Z203,'Dated offers'!$A$7:$A$305,0))</x:f>
        <x:v>Not stated</x:v>
      </x:c>
      <x:c r="W203" s="24" t="n">
        <x:f>INDEX('Dated offers'!$E$7:$E$305,MATCH($Z203,'Dated offers'!$A$7:$A$305,0))</x:f>
        <x:v>46307.47807265046</x:v>
      </x:c>
      <x:c r="X203" s="2" t="b">
        <x:f>INDEX('Dated offers'!$N$7:$N$305,MATCH($Z203,'Dated offers'!$A$7:$A$305,0))</x:f>
        <x:v>0</x:v>
      </x:c>
      <x:c r="Y203" s="2" t="str">
        <x:f>INDEX('Dated offers'!$O$7:$O$305,MATCH($Z203,'Dated offers'!$A$7:$A$305,0))</x:f>
        <x:v>Unreserved inventory snapshot</x:v>
      </x:c>
      <x:c r="Z203" s="17" t="str">
        <x:v>OF0041</x:v>
      </x:c>
      <x:c r="AA203" s="2"/>
      <x:c r="AB203" s="2" t="str">
        <x:f>INDEX('Dated offers'!$Q$7:$Q$305,MATCH($Z203,'Dated offers'!$A$7:$A$305,0))</x:f>
        <x:v>https://www.digikey.com/en/products/detail/vishay-dale/CRCW04021K00FKED/1178007</x:v>
      </x:c>
    </x:row>
    <x:row r="204" ht="24" customHeight="1">
      <x:c r="A204" s="2" t="str">
        <x:v>25 boards / 2% planning</x:v>
      </x:c>
      <x:c r="B204" s="17" t="str">
        <x:v>CRCW04021M00FKED</x:v>
      </x:c>
      <x:c r="C204" s="18" t="n">
        <x:v>25</x:v>
      </x:c>
      <x:c r="D204" s="27" t="n">
        <x:v>0.02</x:v>
      </x:c>
      <x:c r="E204" s="18" t="n">
        <x:f>INDEX('Assembly BOM'!$C$7:$C$162,MATCH($B204,'Assembly BOM'!$A$7:$A$162,0))</x:f>
        <x:v>2</x:v>
      </x:c>
      <x:c r="F204" s="18" t="n">
        <x:f>C204*E204</x:f>
        <x:v>50</x:v>
      </x:c>
      <x:c r="G204" s="18" t="n">
        <x:f>ROUNDUP(F204*(1+D204),0)</x:f>
        <x:v>51</x:v>
      </x:c>
      <x:c r="H204" s="18" t="n">
        <x:f>INDEX('Dated offers'!$F$7:$F$305,MATCH($Z204,'Dated offers'!$A$7:$A$305,0))</x:f>
        <x:v>1</x:v>
      </x:c>
      <x:c r="I204" s="18" t="n">
        <x:f>INDEX('Dated offers'!$G$7:$G$305,MATCH($Z204,'Dated offers'!$A$7:$A$305,0))</x:f>
        <x:v>1</x:v>
      </x:c>
      <x:c r="J204" s="18" t="n">
        <x:f>CEILING(MAX(G204,H204),I204)</x:f>
        <x:v>51</x:v>
      </x:c>
      <x:c r="K204" s="18" t="n">
        <x:v>51</x:v>
      </x:c>
      <x:c r="L204" s="18" t="n">
        <x:f>INDEX('Dated offers'!$I$7:$I$305,MATCH($Z204,'Dated offers'!$A$7:$A$305,0))</x:f>
        <x:v>50</x:v>
      </x:c>
      <x:c r="M204" s="25" t="n">
        <x:f>INDEX('Dated offers'!$J$7:$J$305,MATCH($Z204,'Dated offers'!$A$7:$A$305,0))</x:f>
        <x:v>0.0192</x:v>
      </x:c>
      <x:c r="N204" s="25" t="n">
        <x:f>INDEX('Dated offers'!$K$7:$K$305,MATCH($Z204,'Dated offers'!$A$7:$A$305,0))</x:f>
        <x:v>0</x:v>
      </x:c>
      <x:c r="O204" s="25" t="n">
        <x:f>F204*M204</x:f>
        <x:v>0.96</x:v>
      </x:c>
      <x:c r="P204" s="25" t="n">
        <x:f>G204*M204</x:f>
        <x:v>0.9792</x:v>
      </x:c>
      <x:c r="Q204" s="25" t="n">
        <x:f>K204*M204+N204</x:f>
        <x:v>0.9792</x:v>
      </x:c>
      <x:c r="R204" s="18" t="n">
        <x:f>K204-G204</x:f>
        <x:v>0</x:v>
      </x:c>
      <x:c r="S204" s="18" t="n">
        <x:f>INDEX('Dated offers'!$H$7:$H$305,MATCH($Z204,'Dated offers'!$A$7:$A$305,0))</x:f>
        <x:v>1403164</x:v>
      </x:c>
      <x:c r="T204" s="2" t="str">
        <x:f>IF(K204&lt;G204,"Order below requirement",IF(K204&lt;L204,"Below price tier",IF(ISNUMBER(S204),IF(K204&gt;S204,"Quantity exceeds snapshot","Within quantity snapshot"),"Stock not stated")))</x:f>
        <x:v>Within quantity snapshot</x:v>
      </x:c>
      <x:c r="U204" s="2" t="str">
        <x:f>INDEX('Dated offers'!$C$7:$C$305,MATCH($Z204,'Dated offers'!$A$7:$A$305,0))</x:f>
        <x:v>DigiKey</x:v>
      </x:c>
      <x:c r="V204" s="2" t="str">
        <x:f>INDEX('Dated offers'!$D$7:$D$305,MATCH($Z204,'Dated offers'!$A$7:$A$305,0))</x:f>
        <x:v>Not stated</x:v>
      </x:c>
      <x:c r="W204" s="24" t="n">
        <x:f>INDEX('Dated offers'!$E$7:$E$305,MATCH($Z204,'Dated offers'!$A$7:$A$305,0))</x:f>
        <x:v>46307.47807265046</x:v>
      </x:c>
      <x:c r="X204" s="2" t="b">
        <x:f>INDEX('Dated offers'!$N$7:$N$305,MATCH($Z204,'Dated offers'!$A$7:$A$305,0))</x:f>
        <x:v>0</x:v>
      </x:c>
      <x:c r="Y204" s="2" t="str">
        <x:f>INDEX('Dated offers'!$O$7:$O$305,MATCH($Z204,'Dated offers'!$A$7:$A$305,0))</x:f>
        <x:v>Unreserved inventory snapshot</x:v>
      </x:c>
      <x:c r="Z204" s="17" t="str">
        <x:v>OF0042</x:v>
      </x:c>
      <x:c r="AA204" s="2"/>
      <x:c r="AB204" s="2" t="str">
        <x:f>INDEX('Dated offers'!$Q$7:$Q$305,MATCH($Z204,'Dated offers'!$A$7:$A$305,0))</x:f>
        <x:v>https://www.digikey.com/en/products/detail/vishay-dale/CRCW04021M00FKED/1183465</x:v>
      </x:c>
    </x:row>
    <x:row r="205" ht="24" customHeight="1">
      <x:c r="A205" s="2" t="str">
        <x:v>25 boards / 2% planning</x:v>
      </x:c>
      <x:c r="B205" s="17" t="str">
        <x:v>CRCW040220K0FKED</x:v>
      </x:c>
      <x:c r="C205" s="18" t="n">
        <x:v>25</x:v>
      </x:c>
      <x:c r="D205" s="27" t="n">
        <x:v>0.02</x:v>
      </x:c>
      <x:c r="E205" s="18" t="n">
        <x:f>INDEX('Assembly BOM'!$C$7:$C$162,MATCH($B205,'Assembly BOM'!$A$7:$A$162,0))</x:f>
        <x:v>3</x:v>
      </x:c>
      <x:c r="F205" s="18" t="n">
        <x:f>C205*E205</x:f>
        <x:v>75</x:v>
      </x:c>
      <x:c r="G205" s="18" t="n">
        <x:f>ROUNDUP(F205*(1+D205),0)</x:f>
        <x:v>77</x:v>
      </x:c>
      <x:c r="H205" s="18" t="n">
        <x:f>INDEX('Dated offers'!$F$7:$F$305,MATCH($Z205,'Dated offers'!$A$7:$A$305,0))</x:f>
        <x:v>1</x:v>
      </x:c>
      <x:c r="I205" s="18" t="n">
        <x:f>INDEX('Dated offers'!$G$7:$G$305,MATCH($Z205,'Dated offers'!$A$7:$A$305,0))</x:f>
        <x:v>1</x:v>
      </x:c>
      <x:c r="J205" s="18" t="n">
        <x:f>CEILING(MAX(G205,H205),I205)</x:f>
        <x:v>77</x:v>
      </x:c>
      <x:c r="K205" s="18" t="n">
        <x:v>77</x:v>
      </x:c>
      <x:c r="L205" s="18" t="n">
        <x:f>INDEX('Dated offers'!$I$7:$I$305,MATCH($Z205,'Dated offers'!$A$7:$A$305,0))</x:f>
        <x:v>50</x:v>
      </x:c>
      <x:c r="M205" s="25" t="n">
        <x:f>INDEX('Dated offers'!$J$7:$J$305,MATCH($Z205,'Dated offers'!$A$7:$A$305,0))</x:f>
        <x:v>0.0192</x:v>
      </x:c>
      <x:c r="N205" s="25" t="n">
        <x:f>INDEX('Dated offers'!$K$7:$K$305,MATCH($Z205,'Dated offers'!$A$7:$A$305,0))</x:f>
        <x:v>0</x:v>
      </x:c>
      <x:c r="O205" s="25" t="n">
        <x:f>F205*M205</x:f>
        <x:v>1.44</x:v>
      </x:c>
      <x:c r="P205" s="25" t="n">
        <x:f>G205*M205</x:f>
        <x:v>1.4784</x:v>
      </x:c>
      <x:c r="Q205" s="25" t="n">
        <x:f>K205*M205+N205</x:f>
        <x:v>1.4784</x:v>
      </x:c>
      <x:c r="R205" s="18" t="n">
        <x:f>K205-G205</x:f>
        <x:v>0</x:v>
      </x:c>
      <x:c r="S205" s="18" t="n">
        <x:f>INDEX('Dated offers'!$H$7:$H$305,MATCH($Z205,'Dated offers'!$A$7:$A$305,0))</x:f>
        <x:v>878975</x:v>
      </x:c>
      <x:c r="T205" s="2" t="str">
        <x:f>IF(K205&lt;G205,"Order below requirement",IF(K205&lt;L205,"Below price tier",IF(ISNUMBER(S205),IF(K205&gt;S205,"Quantity exceeds snapshot","Within quantity snapshot"),"Stock not stated")))</x:f>
        <x:v>Within quantity snapshot</x:v>
      </x:c>
      <x:c r="U205" s="2" t="str">
        <x:f>INDEX('Dated offers'!$C$7:$C$305,MATCH($Z205,'Dated offers'!$A$7:$A$305,0))</x:f>
        <x:v>DigiKey</x:v>
      </x:c>
      <x:c r="V205" s="2" t="str">
        <x:f>INDEX('Dated offers'!$D$7:$D$305,MATCH($Z205,'Dated offers'!$A$7:$A$305,0))</x:f>
        <x:v>Not stated</x:v>
      </x:c>
      <x:c r="W205" s="24" t="n">
        <x:f>INDEX('Dated offers'!$E$7:$E$305,MATCH($Z205,'Dated offers'!$A$7:$A$305,0))</x:f>
        <x:v>46307.47807265046</x:v>
      </x:c>
      <x:c r="X205" s="2" t="b">
        <x:f>INDEX('Dated offers'!$N$7:$N$305,MATCH($Z205,'Dated offers'!$A$7:$A$305,0))</x:f>
        <x:v>0</x:v>
      </x:c>
      <x:c r="Y205" s="2" t="str">
        <x:f>INDEX('Dated offers'!$O$7:$O$305,MATCH($Z205,'Dated offers'!$A$7:$A$305,0))</x:f>
        <x:v>Unreserved inventory snapshot</x:v>
      </x:c>
      <x:c r="Z205" s="17" t="str">
        <x:v>OF0043</x:v>
      </x:c>
      <x:c r="AA205" s="2"/>
      <x:c r="AB205" s="2" t="str">
        <x:f>INDEX('Dated offers'!$Q$7:$Q$305,MATCH($Z205,'Dated offers'!$A$7:$A$305,0))</x:f>
        <x:v>https://www.digikey.com/en/products/detail/vishay-dale/CRCW040220K0FKED/1178153</x:v>
      </x:c>
    </x:row>
    <x:row r="206" ht="24" customHeight="1">
      <x:c r="A206" s="2" t="str">
        <x:v>25 boards / 2% planning</x:v>
      </x:c>
      <x:c r="B206" s="17" t="str">
        <x:v>CRCW040222R0FKED</x:v>
      </x:c>
      <x:c r="C206" s="18" t="n">
        <x:v>25</x:v>
      </x:c>
      <x:c r="D206" s="27" t="n">
        <x:v>0.02</x:v>
      </x:c>
      <x:c r="E206" s="18" t="n">
        <x:f>INDEX('Assembly BOM'!$C$7:$C$162,MATCH($B206,'Assembly BOM'!$A$7:$A$162,0))</x:f>
        <x:v>9</x:v>
      </x:c>
      <x:c r="F206" s="18" t="n">
        <x:f>C206*E206</x:f>
        <x:v>225</x:v>
      </x:c>
      <x:c r="G206" s="18" t="n">
        <x:f>ROUNDUP(F206*(1+D206),0)</x:f>
        <x:v>230</x:v>
      </x:c>
      <x:c r="H206" s="18" t="n">
        <x:f>INDEX('Dated offers'!$F$7:$F$305,MATCH($Z206,'Dated offers'!$A$7:$A$305,0))</x:f>
        <x:v>1</x:v>
      </x:c>
      <x:c r="I206" s="18" t="n">
        <x:f>INDEX('Dated offers'!$G$7:$G$305,MATCH($Z206,'Dated offers'!$A$7:$A$305,0))</x:f>
        <x:v>1</x:v>
      </x:c>
      <x:c r="J206" s="18" t="n">
        <x:f>CEILING(MAX(G206,H206),I206)</x:f>
        <x:v>230</x:v>
      </x:c>
      <x:c r="K206" s="18" t="n">
        <x:v>250</x:v>
      </x:c>
      <x:c r="L206" s="18" t="n">
        <x:f>INDEX('Dated offers'!$I$7:$I$305,MATCH($Z206,'Dated offers'!$A$7:$A$305,0))</x:f>
        <x:v>250</x:v>
      </x:c>
      <x:c r="M206" s="25" t="n">
        <x:f>INDEX('Dated offers'!$J$7:$J$305,MATCH($Z206,'Dated offers'!$A$7:$A$305,0))</x:f>
        <x:v>0.01228</x:v>
      </x:c>
      <x:c r="N206" s="25" t="n">
        <x:f>INDEX('Dated offers'!$K$7:$K$305,MATCH($Z206,'Dated offers'!$A$7:$A$305,0))</x:f>
        <x:v>0</x:v>
      </x:c>
      <x:c r="O206" s="25" t="n">
        <x:f>F206*M206</x:f>
        <x:v>2.763</x:v>
      </x:c>
      <x:c r="P206" s="25" t="n">
        <x:f>G206*M206</x:f>
        <x:v>2.8244</x:v>
      </x:c>
      <x:c r="Q206" s="25" t="n">
        <x:f>K206*M206+N206</x:f>
        <x:v>3.07</x:v>
      </x:c>
      <x:c r="R206" s="18" t="n">
        <x:f>K206-G206</x:f>
        <x:v>20</x:v>
      </x:c>
      <x:c r="S206" s="18" t="n">
        <x:f>INDEX('Dated offers'!$H$7:$H$305,MATCH($Z206,'Dated offers'!$A$7:$A$305,0))</x:f>
        <x:v>1344218</x:v>
      </x:c>
      <x:c r="T206" s="2" t="str">
        <x:f>IF(K206&lt;G206,"Order below requirement",IF(K206&lt;L206,"Below price tier",IF(ISNUMBER(S206),IF(K206&gt;S206,"Quantity exceeds snapshot","Within quantity snapshot"),"Stock not stated")))</x:f>
        <x:v>Within quantity snapshot</x:v>
      </x:c>
      <x:c r="U206" s="2" t="str">
        <x:f>INDEX('Dated offers'!$C$7:$C$305,MATCH($Z206,'Dated offers'!$A$7:$A$305,0))</x:f>
        <x:v>DigiKey</x:v>
      </x:c>
      <x:c r="V206" s="2" t="str">
        <x:f>INDEX('Dated offers'!$D$7:$D$305,MATCH($Z206,'Dated offers'!$A$7:$A$305,0))</x:f>
        <x:v>Not stated</x:v>
      </x:c>
      <x:c r="W206" s="24" t="n">
        <x:f>INDEX('Dated offers'!$E$7:$E$305,MATCH($Z206,'Dated offers'!$A$7:$A$305,0))</x:f>
        <x:v>46307.47807265046</x:v>
      </x:c>
      <x:c r="X206" s="2" t="b">
        <x:f>INDEX('Dated offers'!$N$7:$N$305,MATCH($Z206,'Dated offers'!$A$7:$A$305,0))</x:f>
        <x:v>0</x:v>
      </x:c>
      <x:c r="Y206" s="2" t="str">
        <x:f>INDEX('Dated offers'!$O$7:$O$305,MATCH($Z206,'Dated offers'!$A$7:$A$305,0))</x:f>
        <x:v>Unreserved inventory snapshot</x:v>
      </x:c>
      <x:c r="Z206" s="17" t="str">
        <x:v>OF0044</x:v>
      </x:c>
      <x:c r="AA206" s="2"/>
      <x:c r="AB206" s="2" t="str">
        <x:f>INDEX('Dated offers'!$Q$7:$Q$305,MATCH($Z206,'Dated offers'!$A$7:$A$305,0))</x:f>
        <x:v>https://www.digikey.com/en/products/detail/vishay-dale/CRCW040222R0FKED/1177815</x:v>
      </x:c>
    </x:row>
    <x:row r="207" ht="24" customHeight="1">
      <x:c r="A207" s="2" t="str">
        <x:v>25 boards / 2% planning</x:v>
      </x:c>
      <x:c r="B207" s="17" t="str">
        <x:v>CRCW04022K49FKED</x:v>
      </x:c>
      <x:c r="C207" s="18" t="n">
        <x:v>25</x:v>
      </x:c>
      <x:c r="D207" s="27" t="n">
        <x:v>0.02</x:v>
      </x:c>
      <x:c r="E207" s="18" t="n">
        <x:f>INDEX('Assembly BOM'!$C$7:$C$162,MATCH($B207,'Assembly BOM'!$A$7:$A$162,0))</x:f>
        <x:v>3</x:v>
      </x:c>
      <x:c r="F207" s="18" t="n">
        <x:f>C207*E207</x:f>
        <x:v>75</x:v>
      </x:c>
      <x:c r="G207" s="18" t="n">
        <x:f>ROUNDUP(F207*(1+D207),0)</x:f>
        <x:v>77</x:v>
      </x:c>
      <x:c r="H207" s="18" t="n">
        <x:f>INDEX('Dated offers'!$F$7:$F$305,MATCH($Z207,'Dated offers'!$A$7:$A$305,0))</x:f>
        <x:v>1</x:v>
      </x:c>
      <x:c r="I207" s="18" t="n">
        <x:f>INDEX('Dated offers'!$G$7:$G$305,MATCH($Z207,'Dated offers'!$A$7:$A$305,0))</x:f>
        <x:v>1</x:v>
      </x:c>
      <x:c r="J207" s="18" t="n">
        <x:f>CEILING(MAX(G207,H207),I207)</x:f>
        <x:v>77</x:v>
      </x:c>
      <x:c r="K207" s="18" t="n">
        <x:v>77</x:v>
      </x:c>
      <x:c r="L207" s="18" t="n">
        <x:f>INDEX('Dated offers'!$I$7:$I$305,MATCH($Z207,'Dated offers'!$A$7:$A$305,0))</x:f>
        <x:v>50</x:v>
      </x:c>
      <x:c r="M207" s="25" t="n">
        <x:f>INDEX('Dated offers'!$J$7:$J$305,MATCH($Z207,'Dated offers'!$A$7:$A$305,0))</x:f>
        <x:v>0.0192</x:v>
      </x:c>
      <x:c r="N207" s="25" t="n">
        <x:f>INDEX('Dated offers'!$K$7:$K$305,MATCH($Z207,'Dated offers'!$A$7:$A$305,0))</x:f>
        <x:v>0</x:v>
      </x:c>
      <x:c r="O207" s="25" t="n">
        <x:f>F207*M207</x:f>
        <x:v>1.44</x:v>
      </x:c>
      <x:c r="P207" s="25" t="n">
        <x:f>G207*M207</x:f>
        <x:v>1.4784</x:v>
      </x:c>
      <x:c r="Q207" s="25" t="n">
        <x:f>K207*M207+N207</x:f>
        <x:v>1.4784</x:v>
      </x:c>
      <x:c r="R207" s="18" t="n">
        <x:f>K207-G207</x:f>
        <x:v>0</x:v>
      </x:c>
      <x:c r="S207" s="18" t="n">
        <x:f>INDEX('Dated offers'!$H$7:$H$305,MATCH($Z207,'Dated offers'!$A$7:$A$305,0))</x:f>
        <x:v>261937</x:v>
      </x:c>
      <x:c r="T207" s="2" t="str">
        <x:f>IF(K207&lt;G207,"Order below requirement",IF(K207&lt;L207,"Below price tier",IF(ISNUMBER(S207),IF(K207&gt;S207,"Quantity exceeds snapshot","Within quantity snapshot"),"Stock not stated")))</x:f>
        <x:v>Within quantity snapshot</x:v>
      </x:c>
      <x:c r="U207" s="2" t="str">
        <x:f>INDEX('Dated offers'!$C$7:$C$305,MATCH($Z207,'Dated offers'!$A$7:$A$305,0))</x:f>
        <x:v>DigiKey</x:v>
      </x:c>
      <x:c r="V207" s="2" t="str">
        <x:f>INDEX('Dated offers'!$D$7:$D$305,MATCH($Z207,'Dated offers'!$A$7:$A$305,0))</x:f>
        <x:v>Not stated</x:v>
      </x:c>
      <x:c r="W207" s="24" t="n">
        <x:f>INDEX('Dated offers'!$E$7:$E$305,MATCH($Z207,'Dated offers'!$A$7:$A$305,0))</x:f>
        <x:v>46307.478072604164</x:v>
      </x:c>
      <x:c r="X207" s="2" t="b">
        <x:f>INDEX('Dated offers'!$N$7:$N$305,MATCH($Z207,'Dated offers'!$A$7:$A$305,0))</x:f>
        <x:v>0</x:v>
      </x:c>
      <x:c r="Y207" s="2" t="str">
        <x:f>INDEX('Dated offers'!$O$7:$O$305,MATCH($Z207,'Dated offers'!$A$7:$A$305,0))</x:f>
        <x:v>Unreserved inventory snapshot</x:v>
      </x:c>
      <x:c r="Z207" s="17" t="str">
        <x:v>OF0045</x:v>
      </x:c>
      <x:c r="AA207" s="2"/>
      <x:c r="AB207" s="2" t="str">
        <x:f>INDEX('Dated offers'!$Q$7:$Q$305,MATCH($Z207,'Dated offers'!$A$7:$A$305,0))</x:f>
        <x:v>https://www.digikey.com/en/products/detail/vishay-dale/CRCW04022K49FKED/1183166</x:v>
      </x:c>
    </x:row>
    <x:row r="208" ht="24" customHeight="1">
      <x:c r="A208" s="2" t="str">
        <x:v>25 boards / 2% planning</x:v>
      </x:c>
      <x:c r="B208" s="17" t="str">
        <x:v>CRCW0402499RFKED</x:v>
      </x:c>
      <x:c r="C208" s="18" t="n">
        <x:v>25</x:v>
      </x:c>
      <x:c r="D208" s="27" t="n">
        <x:v>0.02</x:v>
      </x:c>
      <x:c r="E208" s="18" t="n">
        <x:f>INDEX('Assembly BOM'!$C$7:$C$162,MATCH($B208,'Assembly BOM'!$A$7:$A$162,0))</x:f>
        <x:v>1</x:v>
      </x:c>
      <x:c r="F208" s="18" t="n">
        <x:f>C208*E208</x:f>
        <x:v>25</x:v>
      </x:c>
      <x:c r="G208" s="18" t="n">
        <x:f>ROUNDUP(F208*(1+D208),0)</x:f>
        <x:v>26</x:v>
      </x:c>
      <x:c r="H208" s="18" t="n">
        <x:f>INDEX('Dated offers'!$F$7:$F$305,MATCH($Z208,'Dated offers'!$A$7:$A$305,0))</x:f>
        <x:v>1</x:v>
      </x:c>
      <x:c r="I208" s="18" t="n">
        <x:f>INDEX('Dated offers'!$G$7:$G$305,MATCH($Z208,'Dated offers'!$A$7:$A$305,0))</x:f>
        <x:v>1</x:v>
      </x:c>
      <x:c r="J208" s="18" t="n">
        <x:f>CEILING(MAX(G208,H208),I208)</x:f>
        <x:v>26</x:v>
      </x:c>
      <x:c r="K208" s="18" t="n">
        <x:v>26</x:v>
      </x:c>
      <x:c r="L208" s="18" t="n">
        <x:f>INDEX('Dated offers'!$I$7:$I$305,MATCH($Z208,'Dated offers'!$A$7:$A$305,0))</x:f>
        <x:v>25</x:v>
      </x:c>
      <x:c r="M208" s="25" t="n">
        <x:f>INDEX('Dated offers'!$J$7:$J$305,MATCH($Z208,'Dated offers'!$A$7:$A$305,0))</x:f>
        <x:v>0.0236</x:v>
      </x:c>
      <x:c r="N208" s="25" t="n">
        <x:f>INDEX('Dated offers'!$K$7:$K$305,MATCH($Z208,'Dated offers'!$A$7:$A$305,0))</x:f>
        <x:v>0</x:v>
      </x:c>
      <x:c r="O208" s="25" t="n">
        <x:f>F208*M208</x:f>
        <x:v>0.59</x:v>
      </x:c>
      <x:c r="P208" s="25" t="n">
        <x:f>G208*M208</x:f>
        <x:v>0.6136</x:v>
      </x:c>
      <x:c r="Q208" s="25" t="n">
        <x:f>K208*M208+N208</x:f>
        <x:v>0.6136</x:v>
      </x:c>
      <x:c r="R208" s="18" t="n">
        <x:f>K208-G208</x:f>
        <x:v>0</x:v>
      </x:c>
      <x:c r="S208" s="18" t="n">
        <x:f>INDEX('Dated offers'!$H$7:$H$305,MATCH($Z208,'Dated offers'!$A$7:$A$305,0))</x:f>
        <x:v>538356</x:v>
      </x:c>
      <x:c r="T208" s="2" t="str">
        <x:f>IF(K208&lt;G208,"Order below requirement",IF(K208&lt;L208,"Below price tier",IF(ISNUMBER(S208),IF(K208&gt;S208,"Quantity exceeds snapshot","Within quantity snapshot"),"Stock not stated")))</x:f>
        <x:v>Within quantity snapshot</x:v>
      </x:c>
      <x:c r="U208" s="2" t="str">
        <x:f>INDEX('Dated offers'!$C$7:$C$305,MATCH($Z208,'Dated offers'!$A$7:$A$305,0))</x:f>
        <x:v>DigiKey</x:v>
      </x:c>
      <x:c r="V208" s="2" t="str">
        <x:f>INDEX('Dated offers'!$D$7:$D$305,MATCH($Z208,'Dated offers'!$A$7:$A$305,0))</x:f>
        <x:v>Not stated</x:v>
      </x:c>
      <x:c r="W208" s="24" t="n">
        <x:f>INDEX('Dated offers'!$E$7:$E$305,MATCH($Z208,'Dated offers'!$A$7:$A$305,0))</x:f>
        <x:v>46307.478072604164</x:v>
      </x:c>
      <x:c r="X208" s="2" t="b">
        <x:f>INDEX('Dated offers'!$N$7:$N$305,MATCH($Z208,'Dated offers'!$A$7:$A$305,0))</x:f>
        <x:v>0</x:v>
      </x:c>
      <x:c r="Y208" s="2" t="str">
        <x:f>INDEX('Dated offers'!$O$7:$O$305,MATCH($Z208,'Dated offers'!$A$7:$A$305,0))</x:f>
        <x:v>Unreserved inventory snapshot</x:v>
      </x:c>
      <x:c r="Z208" s="17" t="str">
        <x:v>OF0046</x:v>
      </x:c>
      <x:c r="AA208" s="2"/>
      <x:c r="AB208" s="2" t="str">
        <x:f>INDEX('Dated offers'!$Q$7:$Q$305,MATCH($Z208,'Dated offers'!$A$7:$A$305,0))</x:f>
        <x:v>https://www.digikey.com/en/products/detail/vishay-dale/CRCW0402499RFKED/1183088</x:v>
      </x:c>
    </x:row>
    <x:row r="209" ht="24" customHeight="1">
      <x:c r="A209" s="2" t="str">
        <x:v>25 boards / 2% planning</x:v>
      </x:c>
      <x:c r="B209" s="17" t="str">
        <x:v>CRCW04024K70FKED</x:v>
      </x:c>
      <x:c r="C209" s="18" t="n">
        <x:v>25</x:v>
      </x:c>
      <x:c r="D209" s="27" t="n">
        <x:v>0.02</x:v>
      </x:c>
      <x:c r="E209" s="18" t="n">
        <x:f>INDEX('Assembly BOM'!$C$7:$C$162,MATCH($B209,'Assembly BOM'!$A$7:$A$162,0))</x:f>
        <x:v>4</x:v>
      </x:c>
      <x:c r="F209" s="18" t="n">
        <x:f>C209*E209</x:f>
        <x:v>100</x:v>
      </x:c>
      <x:c r="G209" s="18" t="n">
        <x:f>ROUNDUP(F209*(1+D209),0)</x:f>
        <x:v>102</x:v>
      </x:c>
      <x:c r="H209" s="18" t="n">
        <x:f>INDEX('Dated offers'!$F$7:$F$305,MATCH($Z209,'Dated offers'!$A$7:$A$305,0))</x:f>
        <x:v>1</x:v>
      </x:c>
      <x:c r="I209" s="18" t="n">
        <x:f>INDEX('Dated offers'!$G$7:$G$305,MATCH($Z209,'Dated offers'!$A$7:$A$305,0))</x:f>
        <x:v>1</x:v>
      </x:c>
      <x:c r="J209" s="18" t="n">
        <x:f>CEILING(MAX(G209,H209),I209)</x:f>
        <x:v>102</x:v>
      </x:c>
      <x:c r="K209" s="18" t="n">
        <x:v>102</x:v>
      </x:c>
      <x:c r="L209" s="18" t="n">
        <x:f>INDEX('Dated offers'!$I$7:$I$305,MATCH($Z209,'Dated offers'!$A$7:$A$305,0))</x:f>
        <x:v>100</x:v>
      </x:c>
      <x:c r="M209" s="25" t="n">
        <x:f>INDEX('Dated offers'!$J$7:$J$305,MATCH($Z209,'Dated offers'!$A$7:$A$305,0))</x:f>
        <x:v>0.0157</x:v>
      </x:c>
      <x:c r="N209" s="25" t="n">
        <x:f>INDEX('Dated offers'!$K$7:$K$305,MATCH($Z209,'Dated offers'!$A$7:$A$305,0))</x:f>
        <x:v>0</x:v>
      </x:c>
      <x:c r="O209" s="25" t="n">
        <x:f>F209*M209</x:f>
        <x:v>1.5699999999999998</x:v>
      </x:c>
      <x:c r="P209" s="25" t="n">
        <x:f>G209*M209</x:f>
        <x:v>1.6014</x:v>
      </x:c>
      <x:c r="Q209" s="25" t="n">
        <x:f>K209*M209+N209</x:f>
        <x:v>1.6014</x:v>
      </x:c>
      <x:c r="R209" s="18" t="n">
        <x:f>K209-G209</x:f>
        <x:v>0</x:v>
      </x:c>
      <x:c r="S209" s="18" t="n">
        <x:f>INDEX('Dated offers'!$H$7:$H$305,MATCH($Z209,'Dated offers'!$A$7:$A$305,0))</x:f>
        <x:v>1653620</x:v>
      </x:c>
      <x:c r="T209" s="2" t="str">
        <x:f>IF(K209&lt;G209,"Order below requirement",IF(K209&lt;L209,"Below price tier",IF(ISNUMBER(S209),IF(K209&gt;S209,"Quantity exceeds snapshot","Within quantity snapshot"),"Stock not stated")))</x:f>
        <x:v>Within quantity snapshot</x:v>
      </x:c>
      <x:c r="U209" s="2" t="str">
        <x:f>INDEX('Dated offers'!$C$7:$C$305,MATCH($Z209,'Dated offers'!$A$7:$A$305,0))</x:f>
        <x:v>DigiKey</x:v>
      </x:c>
      <x:c r="V209" s="2" t="str">
        <x:f>INDEX('Dated offers'!$D$7:$D$305,MATCH($Z209,'Dated offers'!$A$7:$A$305,0))</x:f>
        <x:v>Not stated</x:v>
      </x:c>
      <x:c r="W209" s="24" t="n">
        <x:f>INDEX('Dated offers'!$E$7:$E$305,MATCH($Z209,'Dated offers'!$A$7:$A$305,0))</x:f>
        <x:v>46307.47807261574</x:v>
      </x:c>
      <x:c r="X209" s="2" t="b">
        <x:f>INDEX('Dated offers'!$N$7:$N$305,MATCH($Z209,'Dated offers'!$A$7:$A$305,0))</x:f>
        <x:v>0</x:v>
      </x:c>
      <x:c r="Y209" s="2" t="str">
        <x:f>INDEX('Dated offers'!$O$7:$O$305,MATCH($Z209,'Dated offers'!$A$7:$A$305,0))</x:f>
        <x:v>Unreserved inventory snapshot</x:v>
      </x:c>
      <x:c r="Z209" s="17" t="str">
        <x:v>OF0047</x:v>
      </x:c>
      <x:c r="AA209" s="2"/>
      <x:c r="AB209" s="2" t="str">
        <x:f>INDEX('Dated offers'!$Q$7:$Q$305,MATCH($Z209,'Dated offers'!$A$7:$A$305,0))</x:f>
        <x:v>https://www.digikey.com/en/products/detail/vishay-dale/CRCW04024K70FKED/1178083</x:v>
      </x:c>
    </x:row>
    <x:row r="210" ht="24" customHeight="1">
      <x:c r="A210" s="2" t="str">
        <x:v>25 boards / 2% planning</x:v>
      </x:c>
      <x:c r="B210" s="17" t="str">
        <x:v>CRCW0402510RFKED</x:v>
      </x:c>
      <x:c r="C210" s="18" t="n">
        <x:v>25</x:v>
      </x:c>
      <x:c r="D210" s="27" t="n">
        <x:v>0.02</x:v>
      </x:c>
      <x:c r="E210" s="18" t="n">
        <x:f>INDEX('Assembly BOM'!$C$7:$C$162,MATCH($B210,'Assembly BOM'!$A$7:$A$162,0))</x:f>
        <x:v>2</x:v>
      </x:c>
      <x:c r="F210" s="18" t="n">
        <x:f>C210*E210</x:f>
        <x:v>50</x:v>
      </x:c>
      <x:c r="G210" s="18" t="n">
        <x:f>ROUNDUP(F210*(1+D210),0)</x:f>
        <x:v>51</x:v>
      </x:c>
      <x:c r="H210" s="18" t="n">
        <x:f>INDEX('Dated offers'!$F$7:$F$305,MATCH($Z210,'Dated offers'!$A$7:$A$305,0))</x:f>
        <x:v>1</x:v>
      </x:c>
      <x:c r="I210" s="18" t="n">
        <x:f>INDEX('Dated offers'!$G$7:$G$305,MATCH($Z210,'Dated offers'!$A$7:$A$305,0))</x:f>
        <x:v>1</x:v>
      </x:c>
      <x:c r="J210" s="18" t="n">
        <x:f>CEILING(MAX(G210,H210),I210)</x:f>
        <x:v>51</x:v>
      </x:c>
      <x:c r="K210" s="18" t="n">
        <x:v>51</x:v>
      </x:c>
      <x:c r="L210" s="18" t="n">
        <x:f>INDEX('Dated offers'!$I$7:$I$305,MATCH($Z210,'Dated offers'!$A$7:$A$305,0))</x:f>
        <x:v>50</x:v>
      </x:c>
      <x:c r="M210" s="25" t="n">
        <x:f>INDEX('Dated offers'!$J$7:$J$305,MATCH($Z210,'Dated offers'!$A$7:$A$305,0))</x:f>
        <x:v>0.0202</x:v>
      </x:c>
      <x:c r="N210" s="25" t="n">
        <x:f>INDEX('Dated offers'!$K$7:$K$305,MATCH($Z210,'Dated offers'!$A$7:$A$305,0))</x:f>
        <x:v>0</x:v>
      </x:c>
      <x:c r="O210" s="25" t="n">
        <x:f>F210*M210</x:f>
        <x:v>1.01</x:v>
      </x:c>
      <x:c r="P210" s="25" t="n">
        <x:f>G210*M210</x:f>
        <x:v>1.0302</x:v>
      </x:c>
      <x:c r="Q210" s="25" t="n">
        <x:f>K210*M210+N210</x:f>
        <x:v>1.0302</x:v>
      </x:c>
      <x:c r="R210" s="18" t="n">
        <x:f>K210-G210</x:f>
        <x:v>0</x:v>
      </x:c>
      <x:c r="S210" s="18" t="n">
        <x:f>INDEX('Dated offers'!$H$7:$H$305,MATCH($Z210,'Dated offers'!$A$7:$A$305,0))</x:f>
        <x:v>234547</x:v>
      </x:c>
      <x:c r="T210" s="2" t="str">
        <x:f>IF(K210&lt;G210,"Order below requirement",IF(K210&lt;L210,"Below price tier",IF(ISNUMBER(S210),IF(K210&gt;S210,"Quantity exceeds snapshot","Within quantity snapshot"),"Stock not stated")))</x:f>
        <x:v>Within quantity snapshot</x:v>
      </x:c>
      <x:c r="U210" s="2" t="str">
        <x:f>INDEX('Dated offers'!$C$7:$C$305,MATCH($Z210,'Dated offers'!$A$7:$A$305,0))</x:f>
        <x:v>DigiKey</x:v>
      </x:c>
      <x:c r="V210" s="2" t="str">
        <x:f>INDEX('Dated offers'!$D$7:$D$305,MATCH($Z210,'Dated offers'!$A$7:$A$305,0))</x:f>
        <x:v>Not stated</x:v>
      </x:c>
      <x:c r="W210" s="24" t="n">
        <x:f>INDEX('Dated offers'!$E$7:$E$305,MATCH($Z210,'Dated offers'!$A$7:$A$305,0))</x:f>
        <x:v>46307.47807261574</x:v>
      </x:c>
      <x:c r="X210" s="2" t="b">
        <x:f>INDEX('Dated offers'!$N$7:$N$305,MATCH($Z210,'Dated offers'!$A$7:$A$305,0))</x:f>
        <x:v>0</x:v>
      </x:c>
      <x:c r="Y210" s="2" t="str">
        <x:f>INDEX('Dated offers'!$O$7:$O$305,MATCH($Z210,'Dated offers'!$A$7:$A$305,0))</x:f>
        <x:v>Unreserved inventory snapshot</x:v>
      </x:c>
      <x:c r="Z210" s="17" t="str">
        <x:v>OF0048</x:v>
      </x:c>
      <x:c r="AA210" s="2"/>
      <x:c r="AB210" s="2" t="str">
        <x:f>INDEX('Dated offers'!$Q$7:$Q$305,MATCH($Z210,'Dated offers'!$A$7:$A$305,0))</x:f>
        <x:v>https://www.digikey.com/en/products/detail/vishay-dale/CRCW0402510RFKED/1183089</x:v>
      </x:c>
    </x:row>
    <x:row r="211" ht="24" customHeight="1">
      <x:c r="A211" s="2" t="str">
        <x:v>25 boards / 2% planning</x:v>
      </x:c>
      <x:c r="B211" s="17" t="str">
        <x:v>CRCW04025K10FKED</x:v>
      </x:c>
      <x:c r="C211" s="18" t="n">
        <x:v>25</x:v>
      </x:c>
      <x:c r="D211" s="27" t="n">
        <x:v>0.02</x:v>
      </x:c>
      <x:c r="E211" s="18" t="n">
        <x:f>INDEX('Assembly BOM'!$C$7:$C$162,MATCH($B211,'Assembly BOM'!$A$7:$A$162,0))</x:f>
        <x:v>2</x:v>
      </x:c>
      <x:c r="F211" s="18" t="n">
        <x:f>C211*E211</x:f>
        <x:v>50</x:v>
      </x:c>
      <x:c r="G211" s="18" t="n">
        <x:f>ROUNDUP(F211*(1+D211),0)</x:f>
        <x:v>51</x:v>
      </x:c>
      <x:c r="H211" s="18" t="n">
        <x:f>INDEX('Dated offers'!$F$7:$F$305,MATCH($Z211,'Dated offers'!$A$7:$A$305,0))</x:f>
        <x:v>1</x:v>
      </x:c>
      <x:c r="I211" s="18" t="n">
        <x:f>INDEX('Dated offers'!$G$7:$G$305,MATCH($Z211,'Dated offers'!$A$7:$A$305,0))</x:f>
        <x:v>1</x:v>
      </x:c>
      <x:c r="J211" s="18" t="n">
        <x:f>CEILING(MAX(G211,H211),I211)</x:f>
        <x:v>51</x:v>
      </x:c>
      <x:c r="K211" s="18" t="n">
        <x:v>51</x:v>
      </x:c>
      <x:c r="L211" s="18" t="n">
        <x:f>INDEX('Dated offers'!$I$7:$I$305,MATCH($Z211,'Dated offers'!$A$7:$A$305,0))</x:f>
        <x:v>50</x:v>
      </x:c>
      <x:c r="M211" s="25" t="n">
        <x:f>INDEX('Dated offers'!$J$7:$J$305,MATCH($Z211,'Dated offers'!$A$7:$A$305,0))</x:f>
        <x:v>0.0192</x:v>
      </x:c>
      <x:c r="N211" s="25" t="n">
        <x:f>INDEX('Dated offers'!$K$7:$K$305,MATCH($Z211,'Dated offers'!$A$7:$A$305,0))</x:f>
        <x:v>0</x:v>
      </x:c>
      <x:c r="O211" s="25" t="n">
        <x:f>F211*M211</x:f>
        <x:v>0.96</x:v>
      </x:c>
      <x:c r="P211" s="25" t="n">
        <x:f>G211*M211</x:f>
        <x:v>0.9792</x:v>
      </x:c>
      <x:c r="Q211" s="25" t="n">
        <x:f>K211*M211+N211</x:f>
        <x:v>0.9792</x:v>
      </x:c>
      <x:c r="R211" s="18" t="n">
        <x:f>K211-G211</x:f>
        <x:v>0</x:v>
      </x:c>
      <x:c r="S211" s="18" t="n">
        <x:f>INDEX('Dated offers'!$H$7:$H$305,MATCH($Z211,'Dated offers'!$A$7:$A$305,0))</x:f>
        <x:v>134873</x:v>
      </x:c>
      <x:c r="T211" s="2" t="str">
        <x:f>IF(K211&lt;G211,"Order below requirement",IF(K211&lt;L211,"Below price tier",IF(ISNUMBER(S211),IF(K211&gt;S211,"Quantity exceeds snapshot","Within quantity snapshot"),"Stock not stated")))</x:f>
        <x:v>Within quantity snapshot</x:v>
      </x:c>
      <x:c r="U211" s="2" t="str">
        <x:f>INDEX('Dated offers'!$C$7:$C$305,MATCH($Z211,'Dated offers'!$A$7:$A$305,0))</x:f>
        <x:v>DigiKey</x:v>
      </x:c>
      <x:c r="V211" s="2" t="str">
        <x:f>INDEX('Dated offers'!$D$7:$D$305,MATCH($Z211,'Dated offers'!$A$7:$A$305,0))</x:f>
        <x:v>Not stated</x:v>
      </x:c>
      <x:c r="W211" s="24" t="n">
        <x:f>INDEX('Dated offers'!$E$7:$E$305,MATCH($Z211,'Dated offers'!$A$7:$A$305,0))</x:f>
        <x:v>46307.47807267361</x:v>
      </x:c>
      <x:c r="X211" s="2" t="b">
        <x:f>INDEX('Dated offers'!$N$7:$N$305,MATCH($Z211,'Dated offers'!$A$7:$A$305,0))</x:f>
        <x:v>0</x:v>
      </x:c>
      <x:c r="Y211" s="2" t="str">
        <x:f>INDEX('Dated offers'!$O$7:$O$305,MATCH($Z211,'Dated offers'!$A$7:$A$305,0))</x:f>
        <x:v>Unreserved inventory snapshot</x:v>
      </x:c>
      <x:c r="Z211" s="17" t="str">
        <x:v>OF0049</x:v>
      </x:c>
      <x:c r="AA211" s="2"/>
      <x:c r="AB211" s="2" t="str">
        <x:f>INDEX('Dated offers'!$Q$7:$Q$305,MATCH($Z211,'Dated offers'!$A$7:$A$305,0))</x:f>
        <x:v>https://www.digikey.com/en/products/detail/vishay-dale/CRCW04025K10FKED/1178087</x:v>
      </x:c>
    </x:row>
    <x:row r="212" ht="24" customHeight="1">
      <x:c r="A212" s="2" t="str">
        <x:v>25 boards / 2% planning</x:v>
      </x:c>
      <x:c r="B212" s="17" t="str">
        <x:v>CRCW080575R0FKEA</x:v>
      </x:c>
      <x:c r="C212" s="18" t="n">
        <x:v>25</x:v>
      </x:c>
      <x:c r="D212" s="27" t="n">
        <x:v>0.02</x:v>
      </x:c>
      <x:c r="E212" s="18" t="n">
        <x:f>INDEX('Assembly BOM'!$C$7:$C$162,MATCH($B212,'Assembly BOM'!$A$7:$A$162,0))</x:f>
        <x:v>4</x:v>
      </x:c>
      <x:c r="F212" s="18" t="n">
        <x:f>C212*E212</x:f>
        <x:v>100</x:v>
      </x:c>
      <x:c r="G212" s="18" t="n">
        <x:f>ROUNDUP(F212*(1+D212),0)</x:f>
        <x:v>102</x:v>
      </x:c>
      <x:c r="H212" s="18" t="n">
        <x:f>INDEX('Dated offers'!$F$7:$F$305,MATCH($Z212,'Dated offers'!$A$7:$A$305,0))</x:f>
        <x:v>1</x:v>
      </x:c>
      <x:c r="I212" s="18" t="n">
        <x:f>INDEX('Dated offers'!$G$7:$G$305,MATCH($Z212,'Dated offers'!$A$7:$A$305,0))</x:f>
        <x:v>1</x:v>
      </x:c>
      <x:c r="J212" s="18" t="n">
        <x:f>CEILING(MAX(G212,H212),I212)</x:f>
        <x:v>102</x:v>
      </x:c>
      <x:c r="K212" s="18" t="n">
        <x:v>102</x:v>
      </x:c>
      <x:c r="L212" s="18" t="n">
        <x:f>INDEX('Dated offers'!$I$7:$I$305,MATCH($Z212,'Dated offers'!$A$7:$A$305,0))</x:f>
        <x:v>100</x:v>
      </x:c>
      <x:c r="M212" s="25" t="n">
        <x:f>INDEX('Dated offers'!$J$7:$J$305,MATCH($Z212,'Dated offers'!$A$7:$A$305,0))</x:f>
        <x:v>0.0239</x:v>
      </x:c>
      <x:c r="N212" s="25" t="n">
        <x:f>INDEX('Dated offers'!$K$7:$K$305,MATCH($Z212,'Dated offers'!$A$7:$A$305,0))</x:f>
        <x:v>0</x:v>
      </x:c>
      <x:c r="O212" s="25" t="n">
        <x:f>F212*M212</x:f>
        <x:v>2.39</x:v>
      </x:c>
      <x:c r="P212" s="25" t="n">
        <x:f>G212*M212</x:f>
        <x:v>2.4378</x:v>
      </x:c>
      <x:c r="Q212" s="25" t="n">
        <x:f>K212*M212+N212</x:f>
        <x:v>2.4378</x:v>
      </x:c>
      <x:c r="R212" s="18" t="n">
        <x:f>K212-G212</x:f>
        <x:v>0</x:v>
      </x:c>
      <x:c r="S212" s="18" t="n">
        <x:f>INDEX('Dated offers'!$H$7:$H$305,MATCH($Z212,'Dated offers'!$A$7:$A$305,0))</x:f>
        <x:v>72605</x:v>
      </x:c>
      <x:c r="T212" s="2" t="str">
        <x:f>IF(K212&lt;G212,"Order below requirement",IF(K212&lt;L212,"Below price tier",IF(ISNUMBER(S212),IF(K212&gt;S212,"Quantity exceeds snapshot","Within quantity snapshot"),"Stock not stated")))</x:f>
        <x:v>Within quantity snapshot</x:v>
      </x:c>
      <x:c r="U212" s="2" t="str">
        <x:f>INDEX('Dated offers'!$C$7:$C$305,MATCH($Z212,'Dated offers'!$A$7:$A$305,0))</x:f>
        <x:v>DigiKey</x:v>
      </x:c>
      <x:c r="V212" s="2" t="str">
        <x:f>INDEX('Dated offers'!$D$7:$D$305,MATCH($Z212,'Dated offers'!$A$7:$A$305,0))</x:f>
        <x:v>Not stated</x:v>
      </x:c>
      <x:c r="W212" s="24" t="n">
        <x:f>INDEX('Dated offers'!$E$7:$E$305,MATCH($Z212,'Dated offers'!$A$7:$A$305,0))</x:f>
        <x:v>46307.47807261574</x:v>
      </x:c>
      <x:c r="X212" s="2" t="b">
        <x:f>INDEX('Dated offers'!$N$7:$N$305,MATCH($Z212,'Dated offers'!$A$7:$A$305,0))</x:f>
        <x:v>0</x:v>
      </x:c>
      <x:c r="Y212" s="2" t="str">
        <x:f>INDEX('Dated offers'!$O$7:$O$305,MATCH($Z212,'Dated offers'!$A$7:$A$305,0))</x:f>
        <x:v>Unreserved inventory snapshot</x:v>
      </x:c>
      <x:c r="Z212" s="17" t="str">
        <x:v>OF0050</x:v>
      </x:c>
      <x:c r="AA212" s="2"/>
      <x:c r="AB212" s="2" t="str">
        <x:f>INDEX('Dated offers'!$Q$7:$Q$305,MATCH($Z212,'Dated offers'!$A$7:$A$305,0))</x:f>
        <x:v>https://www.digikey.com/en/products/detail/vishay-dale/CRCW080575R0FKEA/1180655</x:v>
      </x:c>
    </x:row>
    <x:row r="213" ht="24" customHeight="1">
      <x:c r="A213" s="2" t="str">
        <x:v>25 boards / 2% planning</x:v>
      </x:c>
      <x:c r="B213" s="17" t="str">
        <x:v>CRCW12063K30FKEAHP</x:v>
      </x:c>
      <x:c r="C213" s="18" t="n">
        <x:v>25</x:v>
      </x:c>
      <x:c r="D213" s="27" t="n">
        <x:v>0.02</x:v>
      </x:c>
      <x:c r="E213" s="18" t="n">
        <x:f>INDEX('Assembly BOM'!$C$7:$C$162,MATCH($B213,'Assembly BOM'!$A$7:$A$162,0))</x:f>
        <x:v>1</x:v>
      </x:c>
      <x:c r="F213" s="18" t="n">
        <x:f>C213*E213</x:f>
        <x:v>25</x:v>
      </x:c>
      <x:c r="G213" s="18" t="n">
        <x:f>ROUNDUP(F213*(1+D213),0)</x:f>
        <x:v>26</x:v>
      </x:c>
      <x:c r="H213" s="18" t="n">
        <x:f>INDEX('Dated offers'!$F$7:$F$305,MATCH($Z213,'Dated offers'!$A$7:$A$305,0))</x:f>
        <x:v>1</x:v>
      </x:c>
      <x:c r="I213" s="18" t="n">
        <x:f>INDEX('Dated offers'!$G$7:$G$305,MATCH($Z213,'Dated offers'!$A$7:$A$305,0))</x:f>
        <x:v>1</x:v>
      </x:c>
      <x:c r="J213" s="18" t="n">
        <x:f>CEILING(MAX(G213,H213),I213)</x:f>
        <x:v>26</x:v>
      </x:c>
      <x:c r="K213" s="18" t="n">
        <x:v>26</x:v>
      </x:c>
      <x:c r="L213" s="18" t="n">
        <x:f>INDEX('Dated offers'!$I$7:$I$305,MATCH($Z213,'Dated offers'!$A$7:$A$305,0))</x:f>
        <x:v>25</x:v>
      </x:c>
      <x:c r="M213" s="25" t="n">
        <x:f>INDEX('Dated offers'!$J$7:$J$305,MATCH($Z213,'Dated offers'!$A$7:$A$305,0))</x:f>
        <x:v>0.1156</x:v>
      </x:c>
      <x:c r="N213" s="25" t="n">
        <x:f>INDEX('Dated offers'!$K$7:$K$305,MATCH($Z213,'Dated offers'!$A$7:$A$305,0))</x:f>
        <x:v>0</x:v>
      </x:c>
      <x:c r="O213" s="25" t="n">
        <x:f>F213*M213</x:f>
        <x:v>2.8899999999999997</x:v>
      </x:c>
      <x:c r="P213" s="25" t="n">
        <x:f>G213*M213</x:f>
        <x:v>3.0056</x:v>
      </x:c>
      <x:c r="Q213" s="25" t="n">
        <x:f>K213*M213+N213</x:f>
        <x:v>3.0056</x:v>
      </x:c>
      <x:c r="R213" s="18" t="n">
        <x:f>K213-G213</x:f>
        <x:v>0</x:v>
      </x:c>
      <x:c r="S213" s="18" t="n">
        <x:f>INDEX('Dated offers'!$H$7:$H$305,MATCH($Z213,'Dated offers'!$A$7:$A$305,0))</x:f>
        <x:v>42656</x:v>
      </x:c>
      <x:c r="T213" s="2" t="str">
        <x:f>IF(K213&lt;G213,"Order below requirement",IF(K213&lt;L213,"Below price tier",IF(ISNUMBER(S213),IF(K213&gt;S213,"Quantity exceeds snapshot","Within quantity snapshot"),"Stock not stated")))</x:f>
        <x:v>Within quantity snapshot</x:v>
      </x:c>
      <x:c r="U213" s="2" t="str">
        <x:f>INDEX('Dated offers'!$C$7:$C$305,MATCH($Z213,'Dated offers'!$A$7:$A$305,0))</x:f>
        <x:v>DigiKey</x:v>
      </x:c>
      <x:c r="V213" s="2" t="str">
        <x:f>INDEX('Dated offers'!$D$7:$D$305,MATCH($Z213,'Dated offers'!$A$7:$A$305,0))</x:f>
        <x:v>Not stated</x:v>
      </x:c>
      <x:c r="W213" s="24" t="n">
        <x:f>INDEX('Dated offers'!$E$7:$E$305,MATCH($Z213,'Dated offers'!$A$7:$A$305,0))</x:f>
        <x:v>46307.47807262732</x:v>
      </x:c>
      <x:c r="X213" s="2" t="b">
        <x:f>INDEX('Dated offers'!$N$7:$N$305,MATCH($Z213,'Dated offers'!$A$7:$A$305,0))</x:f>
        <x:v>0</x:v>
      </x:c>
      <x:c r="Y213" s="2" t="str">
        <x:f>INDEX('Dated offers'!$O$7:$O$305,MATCH($Z213,'Dated offers'!$A$7:$A$305,0))</x:f>
        <x:v>Unreserved inventory snapshot</x:v>
      </x:c>
      <x:c r="Z213" s="17" t="str">
        <x:v>OF0051</x:v>
      </x:c>
      <x:c r="AA213" s="2"/>
      <x:c r="AB213" s="2" t="str">
        <x:f>INDEX('Dated offers'!$Q$7:$Q$305,MATCH($Z213,'Dated offers'!$A$7:$A$305,0))</x:f>
        <x:v>https://www.digikey.com/en/products/detail/vishay-dale/CRCW12063K30FKEAHP/2227804</x:v>
      </x:c>
    </x:row>
    <x:row r="214" ht="24" customHeight="1">
      <x:c r="A214" s="2" t="str">
        <x:v>25 boards / 2% planning</x:v>
      </x:c>
      <x:c r="B214" s="17" t="str">
        <x:v>DABS2100-13</x:v>
      </x:c>
      <x:c r="C214" s="18" t="n">
        <x:v>25</x:v>
      </x:c>
      <x:c r="D214" s="27" t="n">
        <x:v>0.02</x:v>
      </x:c>
      <x:c r="E214" s="18" t="n">
        <x:f>INDEX('Assembly BOM'!$C$7:$C$162,MATCH($B214,'Assembly BOM'!$A$7:$A$162,0))</x:f>
        <x:v>2</x:v>
      </x:c>
      <x:c r="F214" s="18" t="n">
        <x:f>C214*E214</x:f>
        <x:v>50</x:v>
      </x:c>
      <x:c r="G214" s="18" t="n">
        <x:f>ROUNDUP(F214*(1+D214),0)</x:f>
        <x:v>51</x:v>
      </x:c>
      <x:c r="H214" s="18" t="n">
        <x:f>INDEX('Dated offers'!$F$7:$F$305,MATCH($Z214,'Dated offers'!$A$7:$A$305,0))</x:f>
        <x:v>1</x:v>
      </x:c>
      <x:c r="I214" s="18" t="n">
        <x:f>INDEX('Dated offers'!$G$7:$G$305,MATCH($Z214,'Dated offers'!$A$7:$A$305,0))</x:f>
        <x:v>1</x:v>
      </x:c>
      <x:c r="J214" s="18" t="n">
        <x:f>CEILING(MAX(G214,H214),I214)</x:f>
        <x:v>51</x:v>
      </x:c>
      <x:c r="K214" s="18" t="n">
        <x:v>51</x:v>
      </x:c>
      <x:c r="L214" s="18" t="n">
        <x:f>INDEX('Dated offers'!$I$7:$I$305,MATCH($Z214,'Dated offers'!$A$7:$A$305,0))</x:f>
        <x:v>50</x:v>
      </x:c>
      <x:c r="M214" s="25" t="n">
        <x:f>INDEX('Dated offers'!$J$7:$J$305,MATCH($Z214,'Dated offers'!$A$7:$A$305,0))</x:f>
        <x:v>0.4338</x:v>
      </x:c>
      <x:c r="N214" s="25" t="n">
        <x:f>INDEX('Dated offers'!$K$7:$K$305,MATCH($Z214,'Dated offers'!$A$7:$A$305,0))</x:f>
        <x:v>7</x:v>
      </x:c>
      <x:c r="O214" s="25" t="n">
        <x:f>F214*M214</x:f>
        <x:v>21.69</x:v>
      </x:c>
      <x:c r="P214" s="25" t="n">
        <x:f>G214*M214</x:f>
        <x:v>22.1238</x:v>
      </x:c>
      <x:c r="Q214" s="25" t="n">
        <x:f>K214*M214+N214</x:f>
        <x:v>29.1238</x:v>
      </x:c>
      <x:c r="R214" s="18" t="n">
        <x:f>K214-G214</x:f>
        <x:v>0</x:v>
      </x:c>
      <x:c r="S214" s="18" t="n">
        <x:f>INDEX('Dated offers'!$H$7:$H$305,MATCH($Z214,'Dated offers'!$A$7:$A$305,0))</x:f>
        <x:v>5560</x:v>
      </x:c>
      <x:c r="T214" s="2" t="str">
        <x:f>IF(K214&lt;G214,"Order below requirement",IF(K214&lt;L214,"Below price tier",IF(ISNUMBER(S214),IF(K214&gt;S214,"Quantity exceeds snapshot","Within quantity snapshot"),"Stock not stated")))</x:f>
        <x:v>Within quantity snapshot</x:v>
      </x:c>
      <x:c r="U214" s="2" t="str">
        <x:f>INDEX('Dated offers'!$C$7:$C$305,MATCH($Z214,'Dated offers'!$A$7:$A$305,0))</x:f>
        <x:v>DigiKey</x:v>
      </x:c>
      <x:c r="V214" s="2" t="str">
        <x:f>INDEX('Dated offers'!$D$7:$D$305,MATCH($Z214,'Dated offers'!$A$7:$A$305,0))</x:f>
        <x:v>Not stated</x:v>
      </x:c>
      <x:c r="W214" s="24" t="n">
        <x:f>INDEX('Dated offers'!$E$7:$E$305,MATCH($Z214,'Dated offers'!$A$7:$A$305,0))</x:f>
        <x:v>46307.47807261574</x:v>
      </x:c>
      <x:c r="X214" s="2" t="b">
        <x:f>INDEX('Dated offers'!$N$7:$N$305,MATCH($Z214,'Dated offers'!$A$7:$A$305,0))</x:f>
        <x:v>0</x:v>
      </x:c>
      <x:c r="Y214" s="2" t="str">
        <x:f>INDEX('Dated offers'!$O$7:$O$305,MATCH($Z214,'Dated offers'!$A$7:$A$305,0))</x:f>
        <x:v>Unreserved inventory snapshot</x:v>
      </x:c>
      <x:c r="Z214" s="17" t="str">
        <x:v>OF0052</x:v>
      </x:c>
      <x:c r="AA214" s="2"/>
      <x:c r="AB214" s="2" t="str">
        <x:f>INDEX('Dated offers'!$Q$7:$Q$305,MATCH($Z214,'Dated offers'!$A$7:$A$305,0))</x:f>
        <x:v>https://www.digikey.com/en/products/detail/diodes-incorporated/DABS2100-13/21823604</x:v>
      </x:c>
    </x:row>
    <x:row r="215" ht="24" customHeight="1">
      <x:c r="A215" s="2" t="str">
        <x:v>25 boards / 2% planning</x:v>
      </x:c>
      <x:c r="B215" s="17" t="str">
        <x:v>DLW5BTM102TQ2L</x:v>
      </x:c>
      <x:c r="C215" s="18" t="n">
        <x:v>25</x:v>
      </x:c>
      <x:c r="D215" s="27" t="n">
        <x:v>0.02</x:v>
      </x:c>
      <x:c r="E215" s="18" t="n">
        <x:f>INDEX('Assembly BOM'!$C$7:$C$162,MATCH($B215,'Assembly BOM'!$A$7:$A$162,0))</x:f>
        <x:v>1</x:v>
      </x:c>
      <x:c r="F215" s="18" t="n">
        <x:f>C215*E215</x:f>
        <x:v>25</x:v>
      </x:c>
      <x:c r="G215" s="18" t="n">
        <x:f>ROUNDUP(F215*(1+D215),0)</x:f>
        <x:v>26</x:v>
      </x:c>
      <x:c r="H215" s="18" t="n">
        <x:f>INDEX('Dated offers'!$F$7:$F$305,MATCH($Z215,'Dated offers'!$A$7:$A$305,0))</x:f>
        <x:v>1</x:v>
      </x:c>
      <x:c r="I215" s="18" t="n">
        <x:f>INDEX('Dated offers'!$G$7:$G$305,MATCH($Z215,'Dated offers'!$A$7:$A$305,0))</x:f>
        <x:v>1</x:v>
      </x:c>
      <x:c r="J215" s="18" t="n">
        <x:f>CEILING(MAX(G215,H215),I215)</x:f>
        <x:v>26</x:v>
      </x:c>
      <x:c r="K215" s="18" t="n">
        <x:v>26</x:v>
      </x:c>
      <x:c r="L215" s="18" t="n">
        <x:f>INDEX('Dated offers'!$I$7:$I$305,MATCH($Z215,'Dated offers'!$A$7:$A$305,0))</x:f>
        <x:v>25</x:v>
      </x:c>
      <x:c r="M215" s="25" t="n">
        <x:f>INDEX('Dated offers'!$J$7:$J$305,MATCH($Z215,'Dated offers'!$A$7:$A$305,0))</x:f>
        <x:v>0.7804</x:v>
      </x:c>
      <x:c r="N215" s="25" t="n">
        <x:f>INDEX('Dated offers'!$K$7:$K$305,MATCH($Z215,'Dated offers'!$A$7:$A$305,0))</x:f>
        <x:v>0</x:v>
      </x:c>
      <x:c r="O215" s="25" t="n">
        <x:f>F215*M215</x:f>
        <x:v>19.509999999999998</x:v>
      </x:c>
      <x:c r="P215" s="25" t="n">
        <x:f>G215*M215</x:f>
        <x:v>20.290399999999998</x:v>
      </x:c>
      <x:c r="Q215" s="25" t="n">
        <x:f>K215*M215+N215</x:f>
        <x:v>20.290399999999998</x:v>
      </x:c>
      <x:c r="R215" s="18" t="n">
        <x:f>K215-G215</x:f>
        <x:v>0</x:v>
      </x:c>
      <x:c r="S215" s="18" t="n">
        <x:f>INDEX('Dated offers'!$H$7:$H$305,MATCH($Z215,'Dated offers'!$A$7:$A$305,0))</x:f>
        <x:v>9875</x:v>
      </x:c>
      <x:c r="T215" s="2" t="str">
        <x:f>IF(K215&lt;G215,"Order below requirement",IF(K215&lt;L215,"Below price tier",IF(ISNUMBER(S215),IF(K215&gt;S215,"Quantity exceeds snapshot","Within quantity snapshot"),"Stock not stated")))</x:f>
        <x:v>Within quantity snapshot</x:v>
      </x:c>
      <x:c r="U215" s="2" t="str">
        <x:f>INDEX('Dated offers'!$C$7:$C$305,MATCH($Z215,'Dated offers'!$A$7:$A$305,0))</x:f>
        <x:v>DigiKey</x:v>
      </x:c>
      <x:c r="V215" s="2" t="str">
        <x:f>INDEX('Dated offers'!$D$7:$D$305,MATCH($Z215,'Dated offers'!$A$7:$A$305,0))</x:f>
        <x:v>Not stated</x:v>
      </x:c>
      <x:c r="W215" s="24" t="n">
        <x:f>INDEX('Dated offers'!$E$7:$E$305,MATCH($Z215,'Dated offers'!$A$7:$A$305,0))</x:f>
        <x:v>46307.47807261574</x:v>
      </x:c>
      <x:c r="X215" s="2" t="b">
        <x:f>INDEX('Dated offers'!$N$7:$N$305,MATCH($Z215,'Dated offers'!$A$7:$A$305,0))</x:f>
        <x:v>0</x:v>
      </x:c>
      <x:c r="Y215" s="2" t="str">
        <x:f>INDEX('Dated offers'!$O$7:$O$305,MATCH($Z215,'Dated offers'!$A$7:$A$305,0))</x:f>
        <x:v>Unreserved inventory snapshot</x:v>
      </x:c>
      <x:c r="Z215" s="17" t="str">
        <x:v>OF0053</x:v>
      </x:c>
      <x:c r="AA215" s="2"/>
      <x:c r="AB215" s="2" t="str">
        <x:f>INDEX('Dated offers'!$Q$7:$Q$305,MATCH($Z215,'Dated offers'!$A$7:$A$305,0))</x:f>
        <x:v>https://www.digikey.com/en/products/detail/murata-electronics/DLW5BTM102TQ2L/6606032</x:v>
      </x:c>
    </x:row>
    <x:row r="216" ht="24" customHeight="1">
      <x:c r="A216" s="2" t="str">
        <x:v>25 boards / 2% planning</x:v>
      </x:c>
      <x:c r="B216" s="17" t="str">
        <x:v>DMPH3010LK3-13</x:v>
      </x:c>
      <x:c r="C216" s="18" t="n">
        <x:v>25</x:v>
      </x:c>
      <x:c r="D216" s="27" t="n">
        <x:v>0.02</x:v>
      </x:c>
      <x:c r="E216" s="18" t="n">
        <x:f>INDEX('Assembly BOM'!$C$7:$C$162,MATCH($B216,'Assembly BOM'!$A$7:$A$162,0))</x:f>
        <x:v>1</x:v>
      </x:c>
      <x:c r="F216" s="18" t="n">
        <x:f>C216*E216</x:f>
        <x:v>25</x:v>
      </x:c>
      <x:c r="G216" s="18" t="n">
        <x:f>ROUNDUP(F216*(1+D216),0)</x:f>
        <x:v>26</x:v>
      </x:c>
      <x:c r="H216" s="18" t="n">
        <x:f>INDEX('Dated offers'!$F$7:$F$305,MATCH($Z216,'Dated offers'!$A$7:$A$305,0))</x:f>
        <x:v>1</x:v>
      </x:c>
      <x:c r="I216" s="18" t="n">
        <x:f>INDEX('Dated offers'!$G$7:$G$305,MATCH($Z216,'Dated offers'!$A$7:$A$305,0))</x:f>
        <x:v>1</x:v>
      </x:c>
      <x:c r="J216" s="18" t="n">
        <x:f>CEILING(MAX(G216,H216),I216)</x:f>
        <x:v>26</x:v>
      </x:c>
      <x:c r="K216" s="18" t="n">
        <x:v>26</x:v>
      </x:c>
      <x:c r="L216" s="18" t="n">
        <x:f>INDEX('Dated offers'!$I$7:$I$305,MATCH($Z216,'Dated offers'!$A$7:$A$305,0))</x:f>
        <x:v>25</x:v>
      </x:c>
      <x:c r="M216" s="25" t="n">
        <x:f>INDEX('Dated offers'!$J$7:$J$305,MATCH($Z216,'Dated offers'!$A$7:$A$305,0))</x:f>
        <x:v>0.8444</x:v>
      </x:c>
      <x:c r="N216" s="25" t="n">
        <x:f>INDEX('Dated offers'!$K$7:$K$305,MATCH($Z216,'Dated offers'!$A$7:$A$305,0))</x:f>
        <x:v>0</x:v>
      </x:c>
      <x:c r="O216" s="25" t="n">
        <x:f>F216*M216</x:f>
        <x:v>21.11</x:v>
      </x:c>
      <x:c r="P216" s="25" t="n">
        <x:f>G216*M216</x:f>
        <x:v>21.9544</x:v>
      </x:c>
      <x:c r="Q216" s="25" t="n">
        <x:f>K216*M216+N216</x:f>
        <x:v>21.9544</x:v>
      </x:c>
      <x:c r="R216" s="18" t="n">
        <x:f>K216-G216</x:f>
        <x:v>0</x:v>
      </x:c>
      <x:c r="S216" s="18" t="n">
        <x:f>INDEX('Dated offers'!$H$7:$H$305,MATCH($Z216,'Dated offers'!$A$7:$A$305,0))</x:f>
        <x:v>1530</x:v>
      </x:c>
      <x:c r="T216" s="2" t="str">
        <x:f>IF(K216&lt;G216,"Order below requirement",IF(K216&lt;L216,"Below price tier",IF(ISNUMBER(S216),IF(K216&gt;S216,"Quantity exceeds snapshot","Within quantity snapshot"),"Stock not stated")))</x:f>
        <x:v>Within quantity snapshot</x:v>
      </x:c>
      <x:c r="U216" s="2" t="str">
        <x:f>INDEX('Dated offers'!$C$7:$C$305,MATCH($Z216,'Dated offers'!$A$7:$A$305,0))</x:f>
        <x:v>DigiKey</x:v>
      </x:c>
      <x:c r="V216" s="2" t="str">
        <x:f>INDEX('Dated offers'!$D$7:$D$305,MATCH($Z216,'Dated offers'!$A$7:$A$305,0))</x:f>
        <x:v>Not stated</x:v>
      </x:c>
      <x:c r="W216" s="24" t="n">
        <x:f>INDEX('Dated offers'!$E$7:$E$305,MATCH($Z216,'Dated offers'!$A$7:$A$305,0))</x:f>
        <x:v>46307.47807255787</x:v>
      </x:c>
      <x:c r="X216" s="2" t="b">
        <x:f>INDEX('Dated offers'!$N$7:$N$305,MATCH($Z216,'Dated offers'!$A$7:$A$305,0))</x:f>
        <x:v>0</x:v>
      </x:c>
      <x:c r="Y216" s="2" t="str">
        <x:f>INDEX('Dated offers'!$O$7:$O$305,MATCH($Z216,'Dated offers'!$A$7:$A$305,0))</x:f>
        <x:v>Unreserved inventory snapshot</x:v>
      </x:c>
      <x:c r="Z216" s="17" t="str">
        <x:v>OF0054</x:v>
      </x:c>
      <x:c r="AA216" s="2"/>
      <x:c r="AB216" s="2" t="str">
        <x:f>INDEX('Dated offers'!$Q$7:$Q$305,MATCH($Z216,'Dated offers'!$A$7:$A$305,0))</x:f>
        <x:v>https://www.digikey.com/en/products/detail/diodes-incorporated/DMPH3010LK3-13/7352990</x:v>
      </x:c>
    </x:row>
    <x:row r="217" ht="24" customHeight="1">
      <x:c r="A217" s="2" t="str">
        <x:v>25 boards / 2% planning</x:v>
      </x:c>
      <x:c r="B217" s="17" t="str">
        <x:v>E22-900MM22S</x:v>
      </x:c>
      <x:c r="C217" s="18" t="n">
        <x:v>25</x:v>
      </x:c>
      <x:c r="D217" s="27" t="n">
        <x:v>0.02</x:v>
      </x:c>
      <x:c r="E217" s="18" t="n">
        <x:f>INDEX('Assembly BOM'!$C$7:$C$162,MATCH($B217,'Assembly BOM'!$A$7:$A$162,0))</x:f>
        <x:v>1</x:v>
      </x:c>
      <x:c r="F217" s="18" t="n">
        <x:f>C217*E217</x:f>
        <x:v>25</x:v>
      </x:c>
      <x:c r="G217" s="18" t="n">
        <x:f>ROUNDUP(F217*(1+D217),0)</x:f>
        <x:v>26</x:v>
      </x:c>
      <x:c r="H217" s="18" t="n">
        <x:f>INDEX('Dated offers'!$F$7:$F$305,MATCH($Z217,'Dated offers'!$A$7:$A$305,0))</x:f>
        <x:v>2</x:v>
      </x:c>
      <x:c r="I217" s="18" t="n">
        <x:f>INDEX('Dated offers'!$G$7:$G$305,MATCH($Z217,'Dated offers'!$A$7:$A$305,0))</x:f>
        <x:v>1</x:v>
      </x:c>
      <x:c r="J217" s="18" t="n">
        <x:f>CEILING(MAX(G217,H217),I217)</x:f>
        <x:v>26</x:v>
      </x:c>
      <x:c r="K217" s="18" t="n">
        <x:v>30</x:v>
      </x:c>
      <x:c r="L217" s="18" t="n">
        <x:f>INDEX('Dated offers'!$I$7:$I$305,MATCH($Z217,'Dated offers'!$A$7:$A$305,0))</x:f>
        <x:v>30</x:v>
      </x:c>
      <x:c r="M217" s="25" t="n">
        <x:f>INDEX('Dated offers'!$J$7:$J$305,MATCH($Z217,'Dated offers'!$A$7:$A$305,0))</x:f>
        <x:v>4.8535</x:v>
      </x:c>
      <x:c r="N217" s="25" t="n">
        <x:f>INDEX('Dated offers'!$K$7:$K$305,MATCH($Z217,'Dated offers'!$A$7:$A$305,0))</x:f>
        <x:v>0</x:v>
      </x:c>
      <x:c r="O217" s="25" t="n">
        <x:f>F217*M217</x:f>
        <x:v>121.3375</x:v>
      </x:c>
      <x:c r="P217" s="25" t="n">
        <x:f>G217*M217</x:f>
        <x:v>126.191</x:v>
      </x:c>
      <x:c r="Q217" s="25" t="n">
        <x:f>K217*M217+N217</x:f>
        <x:v>145.60500000000002</x:v>
      </x:c>
      <x:c r="R217" s="18" t="n">
        <x:f>K217-G217</x:f>
        <x:v>4</x:v>
      </x:c>
      <x:c r="S217" s="18" t="n">
        <x:f>INDEX('Dated offers'!$H$7:$H$305,MATCH($Z217,'Dated offers'!$A$7:$A$305,0))</x:f>
        <x:v>419</x:v>
      </x:c>
      <x:c r="T217" s="2" t="str">
        <x:f>IF(K217&lt;G217,"Order below requirement",IF(K217&lt;L217,"Below price tier",IF(ISNUMBER(S217),IF(K217&gt;S217,"Quantity exceeds snapshot","Within quantity snapshot"),"Stock not stated")))</x:f>
        <x:v>Within quantity snapshot</x:v>
      </x:c>
      <x:c r="U217" s="2" t="str">
        <x:f>INDEX('Dated offers'!$C$7:$C$305,MATCH($Z217,'Dated offers'!$A$7:$A$305,0))</x:f>
        <x:v>JLCPCB Parts</x:v>
      </x:c>
      <x:c r="V217" s="2" t="str">
        <x:f>INDEX('Dated offers'!$D$7:$D$305,MATCH($Z217,'Dated offers'!$A$7:$A$305,0))</x:f>
        <x:v>C5333985</x:v>
      </x:c>
      <x:c r="W217" s="24" t="n">
        <x:f>INDEX('Dated offers'!$E$7:$E$305,MATCH($Z217,'Dated offers'!$A$7:$A$305,0))</x:f>
        <x:v>46307.62535741898</x:v>
      </x:c>
      <x:c r="X217" s="2" t="b">
        <x:f>INDEX('Dated offers'!$N$7:$N$305,MATCH($Z217,'Dated offers'!$A$7:$A$305,0))</x:f>
        <x:v>1</x:v>
      </x:c>
      <x:c r="Y217" s="2" t="str">
        <x:f>INDEX('Dated offers'!$O$7:$O$305,MATCH($Z217,'Dated offers'!$A$7:$A$305,0))</x:f>
        <x:v>JLC PCBA allocation required</x:v>
      </x:c>
      <x:c r="Z217" s="17" t="str">
        <x:v>OF0157</x:v>
      </x:c>
      <x:c r="AA217" s="2"/>
      <x:c r="AB217" s="2" t="str">
        <x:f>INDEX('Dated offers'!$Q$7:$Q$305,MATCH($Z217,'Dated offers'!$A$7:$A$305,0))</x:f>
        <x:v>https://jlcpcb.com/partdetail/E22-900MM22S/C5333985</x:v>
      </x:c>
    </x:row>
    <x:row r="218" ht="24" customHeight="1">
      <x:c r="A218" s="2" t="str">
        <x:v>25 boards / 2% planning</x:v>
      </x:c>
      <x:c r="B218" s="17" t="str">
        <x:v>ESP32-S3FN8</x:v>
      </x:c>
      <x:c r="C218" s="18" t="n">
        <x:v>25</x:v>
      </x:c>
      <x:c r="D218" s="27" t="n">
        <x:v>0.02</x:v>
      </x:c>
      <x:c r="E218" s="18" t="n">
        <x:f>INDEX('Assembly BOM'!$C$7:$C$162,MATCH($B218,'Assembly BOM'!$A$7:$A$162,0))</x:f>
        <x:v>1</x:v>
      </x:c>
      <x:c r="F218" s="18" t="n">
        <x:f>C218*E218</x:f>
        <x:v>25</x:v>
      </x:c>
      <x:c r="G218" s="18" t="n">
        <x:f>ROUNDUP(F218*(1+D218),0)</x:f>
        <x:v>26</x:v>
      </x:c>
      <x:c r="H218" s="18" t="n">
        <x:f>INDEX('Dated offers'!$F$7:$F$305,MATCH($Z218,'Dated offers'!$A$7:$A$305,0))</x:f>
        <x:v>1</x:v>
      </x:c>
      <x:c r="I218" s="18" t="n">
        <x:f>INDEX('Dated offers'!$G$7:$G$305,MATCH($Z218,'Dated offers'!$A$7:$A$305,0))</x:f>
        <x:v>1</x:v>
      </x:c>
      <x:c r="J218" s="18" t="n">
        <x:f>CEILING(MAX(G218,H218),I218)</x:f>
        <x:v>26</x:v>
      </x:c>
      <x:c r="K218" s="18" t="n">
        <x:v>26</x:v>
      </x:c>
      <x:c r="L218" s="18" t="n">
        <x:f>INDEX('Dated offers'!$I$7:$I$305,MATCH($Z218,'Dated offers'!$A$7:$A$305,0))</x:f>
        <x:v>25</x:v>
      </x:c>
      <x:c r="M218" s="25" t="n">
        <x:f>INDEX('Dated offers'!$J$7:$J$305,MATCH($Z218,'Dated offers'!$A$7:$A$305,0))</x:f>
        <x:v>3.4076</x:v>
      </x:c>
      <x:c r="N218" s="25" t="n">
        <x:f>INDEX('Dated offers'!$K$7:$K$305,MATCH($Z218,'Dated offers'!$A$7:$A$305,0))</x:f>
        <x:v>0</x:v>
      </x:c>
      <x:c r="O218" s="25" t="n">
        <x:f>F218*M218</x:f>
        <x:v>85.19</x:v>
      </x:c>
      <x:c r="P218" s="25" t="n">
        <x:f>G218*M218</x:f>
        <x:v>88.5976</x:v>
      </x:c>
      <x:c r="Q218" s="25" t="n">
        <x:f>K218*M218+N218</x:f>
        <x:v>88.5976</x:v>
      </x:c>
      <x:c r="R218" s="18" t="n">
        <x:f>K218-G218</x:f>
        <x:v>0</x:v>
      </x:c>
      <x:c r="S218" s="18" t="n">
        <x:f>INDEX('Dated offers'!$H$7:$H$305,MATCH($Z218,'Dated offers'!$A$7:$A$305,0))</x:f>
        <x:v>4387</x:v>
      </x:c>
      <x:c r="T218" s="2" t="str">
        <x:f>IF(K218&lt;G218,"Order below requirement",IF(K218&lt;L218,"Below price tier",IF(ISNUMBER(S218),IF(K218&gt;S218,"Quantity exceeds snapshot","Within quantity snapshot"),"Stock not stated")))</x:f>
        <x:v>Within quantity snapshot</x:v>
      </x:c>
      <x:c r="U218" s="2" t="str">
        <x:f>INDEX('Dated offers'!$C$7:$C$305,MATCH($Z218,'Dated offers'!$A$7:$A$305,0))</x:f>
        <x:v>DigiKey</x:v>
      </x:c>
      <x:c r="V218" s="2" t="str">
        <x:f>INDEX('Dated offers'!$D$7:$D$305,MATCH($Z218,'Dated offers'!$A$7:$A$305,0))</x:f>
        <x:v>Not stated</x:v>
      </x:c>
      <x:c r="W218" s="24" t="n">
        <x:f>INDEX('Dated offers'!$E$7:$E$305,MATCH($Z218,'Dated offers'!$A$7:$A$305,0))</x:f>
        <x:v>46307.47807256944</x:v>
      </x:c>
      <x:c r="X218" s="2" t="b">
        <x:f>INDEX('Dated offers'!$N$7:$N$305,MATCH($Z218,'Dated offers'!$A$7:$A$305,0))</x:f>
        <x:v>0</x:v>
      </x:c>
      <x:c r="Y218" s="2" t="str">
        <x:f>INDEX('Dated offers'!$O$7:$O$305,MATCH($Z218,'Dated offers'!$A$7:$A$305,0))</x:f>
        <x:v>Unreserved inventory snapshot</x:v>
      </x:c>
      <x:c r="Z218" s="17" t="str">
        <x:v>OF0056</x:v>
      </x:c>
      <x:c r="AA218" s="2"/>
      <x:c r="AB218" s="2" t="str">
        <x:f>INDEX('Dated offers'!$Q$7:$Q$305,MATCH($Z218,'Dated offers'!$A$7:$A$305,0))</x:f>
        <x:v>https://www.digikey.com/en/products/detail/espressif-systems/ESP32-S3FN8/15822446</x:v>
      </x:c>
    </x:row>
    <x:row r="219" ht="24" customHeight="1">
      <x:c r="A219" s="2" t="str">
        <x:v>25 boards / 2% planning</x:v>
      </x:c>
      <x:c r="B219" s="17" t="str">
        <x:v>F1206HI4000V032TM</x:v>
      </x:c>
      <x:c r="C219" s="18" t="n">
        <x:v>25</x:v>
      </x:c>
      <x:c r="D219" s="27" t="n">
        <x:v>0.02</x:v>
      </x:c>
      <x:c r="E219" s="18" t="n">
        <x:f>INDEX('Assembly BOM'!$C$7:$C$162,MATCH($B219,'Assembly BOM'!$A$7:$A$162,0))</x:f>
        <x:v>1</x:v>
      </x:c>
      <x:c r="F219" s="18" t="n">
        <x:f>C219*E219</x:f>
        <x:v>25</x:v>
      </x:c>
      <x:c r="G219" s="18" t="n">
        <x:f>ROUNDUP(F219*(1+D219),0)</x:f>
        <x:v>26</x:v>
      </x:c>
      <x:c r="H219" s="18" t="n">
        <x:f>INDEX('Dated offers'!$F$7:$F$305,MATCH($Z219,'Dated offers'!$A$7:$A$305,0))</x:f>
        <x:v>5</x:v>
      </x:c>
      <x:c r="I219" s="18" t="n">
        <x:f>INDEX('Dated offers'!$G$7:$G$305,MATCH($Z219,'Dated offers'!$A$7:$A$305,0))</x:f>
        <x:v>5</x:v>
      </x:c>
      <x:c r="J219" s="18" t="n">
        <x:f>CEILING(MAX(G219,H219),I219)</x:f>
        <x:v>30</x:v>
      </x:c>
      <x:c r="K219" s="18" t="n">
        <x:v>30</x:v>
      </x:c>
      <x:c r="L219" s="18" t="n">
        <x:f>INDEX('Dated offers'!$I$7:$I$305,MATCH($Z219,'Dated offers'!$A$7:$A$305,0))</x:f>
        <x:v>5</x:v>
      </x:c>
      <x:c r="M219" s="25" t="n">
        <x:f>INDEX('Dated offers'!$J$7:$J$305,MATCH($Z219,'Dated offers'!$A$7:$A$305,0))</x:f>
        <x:v>0.289</x:v>
      </x:c>
      <x:c r="N219" s="25" t="n">
        <x:f>INDEX('Dated offers'!$K$7:$K$305,MATCH($Z219,'Dated offers'!$A$7:$A$305,0))</x:f>
        <x:v>0</x:v>
      </x:c>
      <x:c r="O219" s="25" t="n">
        <x:f>F219*M219</x:f>
        <x:v>7.225</x:v>
      </x:c>
      <x:c r="P219" s="25" t="n">
        <x:f>G219*M219</x:f>
        <x:v>7.513999999999999</x:v>
      </x:c>
      <x:c r="Q219" s="25" t="n">
        <x:f>K219*M219+N219</x:f>
        <x:v>8.67</x:v>
      </x:c>
      <x:c r="R219" s="18" t="n">
        <x:f>K219-G219</x:f>
        <x:v>4</x:v>
      </x:c>
      <x:c r="S219" s="18" t="n">
        <x:f>INDEX('Dated offers'!$H$7:$H$305,MATCH($Z219,'Dated offers'!$A$7:$A$305,0))</x:f>
        <x:v>6270</x:v>
      </x:c>
      <x:c r="T219" s="2" t="str">
        <x:f>IF(K219&lt;G219,"Order below requirement",IF(K219&lt;L219,"Below price tier",IF(ISNUMBER(S219),IF(K219&gt;S219,"Quantity exceeds snapshot","Within quantity snapshot"),"Stock not stated")))</x:f>
        <x:v>Within quantity snapshot</x:v>
      </x:c>
      <x:c r="U219" s="2" t="str">
        <x:f>INDEX('Dated offers'!$C$7:$C$305,MATCH($Z219,'Dated offers'!$A$7:$A$305,0))</x:f>
        <x:v>LCSC</x:v>
      </x:c>
      <x:c r="V219" s="2" t="str">
        <x:f>INDEX('Dated offers'!$D$7:$D$305,MATCH($Z219,'Dated offers'!$A$7:$A$305,0))</x:f>
        <x:v>C246771</x:v>
      </x:c>
      <x:c r="W219" s="24" t="n">
        <x:f>INDEX('Dated offers'!$E$7:$E$305,MATCH($Z219,'Dated offers'!$A$7:$A$305,0))</x:f>
        <x:v>46307.44742240741</x:v>
      </x:c>
      <x:c r="X219" s="2" t="b">
        <x:f>INDEX('Dated offers'!$N$7:$N$305,MATCH($Z219,'Dated offers'!$A$7:$A$305,0))</x:f>
        <x:v>0</x:v>
      </x:c>
      <x:c r="Y219" s="2" t="str">
        <x:f>INDEX('Dated offers'!$O$7:$O$305,MATCH($Z219,'Dated offers'!$A$7:$A$305,0))</x:f>
        <x:v>Unreserved inventory snapshot</x:v>
      </x:c>
      <x:c r="Z219" s="17" t="str">
        <x:v>OF0057</x:v>
      </x:c>
      <x:c r="AA219" s="2"/>
      <x:c r="AB219" s="2" t="str">
        <x:f>INDEX('Dated offers'!$Q$7:$Q$305,MATCH($Z219,'Dated offers'!$A$7:$A$305,0))</x:f>
        <x:v>https://www.lcsc.com/product-detail/C246771.html</x:v>
      </x:c>
    </x:row>
    <x:row r="220" ht="24" customHeight="1">
      <x:c r="A220" s="2" t="str">
        <x:v>25 boards / 2% planning</x:v>
      </x:c>
      <x:c r="B220" s="17" t="str">
        <x:v>FSUSB42UMX</x:v>
      </x:c>
      <x:c r="C220" s="18" t="n">
        <x:v>25</x:v>
      </x:c>
      <x:c r="D220" s="27" t="n">
        <x:v>0.02</x:v>
      </x:c>
      <x:c r="E220" s="18" t="n">
        <x:f>INDEX('Assembly BOM'!$C$7:$C$162,MATCH($B220,'Assembly BOM'!$A$7:$A$162,0))</x:f>
        <x:v>1</x:v>
      </x:c>
      <x:c r="F220" s="18" t="n">
        <x:f>C220*E220</x:f>
        <x:v>25</x:v>
      </x:c>
      <x:c r="G220" s="18" t="n">
        <x:f>ROUNDUP(F220*(1+D220),0)</x:f>
        <x:v>26</x:v>
      </x:c>
      <x:c r="H220" s="18" t="n">
        <x:f>INDEX('Dated offers'!$F$7:$F$305,MATCH($Z220,'Dated offers'!$A$7:$A$305,0))</x:f>
        <x:v>1</x:v>
      </x:c>
      <x:c r="I220" s="18" t="n">
        <x:f>INDEX('Dated offers'!$G$7:$G$305,MATCH($Z220,'Dated offers'!$A$7:$A$305,0))</x:f>
        <x:v>1</x:v>
      </x:c>
      <x:c r="J220" s="18" t="n">
        <x:f>CEILING(MAX(G220,H220),I220)</x:f>
        <x:v>26</x:v>
      </x:c>
      <x:c r="K220" s="18" t="n">
        <x:v>26</x:v>
      </x:c>
      <x:c r="L220" s="18" t="n">
        <x:f>INDEX('Dated offers'!$I$7:$I$305,MATCH($Z220,'Dated offers'!$A$7:$A$305,0))</x:f>
        <x:v>10</x:v>
      </x:c>
      <x:c r="M220" s="25" t="n">
        <x:f>INDEX('Dated offers'!$J$7:$J$305,MATCH($Z220,'Dated offers'!$A$7:$A$305,0))</x:f>
        <x:v>0.3453</x:v>
      </x:c>
      <x:c r="N220" s="25" t="n">
        <x:f>INDEX('Dated offers'!$K$7:$K$305,MATCH($Z220,'Dated offers'!$A$7:$A$305,0))</x:f>
        <x:v>0</x:v>
      </x:c>
      <x:c r="O220" s="25" t="n">
        <x:f>F220*M220</x:f>
        <x:v>8.6325</x:v>
      </x:c>
      <x:c r="P220" s="25" t="n">
        <x:f>G220*M220</x:f>
        <x:v>8.9778</x:v>
      </x:c>
      <x:c r="Q220" s="25" t="n">
        <x:f>K220*M220+N220</x:f>
        <x:v>8.9778</x:v>
      </x:c>
      <x:c r="R220" s="18" t="n">
        <x:f>K220-G220</x:f>
        <x:v>0</x:v>
      </x:c>
      <x:c r="S220" s="18" t="n">
        <x:f>INDEX('Dated offers'!$H$7:$H$305,MATCH($Z220,'Dated offers'!$A$7:$A$305,0))</x:f>
        <x:v>20301</x:v>
      </x:c>
      <x:c r="T220" s="2" t="str">
        <x:f>IF(K220&lt;G220,"Order below requirement",IF(K220&lt;L220,"Below price tier",IF(ISNUMBER(S220),IF(K220&gt;S220,"Quantity exceeds snapshot","Within quantity snapshot"),"Stock not stated")))</x:f>
        <x:v>Within quantity snapshot</x:v>
      </x:c>
      <x:c r="U220" s="2" t="str">
        <x:f>INDEX('Dated offers'!$C$7:$C$305,MATCH($Z220,'Dated offers'!$A$7:$A$305,0))</x:f>
        <x:v>LCSC</x:v>
      </x:c>
      <x:c r="V220" s="2" t="str">
        <x:f>INDEX('Dated offers'!$D$7:$D$305,MATCH($Z220,'Dated offers'!$A$7:$A$305,0))</x:f>
        <x:v>C11145</x:v>
      </x:c>
      <x:c r="W220" s="24" t="n">
        <x:f>INDEX('Dated offers'!$E$7:$E$305,MATCH($Z220,'Dated offers'!$A$7:$A$305,0))</x:f>
        <x:v>46307.447422847225</x:v>
      </x:c>
      <x:c r="X220" s="2" t="b">
        <x:f>INDEX('Dated offers'!$N$7:$N$305,MATCH($Z220,'Dated offers'!$A$7:$A$305,0))</x:f>
        <x:v>0</x:v>
      </x:c>
      <x:c r="Y220" s="2" t="str">
        <x:f>INDEX('Dated offers'!$O$7:$O$305,MATCH($Z220,'Dated offers'!$A$7:$A$305,0))</x:f>
        <x:v>Unreserved inventory snapshot</x:v>
      </x:c>
      <x:c r="Z220" s="17" t="str">
        <x:v>OF0058</x:v>
      </x:c>
      <x:c r="AA220" s="2"/>
      <x:c r="AB220" s="2" t="str">
        <x:f>INDEX('Dated offers'!$Q$7:$Q$305,MATCH($Z220,'Dated offers'!$A$7:$A$305,0))</x:f>
        <x:v>https://www.lcsc.com/product-detail/C11145.html</x:v>
      </x:c>
    </x:row>
    <x:row r="221" ht="24" customHeight="1">
      <x:c r="A221" s="2" t="str">
        <x:v>25 boards / 2% planning</x:v>
      </x:c>
      <x:c r="B221" s="17" t="str">
        <x:v>GRM1555C1H270JA01D</x:v>
      </x:c>
      <x:c r="C221" s="18" t="n">
        <x:v>25</x:v>
      </x:c>
      <x:c r="D221" s="27" t="n">
        <x:v>0.02</x:v>
      </x:c>
      <x:c r="E221" s="18" t="n">
        <x:f>INDEX('Assembly BOM'!$C$7:$C$162,MATCH($B221,'Assembly BOM'!$A$7:$A$162,0))</x:f>
        <x:v>2</x:v>
      </x:c>
      <x:c r="F221" s="18" t="n">
        <x:f>C221*E221</x:f>
        <x:v>50</x:v>
      </x:c>
      <x:c r="G221" s="18" t="n">
        <x:f>ROUNDUP(F221*(1+D221),0)</x:f>
        <x:v>51</x:v>
      </x:c>
      <x:c r="H221" s="18" t="n">
        <x:f>INDEX('Dated offers'!$F$7:$F$305,MATCH($Z221,'Dated offers'!$A$7:$A$305,0))</x:f>
        <x:v>1</x:v>
      </x:c>
      <x:c r="I221" s="18" t="n">
        <x:f>INDEX('Dated offers'!$G$7:$G$305,MATCH($Z221,'Dated offers'!$A$7:$A$305,0))</x:f>
        <x:v>1</x:v>
      </x:c>
      <x:c r="J221" s="18" t="n">
        <x:f>CEILING(MAX(G221,H221),I221)</x:f>
        <x:v>51</x:v>
      </x:c>
      <x:c r="K221" s="18" t="n">
        <x:v>51</x:v>
      </x:c>
      <x:c r="L221" s="18" t="n">
        <x:f>INDEX('Dated offers'!$I$7:$I$305,MATCH($Z221,'Dated offers'!$A$7:$A$305,0))</x:f>
        <x:v>50</x:v>
      </x:c>
      <x:c r="M221" s="25" t="n">
        <x:f>INDEX('Dated offers'!$J$7:$J$305,MATCH($Z221,'Dated offers'!$A$7:$A$305,0))</x:f>
        <x:v>0.014</x:v>
      </x:c>
      <x:c r="N221" s="25" t="n">
        <x:f>INDEX('Dated offers'!$K$7:$K$305,MATCH($Z221,'Dated offers'!$A$7:$A$305,0))</x:f>
        <x:v>0</x:v>
      </x:c>
      <x:c r="O221" s="25" t="n">
        <x:f>F221*M221</x:f>
        <x:v>0.7000000000000001</x:v>
      </x:c>
      <x:c r="P221" s="25" t="n">
        <x:f>G221*M221</x:f>
        <x:v>0.714</x:v>
      </x:c>
      <x:c r="Q221" s="25" t="n">
        <x:f>K221*M221+N221</x:f>
        <x:v>0.714</x:v>
      </x:c>
      <x:c r="R221" s="18" t="n">
        <x:f>K221-G221</x:f>
        <x:v>0</x:v>
      </x:c>
      <x:c r="S221" s="18" t="n">
        <x:f>INDEX('Dated offers'!$H$7:$H$305,MATCH($Z221,'Dated offers'!$A$7:$A$305,0))</x:f>
        <x:v>4471424</x:v>
      </x:c>
      <x:c r="T221" s="2" t="str">
        <x:f>IF(K221&lt;G221,"Order below requirement",IF(K221&lt;L221,"Below price tier",IF(ISNUMBER(S221),IF(K221&gt;S221,"Quantity exceeds snapshot","Within quantity snapshot"),"Stock not stated")))</x:f>
        <x:v>Within quantity snapshot</x:v>
      </x:c>
      <x:c r="U221" s="2" t="str">
        <x:f>INDEX('Dated offers'!$C$7:$C$305,MATCH($Z221,'Dated offers'!$A$7:$A$305,0))</x:f>
        <x:v>DigiKey</x:v>
      </x:c>
      <x:c r="V221" s="2" t="str">
        <x:f>INDEX('Dated offers'!$D$7:$D$305,MATCH($Z221,'Dated offers'!$A$7:$A$305,0))</x:f>
        <x:v>Not stated</x:v>
      </x:c>
      <x:c r="W221" s="24" t="n">
        <x:f>INDEX('Dated offers'!$E$7:$E$305,MATCH($Z221,'Dated offers'!$A$7:$A$305,0))</x:f>
        <x:v>46307.47807256944</x:v>
      </x:c>
      <x:c r="X221" s="2" t="b">
        <x:f>INDEX('Dated offers'!$N$7:$N$305,MATCH($Z221,'Dated offers'!$A$7:$A$305,0))</x:f>
        <x:v>0</x:v>
      </x:c>
      <x:c r="Y221" s="2" t="str">
        <x:f>INDEX('Dated offers'!$O$7:$O$305,MATCH($Z221,'Dated offers'!$A$7:$A$305,0))</x:f>
        <x:v>Unreserved inventory snapshot</x:v>
      </x:c>
      <x:c r="Z221" s="17" t="str">
        <x:v>OF0059</x:v>
      </x:c>
      <x:c r="AA221" s="2"/>
      <x:c r="AB221" s="2" t="str">
        <x:f>INDEX('Dated offers'!$Q$7:$Q$305,MATCH($Z221,'Dated offers'!$A$7:$A$305,0))</x:f>
        <x:v>https://www.digikey.com/en/products/detail/murata-electronics/GRM1555C1H270JA01D/3175188</x:v>
      </x:c>
    </x:row>
    <x:row r="222" ht="24" customHeight="1">
      <x:c r="A222" s="2" t="str">
        <x:v>25 boards / 2% planning</x:v>
      </x:c>
      <x:c r="B222" s="17" t="str">
        <x:v>GRM155R71C104KA88D</x:v>
      </x:c>
      <x:c r="C222" s="18" t="n">
        <x:v>25</x:v>
      </x:c>
      <x:c r="D222" s="27" t="n">
        <x:v>0.02</x:v>
      </x:c>
      <x:c r="E222" s="18" t="n">
        <x:f>INDEX('Assembly BOM'!$C$7:$C$162,MATCH($B222,'Assembly BOM'!$A$7:$A$162,0))</x:f>
        <x:v>5</x:v>
      </x:c>
      <x:c r="F222" s="18" t="n">
        <x:f>C222*E222</x:f>
        <x:v>125</x:v>
      </x:c>
      <x:c r="G222" s="18" t="n">
        <x:f>ROUNDUP(F222*(1+D222),0)</x:f>
        <x:v>128</x:v>
      </x:c>
      <x:c r="H222" s="18" t="n">
        <x:f>INDEX('Dated offers'!$F$7:$F$305,MATCH($Z222,'Dated offers'!$A$7:$A$305,0))</x:f>
        <x:v>100</x:v>
      </x:c>
      <x:c r="I222" s="18" t="n">
        <x:f>INDEX('Dated offers'!$G$7:$G$305,MATCH($Z222,'Dated offers'!$A$7:$A$305,0))</x:f>
        <x:v>100</x:v>
      </x:c>
      <x:c r="J222" s="18" t="n">
        <x:f>CEILING(MAX(G222,H222),I222)</x:f>
        <x:v>200</x:v>
      </x:c>
      <x:c r="K222" s="18" t="n">
        <x:v>200</x:v>
      </x:c>
      <x:c r="L222" s="18" t="n">
        <x:f>INDEX('Dated offers'!$I$7:$I$305,MATCH($Z222,'Dated offers'!$A$7:$A$305,0))</x:f>
        <x:v>100</x:v>
      </x:c>
      <x:c r="M222" s="25" t="n">
        <x:f>INDEX('Dated offers'!$J$7:$J$305,MATCH($Z222,'Dated offers'!$A$7:$A$305,0))</x:f>
        <x:v>0.0052</x:v>
      </x:c>
      <x:c r="N222" s="25" t="n">
        <x:f>INDEX('Dated offers'!$K$7:$K$305,MATCH($Z222,'Dated offers'!$A$7:$A$305,0))</x:f>
        <x:v>0</x:v>
      </x:c>
      <x:c r="O222" s="25" t="n">
        <x:f>F222*M222</x:f>
        <x:v>0.65</x:v>
      </x:c>
      <x:c r="P222" s="25" t="n">
        <x:f>G222*M222</x:f>
        <x:v>0.6656</x:v>
      </x:c>
      <x:c r="Q222" s="25" t="n">
        <x:f>K222*M222+N222</x:f>
        <x:v>1.04</x:v>
      </x:c>
      <x:c r="R222" s="18" t="n">
        <x:f>K222-G222</x:f>
        <x:v>72</x:v>
      </x:c>
      <x:c r="S222" s="18" t="n">
        <x:f>INDEX('Dated offers'!$H$7:$H$305,MATCH($Z222,'Dated offers'!$A$7:$A$305,0))</x:f>
        <x:v>957800</x:v>
      </x:c>
      <x:c r="T222" s="2" t="str">
        <x:f>IF(K222&lt;G222,"Order below requirement",IF(K222&lt;L222,"Below price tier",IF(ISNUMBER(S222),IF(K222&gt;S222,"Quantity exceeds snapshot","Within quantity snapshot"),"Stock not stated")))</x:f>
        <x:v>Within quantity snapshot</x:v>
      </x:c>
      <x:c r="U222" s="2" t="str">
        <x:f>INDEX('Dated offers'!$C$7:$C$305,MATCH($Z222,'Dated offers'!$A$7:$A$305,0))</x:f>
        <x:v>LCSC</x:v>
      </x:c>
      <x:c r="V222" s="2" t="str">
        <x:f>INDEX('Dated offers'!$D$7:$D$305,MATCH($Z222,'Dated offers'!$A$7:$A$305,0))</x:f>
        <x:v>C71629</x:v>
      </x:c>
      <x:c r="W222" s="24" t="n">
        <x:f>INDEX('Dated offers'!$E$7:$E$305,MATCH($Z222,'Dated offers'!$A$7:$A$305,0))</x:f>
        <x:v>46307.44742510417</x:v>
      </x:c>
      <x:c r="X222" s="2" t="b">
        <x:f>INDEX('Dated offers'!$N$7:$N$305,MATCH($Z222,'Dated offers'!$A$7:$A$305,0))</x:f>
        <x:v>0</x:v>
      </x:c>
      <x:c r="Y222" s="2" t="str">
        <x:f>INDEX('Dated offers'!$O$7:$O$305,MATCH($Z222,'Dated offers'!$A$7:$A$305,0))</x:f>
        <x:v>Unreserved inventory snapshot</x:v>
      </x:c>
      <x:c r="Z222" s="17" t="str">
        <x:v>OF0060</x:v>
      </x:c>
      <x:c r="AA222" s="2"/>
      <x:c r="AB222" s="2" t="str">
        <x:f>INDEX('Dated offers'!$Q$7:$Q$305,MATCH($Z222,'Dated offers'!$A$7:$A$305,0))</x:f>
        <x:v>https://www.lcsc.com/product-detail/C71629.html</x:v>
      </x:c>
    </x:row>
    <x:row r="223" ht="24" customHeight="1">
      <x:c r="A223" s="2" t="str">
        <x:v>25 boards / 2% planning</x:v>
      </x:c>
      <x:c r="B223" s="17" t="str">
        <x:v>GRM155R71E222KA01D</x:v>
      </x:c>
      <x:c r="C223" s="18" t="n">
        <x:v>25</x:v>
      </x:c>
      <x:c r="D223" s="27" t="n">
        <x:v>0.02</x:v>
      </x:c>
      <x:c r="E223" s="18" t="n">
        <x:f>INDEX('Assembly BOM'!$C$7:$C$162,MATCH($B223,'Assembly BOM'!$A$7:$A$162,0))</x:f>
        <x:v>3</x:v>
      </x:c>
      <x:c r="F223" s="18" t="n">
        <x:f>C223*E223</x:f>
        <x:v>75</x:v>
      </x:c>
      <x:c r="G223" s="18" t="n">
        <x:f>ROUNDUP(F223*(1+D223),0)</x:f>
        <x:v>77</x:v>
      </x:c>
      <x:c r="H223" s="18" t="n">
        <x:f>INDEX('Dated offers'!$F$7:$F$305,MATCH($Z223,'Dated offers'!$A$7:$A$305,0))</x:f>
        <x:v>1</x:v>
      </x:c>
      <x:c r="I223" s="18" t="n">
        <x:f>INDEX('Dated offers'!$G$7:$G$305,MATCH($Z223,'Dated offers'!$A$7:$A$305,0))</x:f>
        <x:v>1</x:v>
      </x:c>
      <x:c r="J223" s="18" t="n">
        <x:f>CEILING(MAX(G223,H223),I223)</x:f>
        <x:v>77</x:v>
      </x:c>
      <x:c r="K223" s="18" t="n">
        <x:v>77</x:v>
      </x:c>
      <x:c r="L223" s="18" t="n">
        <x:f>INDEX('Dated offers'!$I$7:$I$305,MATCH($Z223,'Dated offers'!$A$7:$A$305,0))</x:f>
        <x:v>50</x:v>
      </x:c>
      <x:c r="M223" s="25" t="n">
        <x:f>INDEX('Dated offers'!$J$7:$J$305,MATCH($Z223,'Dated offers'!$A$7:$A$305,0))</x:f>
        <x:v>0.0134</x:v>
      </x:c>
      <x:c r="N223" s="25" t="n">
        <x:f>INDEX('Dated offers'!$K$7:$K$305,MATCH($Z223,'Dated offers'!$A$7:$A$305,0))</x:f>
        <x:v>0</x:v>
      </x:c>
      <x:c r="O223" s="25" t="n">
        <x:f>F223*M223</x:f>
        <x:v>1.0050000000000001</x:v>
      </x:c>
      <x:c r="P223" s="25" t="n">
        <x:f>G223*M223</x:f>
        <x:v>1.0318</x:v>
      </x:c>
      <x:c r="Q223" s="25" t="n">
        <x:f>K223*M223+N223</x:f>
        <x:v>1.0318</x:v>
      </x:c>
      <x:c r="R223" s="18" t="n">
        <x:f>K223-G223</x:f>
        <x:v>0</x:v>
      </x:c>
      <x:c r="S223" s="18" t="n">
        <x:f>INDEX('Dated offers'!$H$7:$H$305,MATCH($Z223,'Dated offers'!$A$7:$A$305,0))</x:f>
        <x:v>85441</x:v>
      </x:c>
      <x:c r="T223" s="2" t="str">
        <x:f>IF(K223&lt;G223,"Order below requirement",IF(K223&lt;L223,"Below price tier",IF(ISNUMBER(S223),IF(K223&gt;S223,"Quantity exceeds snapshot","Within quantity snapshot"),"Stock not stated")))</x:f>
        <x:v>Within quantity snapshot</x:v>
      </x:c>
      <x:c r="U223" s="2" t="str">
        <x:f>INDEX('Dated offers'!$C$7:$C$305,MATCH($Z223,'Dated offers'!$A$7:$A$305,0))</x:f>
        <x:v>DigiKey</x:v>
      </x:c>
      <x:c r="V223" s="2" t="str">
        <x:f>INDEX('Dated offers'!$D$7:$D$305,MATCH($Z223,'Dated offers'!$A$7:$A$305,0))</x:f>
        <x:v>Not stated</x:v>
      </x:c>
      <x:c r="W223" s="24" t="n">
        <x:f>INDEX('Dated offers'!$E$7:$E$305,MATCH($Z223,'Dated offers'!$A$7:$A$305,0))</x:f>
        <x:v>46307.47807256944</x:v>
      </x:c>
      <x:c r="X223" s="2" t="b">
        <x:f>INDEX('Dated offers'!$N$7:$N$305,MATCH($Z223,'Dated offers'!$A$7:$A$305,0))</x:f>
        <x:v>0</x:v>
      </x:c>
      <x:c r="Y223" s="2" t="str">
        <x:f>INDEX('Dated offers'!$O$7:$O$305,MATCH($Z223,'Dated offers'!$A$7:$A$305,0))</x:f>
        <x:v>Unreserved inventory snapshot</x:v>
      </x:c>
      <x:c r="Z223" s="17" t="str">
        <x:v>OF0061</x:v>
      </x:c>
      <x:c r="AA223" s="2"/>
      <x:c r="AB223" s="2" t="str">
        <x:f>INDEX('Dated offers'!$Q$7:$Q$305,MATCH($Z223,'Dated offers'!$A$7:$A$305,0))</x:f>
        <x:v>https://www.digikey.com/en/products/detail/murata-electronics/GRM155R71E222KA01D/2175226</x:v>
      </x:c>
    </x:row>
    <x:row r="224" ht="24" customHeight="1">
      <x:c r="A224" s="2" t="str">
        <x:v>25 boards / 2% planning</x:v>
      </x:c>
      <x:c r="B224" s="17" t="str">
        <x:v>GRM188R72A104KA35D</x:v>
      </x:c>
      <x:c r="C224" s="18" t="n">
        <x:v>25</x:v>
      </x:c>
      <x:c r="D224" s="27" t="n">
        <x:v>0.02</x:v>
      </x:c>
      <x:c r="E224" s="18" t="n">
        <x:f>INDEX('Assembly BOM'!$C$7:$C$162,MATCH($B224,'Assembly BOM'!$A$7:$A$162,0))</x:f>
        <x:v>3</x:v>
      </x:c>
      <x:c r="F224" s="18" t="n">
        <x:f>C224*E224</x:f>
        <x:v>75</x:v>
      </x:c>
      <x:c r="G224" s="18" t="n">
        <x:f>ROUNDUP(F224*(1+D224),0)</x:f>
        <x:v>77</x:v>
      </x:c>
      <x:c r="H224" s="18" t="n">
        <x:f>INDEX('Dated offers'!$F$7:$F$305,MATCH($Z224,'Dated offers'!$A$7:$A$305,0))</x:f>
        <x:v>1</x:v>
      </x:c>
      <x:c r="I224" s="18" t="n">
        <x:f>INDEX('Dated offers'!$G$7:$G$305,MATCH($Z224,'Dated offers'!$A$7:$A$305,0))</x:f>
        <x:v>1</x:v>
      </x:c>
      <x:c r="J224" s="18" t="n">
        <x:f>CEILING(MAX(G224,H224),I224)</x:f>
        <x:v>77</x:v>
      </x:c>
      <x:c r="K224" s="18" t="n">
        <x:v>77</x:v>
      </x:c>
      <x:c r="L224" s="18" t="n">
        <x:f>INDEX('Dated offers'!$I$7:$I$305,MATCH($Z224,'Dated offers'!$A$7:$A$305,0))</x:f>
        <x:v>50</x:v>
      </x:c>
      <x:c r="M224" s="25" t="n">
        <x:f>INDEX('Dated offers'!$J$7:$J$305,MATCH($Z224,'Dated offers'!$A$7:$A$305,0))</x:f>
        <x:v>0.0612</x:v>
      </x:c>
      <x:c r="N224" s="25" t="n">
        <x:f>INDEX('Dated offers'!$K$7:$K$305,MATCH($Z224,'Dated offers'!$A$7:$A$305,0))</x:f>
        <x:v>0</x:v>
      </x:c>
      <x:c r="O224" s="25" t="n">
        <x:f>F224*M224</x:f>
        <x:v>4.59</x:v>
      </x:c>
      <x:c r="P224" s="25" t="n">
        <x:f>G224*M224</x:f>
        <x:v>4.7124</x:v>
      </x:c>
      <x:c r="Q224" s="25" t="n">
        <x:f>K224*M224+N224</x:f>
        <x:v>4.7124</x:v>
      </x:c>
      <x:c r="R224" s="18" t="n">
        <x:f>K224-G224</x:f>
        <x:v>0</x:v>
      </x:c>
      <x:c r="S224" s="18" t="n">
        <x:f>INDEX('Dated offers'!$H$7:$H$305,MATCH($Z224,'Dated offers'!$A$7:$A$305,0))</x:f>
        <x:v>404101</x:v>
      </x:c>
      <x:c r="T224" s="2" t="str">
        <x:f>IF(K224&lt;G224,"Order below requirement",IF(K224&lt;L224,"Below price tier",IF(ISNUMBER(S224),IF(K224&gt;S224,"Quantity exceeds snapshot","Within quantity snapshot"),"Stock not stated")))</x:f>
        <x:v>Within quantity snapshot</x:v>
      </x:c>
      <x:c r="U224" s="2" t="str">
        <x:f>INDEX('Dated offers'!$C$7:$C$305,MATCH($Z224,'Dated offers'!$A$7:$A$305,0))</x:f>
        <x:v>DigiKey</x:v>
      </x:c>
      <x:c r="V224" s="2" t="str">
        <x:f>INDEX('Dated offers'!$D$7:$D$305,MATCH($Z224,'Dated offers'!$A$7:$A$305,0))</x:f>
        <x:v>Exact GRM188R72A104KA35D Cut Tape</x:v>
      </x:c>
      <x:c r="W224" s="24" t="n">
        <x:f>INDEX('Dated offers'!$E$7:$E$305,MATCH($Z224,'Dated offers'!$A$7:$A$305,0))</x:f>
        <x:v>46307.7145725</x:v>
      </x:c>
      <x:c r="X224" s="2" t="b">
        <x:f>INDEX('Dated offers'!$N$7:$N$305,MATCH($Z224,'Dated offers'!$A$7:$A$305,0))</x:f>
        <x:v>0</x:v>
      </x:c>
      <x:c r="Y224" s="2" t="str">
        <x:f>INDEX('Dated offers'!$O$7:$O$305,MATCH($Z224,'Dated offers'!$A$7:$A$305,0))</x:f>
        <x:v>Unreserved inventory snapshot</x:v>
      </x:c>
      <x:c r="Z224" s="17" t="str">
        <x:v>OF0062</x:v>
      </x:c>
      <x:c r="AA224" s="2"/>
      <x:c r="AB224" s="2" t="str">
        <x:f>INDEX('Dated offers'!$Q$7:$Q$305,MATCH($Z224,'Dated offers'!$A$7:$A$305,0))</x:f>
        <x:v>https://www.digikey.com/en/products/detail/murata-electronics/GRM188R72A104KA35D/702826</x:v>
      </x:c>
    </x:row>
    <x:row r="225" ht="24" customHeight="1">
      <x:c r="A225" s="2" t="str">
        <x:v>25 boards / 2% planning</x:v>
      </x:c>
      <x:c r="B225" s="17" t="str">
        <x:v>GRM31C5C1H224JE02L</x:v>
      </x:c>
      <x:c r="C225" s="18" t="n">
        <x:v>25</x:v>
      </x:c>
      <x:c r="D225" s="27" t="n">
        <x:v>0.02</x:v>
      </x:c>
      <x:c r="E225" s="18" t="n">
        <x:f>INDEX('Assembly BOM'!$C$7:$C$162,MATCH($B225,'Assembly BOM'!$A$7:$A$162,0))</x:f>
        <x:v>1</x:v>
      </x:c>
      <x:c r="F225" s="18" t="n">
        <x:f>C225*E225</x:f>
        <x:v>25</x:v>
      </x:c>
      <x:c r="G225" s="18" t="n">
        <x:f>ROUNDUP(F225*(1+D225),0)</x:f>
        <x:v>26</x:v>
      </x:c>
      <x:c r="H225" s="18" t="n">
        <x:f>INDEX('Dated offers'!$F$7:$F$305,MATCH($Z225,'Dated offers'!$A$7:$A$305,0))</x:f>
        <x:v>5</x:v>
      </x:c>
      <x:c r="I225" s="18" t="n">
        <x:f>INDEX('Dated offers'!$G$7:$G$305,MATCH($Z225,'Dated offers'!$A$7:$A$305,0))</x:f>
        <x:v>5</x:v>
      </x:c>
      <x:c r="J225" s="18" t="n">
        <x:f>CEILING(MAX(G225,H225),I225)</x:f>
        <x:v>30</x:v>
      </x:c>
      <x:c r="K225" s="18" t="n">
        <x:v>30</x:v>
      </x:c>
      <x:c r="L225" s="18" t="n">
        <x:f>INDEX('Dated offers'!$I$7:$I$305,MATCH($Z225,'Dated offers'!$A$7:$A$305,0))</x:f>
        <x:v>5</x:v>
      </x:c>
      <x:c r="M225" s="25" t="n">
        <x:f>INDEX('Dated offers'!$J$7:$J$305,MATCH($Z225,'Dated offers'!$A$7:$A$305,0))</x:f>
        <x:v>0.3493</x:v>
      </x:c>
      <x:c r="N225" s="25" t="n">
        <x:f>INDEX('Dated offers'!$K$7:$K$305,MATCH($Z225,'Dated offers'!$A$7:$A$305,0))</x:f>
        <x:v>0</x:v>
      </x:c>
      <x:c r="O225" s="25" t="n">
        <x:f>F225*M225</x:f>
        <x:v>8.7325</x:v>
      </x:c>
      <x:c r="P225" s="25" t="n">
        <x:f>G225*M225</x:f>
        <x:v>9.0818</x:v>
      </x:c>
      <x:c r="Q225" s="25" t="n">
        <x:f>K225*M225+N225</x:f>
        <x:v>10.479</x:v>
      </x:c>
      <x:c r="R225" s="18" t="n">
        <x:f>K225-G225</x:f>
        <x:v>4</x:v>
      </x:c>
      <x:c r="S225" s="18" t="n">
        <x:f>INDEX('Dated offers'!$H$7:$H$305,MATCH($Z225,'Dated offers'!$A$7:$A$305,0))</x:f>
        <x:v>68865</x:v>
      </x:c>
      <x:c r="T225" s="2" t="str">
        <x:f>IF(K225&lt;G225,"Order below requirement",IF(K225&lt;L225,"Below price tier",IF(ISNUMBER(S225),IF(K225&gt;S225,"Quantity exceeds snapshot","Within quantity snapshot"),"Stock not stated")))</x:f>
        <x:v>Within quantity snapshot</x:v>
      </x:c>
      <x:c r="U225" s="2" t="str">
        <x:f>INDEX('Dated offers'!$C$7:$C$305,MATCH($Z225,'Dated offers'!$A$7:$A$305,0))</x:f>
        <x:v>LCSC</x:v>
      </x:c>
      <x:c r="V225" s="2" t="str">
        <x:f>INDEX('Dated offers'!$D$7:$D$305,MATCH($Z225,'Dated offers'!$A$7:$A$305,0))</x:f>
        <x:v>C464977</x:v>
      </x:c>
      <x:c r="W225" s="24" t="n">
        <x:f>INDEX('Dated offers'!$E$7:$E$305,MATCH($Z225,'Dated offers'!$A$7:$A$305,0))</x:f>
        <x:v>46307.619585625</x:v>
      </x:c>
      <x:c r="X225" s="2" t="b">
        <x:f>INDEX('Dated offers'!$N$7:$N$305,MATCH($Z225,'Dated offers'!$A$7:$A$305,0))</x:f>
        <x:v>0</x:v>
      </x:c>
      <x:c r="Y225" s="2" t="str">
        <x:f>INDEX('Dated offers'!$O$7:$O$305,MATCH($Z225,'Dated offers'!$A$7:$A$305,0))</x:f>
        <x:v>Unreserved inventory snapshot</x:v>
      </x:c>
      <x:c r="Z225" s="17" t="str">
        <x:v>OF0063</x:v>
      </x:c>
      <x:c r="AA225" s="2"/>
      <x:c r="AB225" s="2" t="str">
        <x:f>INDEX('Dated offers'!$Q$7:$Q$305,MATCH($Z225,'Dated offers'!$A$7:$A$305,0))</x:f>
        <x:v>https://www.lcsc.com/product-detail/C464977.html</x:v>
      </x:c>
    </x:row>
    <x:row r="226" ht="24" customHeight="1">
      <x:c r="A226" s="2" t="str">
        <x:v>25 boards / 2% planning</x:v>
      </x:c>
      <x:c r="B226" s="17" t="str">
        <x:v>GRM31C5C2A683JA01L</x:v>
      </x:c>
      <x:c r="C226" s="18" t="n">
        <x:v>25</x:v>
      </x:c>
      <x:c r="D226" s="27" t="n">
        <x:v>0.02</x:v>
      </x:c>
      <x:c r="E226" s="18" t="n">
        <x:f>INDEX('Assembly BOM'!$C$7:$C$162,MATCH($B226,'Assembly BOM'!$A$7:$A$162,0))</x:f>
        <x:v>1</x:v>
      </x:c>
      <x:c r="F226" s="18" t="n">
        <x:f>C226*E226</x:f>
        <x:v>25</x:v>
      </x:c>
      <x:c r="G226" s="18" t="n">
        <x:f>ROUNDUP(F226*(1+D226),0)</x:f>
        <x:v>26</x:v>
      </x:c>
      <x:c r="H226" s="18" t="n">
        <x:f>INDEX('Dated offers'!$F$7:$F$305,MATCH($Z226,'Dated offers'!$A$7:$A$305,0))</x:f>
        <x:v>1</x:v>
      </x:c>
      <x:c r="I226" s="18" t="n">
        <x:f>INDEX('Dated offers'!$G$7:$G$305,MATCH($Z226,'Dated offers'!$A$7:$A$305,0))</x:f>
        <x:v>1</x:v>
      </x:c>
      <x:c r="J226" s="18" t="n">
        <x:f>CEILING(MAX(G226,H226),I226)</x:f>
        <x:v>26</x:v>
      </x:c>
      <x:c r="K226" s="18" t="n">
        <x:v>26</x:v>
      </x:c>
      <x:c r="L226" s="18" t="n">
        <x:f>INDEX('Dated offers'!$I$7:$I$305,MATCH($Z226,'Dated offers'!$A$7:$A$305,0))</x:f>
        <x:v>10</x:v>
      </x:c>
      <x:c r="M226" s="25" t="n">
        <x:f>INDEX('Dated offers'!$J$7:$J$305,MATCH($Z226,'Dated offers'!$A$7:$A$305,0))</x:f>
        <x:v>0.309</x:v>
      </x:c>
      <x:c r="N226" s="25" t="n">
        <x:f>INDEX('Dated offers'!$K$7:$K$305,MATCH($Z226,'Dated offers'!$A$7:$A$305,0))</x:f>
        <x:v>0</x:v>
      </x:c>
      <x:c r="O226" s="25" t="n">
        <x:f>F226*M226</x:f>
        <x:v>7.725</x:v>
      </x:c>
      <x:c r="P226" s="25" t="n">
        <x:f>G226*M226</x:f>
        <x:v>8.034</x:v>
      </x:c>
      <x:c r="Q226" s="25" t="n">
        <x:f>K226*M226+N226</x:f>
        <x:v>8.034</x:v>
      </x:c>
      <x:c r="R226" s="18" t="n">
        <x:f>K226-G226</x:f>
        <x:v>0</x:v>
      </x:c>
      <x:c r="S226" s="18" t="n">
        <x:f>INDEX('Dated offers'!$H$7:$H$305,MATCH($Z226,'Dated offers'!$A$7:$A$305,0))</x:f>
        <x:v>22417</x:v>
      </x:c>
      <x:c r="T226" s="2" t="str">
        <x:f>IF(K226&lt;G226,"Order below requirement",IF(K226&lt;L226,"Below price tier",IF(ISNUMBER(S226),IF(K226&gt;S226,"Quantity exceeds snapshot","Within quantity snapshot"),"Stock not stated")))</x:f>
        <x:v>Within quantity snapshot</x:v>
      </x:c>
      <x:c r="U226" s="2" t="str">
        <x:f>INDEX('Dated offers'!$C$7:$C$305,MATCH($Z226,'Dated offers'!$A$7:$A$305,0))</x:f>
        <x:v>DigiKey</x:v>
      </x:c>
      <x:c r="V226" s="2" t="str">
        <x:f>INDEX('Dated offers'!$D$7:$D$305,MATCH($Z226,'Dated offers'!$A$7:$A$305,0))</x:f>
        <x:v>Not stated</x:v>
      </x:c>
      <x:c r="W226" s="24" t="n">
        <x:f>INDEX('Dated offers'!$E$7:$E$305,MATCH($Z226,'Dated offers'!$A$7:$A$305,0))</x:f>
        <x:v>46307.47807262732</x:v>
      </x:c>
      <x:c r="X226" s="2" t="b">
        <x:f>INDEX('Dated offers'!$N$7:$N$305,MATCH($Z226,'Dated offers'!$A$7:$A$305,0))</x:f>
        <x:v>0</x:v>
      </x:c>
      <x:c r="Y226" s="2" t="str">
        <x:f>INDEX('Dated offers'!$O$7:$O$305,MATCH($Z226,'Dated offers'!$A$7:$A$305,0))</x:f>
        <x:v>Unreserved inventory snapshot</x:v>
      </x:c>
      <x:c r="Z226" s="17" t="str">
        <x:v>OF0064</x:v>
      </x:c>
      <x:c r="AA226" s="2"/>
      <x:c r="AB226" s="2" t="str">
        <x:f>INDEX('Dated offers'!$Q$7:$Q$305,MATCH($Z226,'Dated offers'!$A$7:$A$305,0))</x:f>
        <x:v>https://www.digikey.com/en/products/detail/murata-electronics/GRM31C5C2A683JA01L/10704119</x:v>
      </x:c>
    </x:row>
    <x:row r="227" ht="24" customHeight="1">
      <x:c r="A227" s="2" t="str">
        <x:v>25 boards / 2% planning</x:v>
      </x:c>
      <x:c r="B227" s="17" t="str">
        <x:v>H2414QR</x:v>
      </x:c>
      <x:c r="C227" s="18" t="n">
        <x:v>25</x:v>
      </x:c>
      <x:c r="D227" s="27" t="n">
        <x:v>0.02</x:v>
      </x:c>
      <x:c r="E227" s="18" t="n">
        <x:f>INDEX('Assembly BOM'!$C$7:$C$162,MATCH($B227,'Assembly BOM'!$A$7:$A$162,0))</x:f>
        <x:v>1</x:v>
      </x:c>
      <x:c r="F227" s="18" t="n">
        <x:f>C227*E227</x:f>
        <x:v>25</x:v>
      </x:c>
      <x:c r="G227" s="18" t="n">
        <x:f>ROUNDUP(F227*(1+D227),0)</x:f>
        <x:v>26</x:v>
      </x:c>
      <x:c r="H227" s="18" t="n">
        <x:f>INDEX('Dated offers'!$F$7:$F$305,MATCH($Z227,'Dated offers'!$A$7:$A$305,0))</x:f>
        <x:v>1</x:v>
      </x:c>
      <x:c r="I227" s="18" t="n">
        <x:f>INDEX('Dated offers'!$G$7:$G$305,MATCH($Z227,'Dated offers'!$A$7:$A$305,0))</x:f>
        <x:v>1</x:v>
      </x:c>
      <x:c r="J227" s="18" t="n">
        <x:f>CEILING(MAX(G227,H227),I227)</x:f>
        <x:v>26</x:v>
      </x:c>
      <x:c r="K227" s="18" t="n">
        <x:v>26</x:v>
      </x:c>
      <x:c r="L227" s="18" t="n">
        <x:f>INDEX('Dated offers'!$I$7:$I$305,MATCH($Z227,'Dated offers'!$A$7:$A$305,0))</x:f>
        <x:v>10</x:v>
      </x:c>
      <x:c r="M227" s="25" t="n">
        <x:f>INDEX('Dated offers'!$J$7:$J$305,MATCH($Z227,'Dated offers'!$A$7:$A$305,0))</x:f>
        <x:v>0.7315</x:v>
      </x:c>
      <x:c r="N227" s="25" t="n">
        <x:f>INDEX('Dated offers'!$K$7:$K$305,MATCH($Z227,'Dated offers'!$A$7:$A$305,0))</x:f>
        <x:v>0</x:v>
      </x:c>
      <x:c r="O227" s="25" t="n">
        <x:f>F227*M227</x:f>
        <x:v>18.2875</x:v>
      </x:c>
      <x:c r="P227" s="25" t="n">
        <x:f>G227*M227</x:f>
        <x:v>19.019000000000002</x:v>
      </x:c>
      <x:c r="Q227" s="25" t="n">
        <x:f>K227*M227+N227</x:f>
        <x:v>19.019000000000002</x:v>
      </x:c>
      <x:c r="R227" s="18" t="n">
        <x:f>K227-G227</x:f>
        <x:v>0</x:v>
      </x:c>
      <x:c r="S227" s="18" t="n">
        <x:f>INDEX('Dated offers'!$H$7:$H$305,MATCH($Z227,'Dated offers'!$A$7:$A$305,0))</x:f>
        <x:v>606</x:v>
      </x:c>
      <x:c r="T227" s="2" t="str">
        <x:f>IF(K227&lt;G227,"Order below requirement",IF(K227&lt;L227,"Below price tier",IF(ISNUMBER(S227),IF(K227&gt;S227,"Quantity exceeds snapshot","Within quantity snapshot"),"Stock not stated")))</x:f>
        <x:v>Within quantity snapshot</x:v>
      </x:c>
      <x:c r="U227" s="2" t="str">
        <x:f>INDEX('Dated offers'!$C$7:$C$305,MATCH($Z227,'Dated offers'!$A$7:$A$305,0))</x:f>
        <x:v>LCSC</x:v>
      </x:c>
      <x:c r="V227" s="2" t="str">
        <x:f>INDEX('Dated offers'!$D$7:$D$305,MATCH($Z227,'Dated offers'!$A$7:$A$305,0))</x:f>
        <x:v>C4155001</x:v>
      </x:c>
      <x:c r="W227" s="24" t="n">
        <x:f>INDEX('Dated offers'!$E$7:$E$305,MATCH($Z227,'Dated offers'!$A$7:$A$305,0))</x:f>
        <x:v>46307.447437002316</x:v>
      </x:c>
      <x:c r="X227" s="2" t="b">
        <x:f>INDEX('Dated offers'!$N$7:$N$305,MATCH($Z227,'Dated offers'!$A$7:$A$305,0))</x:f>
        <x:v>0</x:v>
      </x:c>
      <x:c r="Y227" s="2" t="str">
        <x:f>INDEX('Dated offers'!$O$7:$O$305,MATCH($Z227,'Dated offers'!$A$7:$A$305,0))</x:f>
        <x:v>Unreserved inventory snapshot</x:v>
      </x:c>
      <x:c r="Z227" s="17" t="str">
        <x:v>OF0065</x:v>
      </x:c>
      <x:c r="AA227" s="2"/>
      <x:c r="AB227" s="2" t="str">
        <x:f>INDEX('Dated offers'!$Q$7:$Q$305,MATCH($Z227,'Dated offers'!$A$7:$A$305,0))</x:f>
        <x:v>https://www.lcsc.com/product-detail/C4155001.html</x:v>
      </x:c>
    </x:row>
    <x:row r="228" ht="24" customHeight="1">
      <x:c r="A228" s="2" t="str">
        <x:v>25 boards / 2% planning</x:v>
      </x:c>
      <x:c r="B228" s="17" t="str">
        <x:v>KGM05ACG1H150FH</x:v>
      </x:c>
      <x:c r="C228" s="18" t="n">
        <x:v>25</x:v>
      </x:c>
      <x:c r="D228" s="27" t="n">
        <x:v>0.02</x:v>
      </x:c>
      <x:c r="E228" s="18" t="n">
        <x:f>INDEX('Assembly BOM'!$C$7:$C$162,MATCH($B228,'Assembly BOM'!$A$7:$A$162,0))</x:f>
        <x:v>2</x:v>
      </x:c>
      <x:c r="F228" s="18" t="n">
        <x:f>C228*E228</x:f>
        <x:v>50</x:v>
      </x:c>
      <x:c r="G228" s="18" t="n">
        <x:f>ROUNDUP(F228*(1+D228),0)</x:f>
        <x:v>51</x:v>
      </x:c>
      <x:c r="H228" s="18" t="n">
        <x:f>INDEX('Dated offers'!$F$7:$F$305,MATCH($Z228,'Dated offers'!$A$7:$A$305,0))</x:f>
        <x:v>1</x:v>
      </x:c>
      <x:c r="I228" s="18" t="n">
        <x:f>INDEX('Dated offers'!$G$7:$G$305,MATCH($Z228,'Dated offers'!$A$7:$A$305,0))</x:f>
        <x:v>1</x:v>
      </x:c>
      <x:c r="J228" s="18" t="n">
        <x:f>CEILING(MAX(G228,H228),I228)</x:f>
        <x:v>51</x:v>
      </x:c>
      <x:c r="K228" s="18" t="n">
        <x:v>51</x:v>
      </x:c>
      <x:c r="L228" s="18" t="n">
        <x:f>INDEX('Dated offers'!$I$7:$I$305,MATCH($Z228,'Dated offers'!$A$7:$A$305,0))</x:f>
        <x:v>50</x:v>
      </x:c>
      <x:c r="M228" s="25" t="n">
        <x:f>INDEX('Dated offers'!$J$7:$J$305,MATCH($Z228,'Dated offers'!$A$7:$A$305,0))</x:f>
        <x:v>0.3206</x:v>
      </x:c>
      <x:c r="N228" s="25" t="n">
        <x:f>INDEX('Dated offers'!$K$7:$K$305,MATCH($Z228,'Dated offers'!$A$7:$A$305,0))</x:f>
        <x:v>0</x:v>
      </x:c>
      <x:c r="O228" s="25" t="n">
        <x:f>F228*M228</x:f>
        <x:v>16.03</x:v>
      </x:c>
      <x:c r="P228" s="25" t="n">
        <x:f>G228*M228</x:f>
        <x:v>16.3506</x:v>
      </x:c>
      <x:c r="Q228" s="25" t="n">
        <x:f>K228*M228+N228</x:f>
        <x:v>16.3506</x:v>
      </x:c>
      <x:c r="R228" s="18" t="n">
        <x:f>K228-G228</x:f>
        <x:v>0</x:v>
      </x:c>
      <x:c r="S228" s="18" t="n">
        <x:f>INDEX('Dated offers'!$H$7:$H$305,MATCH($Z228,'Dated offers'!$A$7:$A$305,0))</x:f>
        <x:v>36414</x:v>
      </x:c>
      <x:c r="T228" s="2" t="str">
        <x:f>IF(K228&lt;G228,"Order below requirement",IF(K228&lt;L228,"Below price tier",IF(ISNUMBER(S228),IF(K228&gt;S228,"Quantity exceeds snapshot","Within quantity snapshot"),"Stock not stated")))</x:f>
        <x:v>Within quantity snapshot</x:v>
      </x:c>
      <x:c r="U228" s="2" t="str">
        <x:f>INDEX('Dated offers'!$C$7:$C$305,MATCH($Z228,'Dated offers'!$A$7:$A$305,0))</x:f>
        <x:v>DigiKey</x:v>
      </x:c>
      <x:c r="V228" s="2" t="str">
        <x:f>INDEX('Dated offers'!$D$7:$D$305,MATCH($Z228,'Dated offers'!$A$7:$A$305,0))</x:f>
        <x:v>Not stated</x:v>
      </x:c>
      <x:c r="W228" s="24" t="n">
        <x:f>INDEX('Dated offers'!$E$7:$E$305,MATCH($Z228,'Dated offers'!$A$7:$A$305,0))</x:f>
        <x:v>46307.47807253472</x:v>
      </x:c>
      <x:c r="X228" s="2" t="b">
        <x:f>INDEX('Dated offers'!$N$7:$N$305,MATCH($Z228,'Dated offers'!$A$7:$A$305,0))</x:f>
        <x:v>0</x:v>
      </x:c>
      <x:c r="Y228" s="2" t="str">
        <x:f>INDEX('Dated offers'!$O$7:$O$305,MATCH($Z228,'Dated offers'!$A$7:$A$305,0))</x:f>
        <x:v>Unreserved inventory snapshot</x:v>
      </x:c>
      <x:c r="Z228" s="17" t="str">
        <x:v>OF0066</x:v>
      </x:c>
      <x:c r="AA228" s="2"/>
      <x:c r="AB228" s="2" t="str">
        <x:f>INDEX('Dated offers'!$Q$7:$Q$305,MATCH($Z228,'Dated offers'!$A$7:$A$305,0))</x:f>
        <x:v>https://www.digikey.com/en/products/detail/kyocera-avx/KGM05ACG1H150FH/1597388</x:v>
      </x:c>
    </x:row>
    <x:row r="229" ht="24" customHeight="1">
      <x:c r="A229" s="2" t="str">
        <x:v>25 boards / 2% planning</x:v>
      </x:c>
      <x:c r="B229" s="17" t="str">
        <x:v>L4CL1206LR050DNR-A</x:v>
      </x:c>
      <x:c r="C229" s="18" t="n">
        <x:v>25</x:v>
      </x:c>
      <x:c r="D229" s="27" t="n">
        <x:v>0.02</x:v>
      </x:c>
      <x:c r="E229" s="18" t="n">
        <x:f>INDEX('Assembly BOM'!$C$7:$C$162,MATCH($B229,'Assembly BOM'!$A$7:$A$162,0))</x:f>
        <x:v>1</x:v>
      </x:c>
      <x:c r="F229" s="18" t="n">
        <x:f>C229*E229</x:f>
        <x:v>25</x:v>
      </x:c>
      <x:c r="G229" s="18" t="n">
        <x:f>ROUNDUP(F229*(1+D229),0)</x:f>
        <x:v>26</x:v>
      </x:c>
      <x:c r="H229" s="18" t="n">
        <x:f>INDEX('Dated offers'!$F$7:$F$305,MATCH($Z229,'Dated offers'!$A$7:$A$305,0))</x:f>
        <x:v>1</x:v>
      </x:c>
      <x:c r="I229" s="18" t="n">
        <x:f>INDEX('Dated offers'!$G$7:$G$305,MATCH($Z229,'Dated offers'!$A$7:$A$305,0))</x:f>
        <x:v>1</x:v>
      </x:c>
      <x:c r="J229" s="18" t="n">
        <x:f>CEILING(MAX(G229,H229),I229)</x:f>
        <x:v>26</x:v>
      </x:c>
      <x:c r="K229" s="18" t="n">
        <x:v>26</x:v>
      </x:c>
      <x:c r="L229" s="18" t="n">
        <x:f>INDEX('Dated offers'!$I$7:$I$305,MATCH($Z229,'Dated offers'!$A$7:$A$305,0))</x:f>
        <x:v>25</x:v>
      </x:c>
      <x:c r="M229" s="25" t="n">
        <x:f>INDEX('Dated offers'!$J$7:$J$305,MATCH($Z229,'Dated offers'!$A$7:$A$305,0))</x:f>
        <x:v>0.8912</x:v>
      </x:c>
      <x:c r="N229" s="25" t="n">
        <x:f>INDEX('Dated offers'!$K$7:$K$305,MATCH($Z229,'Dated offers'!$A$7:$A$305,0))</x:f>
        <x:v>0</x:v>
      </x:c>
      <x:c r="O229" s="25" t="n">
        <x:f>F229*M229</x:f>
        <x:v>22.28</x:v>
      </x:c>
      <x:c r="P229" s="25" t="n">
        <x:f>G229*M229</x:f>
        <x:v>23.1712</x:v>
      </x:c>
      <x:c r="Q229" s="25" t="n">
        <x:f>K229*M229+N229</x:f>
        <x:v>23.1712</x:v>
      </x:c>
      <x:c r="R229" s="18" t="n">
        <x:f>K229-G229</x:f>
        <x:v>0</x:v>
      </x:c>
      <x:c r="S229" s="18" t="n">
        <x:f>INDEX('Dated offers'!$H$7:$H$305,MATCH($Z229,'Dated offers'!$A$7:$A$305,0))</x:f>
        <x:v>4377</x:v>
      </x:c>
      <x:c r="T229" s="2" t="str">
        <x:f>IF(K229&lt;G229,"Order below requirement",IF(K229&lt;L229,"Below price tier",IF(ISNUMBER(S229),IF(K229&gt;S229,"Quantity exceeds snapshot","Within quantity snapshot"),"Stock not stated")))</x:f>
        <x:v>Within quantity snapshot</x:v>
      </x:c>
      <x:c r="U229" s="2" t="str">
        <x:f>INDEX('Dated offers'!$C$7:$C$305,MATCH($Z229,'Dated offers'!$A$7:$A$305,0))</x:f>
        <x:v>DigiKey</x:v>
      </x:c>
      <x:c r="V229" s="2" t="str">
        <x:f>INDEX('Dated offers'!$D$7:$D$305,MATCH($Z229,'Dated offers'!$A$7:$A$305,0))</x:f>
        <x:v>Not stated</x:v>
      </x:c>
      <x:c r="W229" s="24" t="n">
        <x:f>INDEX('Dated offers'!$E$7:$E$305,MATCH($Z229,'Dated offers'!$A$7:$A$305,0))</x:f>
        <x:v>46307.47807273148</x:v>
      </x:c>
      <x:c r="X229" s="2" t="b">
        <x:f>INDEX('Dated offers'!$N$7:$N$305,MATCH($Z229,'Dated offers'!$A$7:$A$305,0))</x:f>
        <x:v>0</x:v>
      </x:c>
      <x:c r="Y229" s="2" t="str">
        <x:f>INDEX('Dated offers'!$O$7:$O$305,MATCH($Z229,'Dated offers'!$A$7:$A$305,0))</x:f>
        <x:v>Unreserved inventory snapshot</x:v>
      </x:c>
      <x:c r="Z229" s="17" t="str">
        <x:v>OF0067</x:v>
      </x:c>
      <x:c r="AA229" s="2"/>
      <x:c r="AB229" s="2" t="str">
        <x:f>INDEX('Dated offers'!$Q$7:$Q$305,MATCH($Z229,'Dated offers'!$A$7:$A$305,0))</x:f>
        <x:v>https://www.digikey.com/en/products/detail/littelfuse-inc/L4CL1206LR050DNR-A/21737223</x:v>
      </x:c>
    </x:row>
    <x:row r="230" ht="24" customHeight="1">
      <x:c r="A230" s="2" t="str">
        <x:v>25 boards / 2% planning</x:v>
      </x:c>
      <x:c r="B230" s="17" t="str">
        <x:v>LQW15AN24NH00D</x:v>
      </x:c>
      <x:c r="C230" s="18" t="n">
        <x:v>25</x:v>
      </x:c>
      <x:c r="D230" s="27" t="n">
        <x:v>0.02</x:v>
      </x:c>
      <x:c r="E230" s="18" t="n">
        <x:f>INDEX('Assembly BOM'!$C$7:$C$162,MATCH($B230,'Assembly BOM'!$A$7:$A$162,0))</x:f>
        <x:v>1</x:v>
      </x:c>
      <x:c r="F230" s="18" t="n">
        <x:f>C230*E230</x:f>
        <x:v>25</x:v>
      </x:c>
      <x:c r="G230" s="18" t="n">
        <x:f>ROUNDUP(F230*(1+D230),0)</x:f>
        <x:v>26</x:v>
      </x:c>
      <x:c r="H230" s="18" t="n">
        <x:f>INDEX('Dated offers'!$F$7:$F$305,MATCH($Z230,'Dated offers'!$A$7:$A$305,0))</x:f>
        <x:v>1</x:v>
      </x:c>
      <x:c r="I230" s="18" t="n">
        <x:f>INDEX('Dated offers'!$G$7:$G$305,MATCH($Z230,'Dated offers'!$A$7:$A$305,0))</x:f>
        <x:v>1</x:v>
      </x:c>
      <x:c r="J230" s="18" t="n">
        <x:f>CEILING(MAX(G230,H230),I230)</x:f>
        <x:v>26</x:v>
      </x:c>
      <x:c r="K230" s="18" t="n">
        <x:v>26</x:v>
      </x:c>
      <x:c r="L230" s="18" t="n">
        <x:f>INDEX('Dated offers'!$I$7:$I$305,MATCH($Z230,'Dated offers'!$A$7:$A$305,0))</x:f>
        <x:v>10</x:v>
      </x:c>
      <x:c r="M230" s="25" t="n">
        <x:f>INDEX('Dated offers'!$J$7:$J$305,MATCH($Z230,'Dated offers'!$A$7:$A$305,0))</x:f>
        <x:v>0.092</x:v>
      </x:c>
      <x:c r="N230" s="25" t="n">
        <x:f>INDEX('Dated offers'!$K$7:$K$305,MATCH($Z230,'Dated offers'!$A$7:$A$305,0))</x:f>
        <x:v>0</x:v>
      </x:c>
      <x:c r="O230" s="25" t="n">
        <x:f>F230*M230</x:f>
        <x:v>2.3</x:v>
      </x:c>
      <x:c r="P230" s="25" t="n">
        <x:f>G230*M230</x:f>
        <x:v>2.392</x:v>
      </x:c>
      <x:c r="Q230" s="25" t="n">
        <x:f>K230*M230+N230</x:f>
        <x:v>2.392</x:v>
      </x:c>
      <x:c r="R230" s="18" t="n">
        <x:f>K230-G230</x:f>
        <x:v>0</x:v>
      </x:c>
      <x:c r="S230" s="18" t="n">
        <x:f>INDEX('Dated offers'!$H$7:$H$305,MATCH($Z230,'Dated offers'!$A$7:$A$305,0))</x:f>
        <x:v>11410</x:v>
      </x:c>
      <x:c r="T230" s="2" t="str">
        <x:f>IF(K230&lt;G230,"Order below requirement",IF(K230&lt;L230,"Below price tier",IF(ISNUMBER(S230),IF(K230&gt;S230,"Quantity exceeds snapshot","Within quantity snapshot"),"Stock not stated")))</x:f>
        <x:v>Within quantity snapshot</x:v>
      </x:c>
      <x:c r="U230" s="2" t="str">
        <x:f>INDEX('Dated offers'!$C$7:$C$305,MATCH($Z230,'Dated offers'!$A$7:$A$305,0))</x:f>
        <x:v>DigiKey</x:v>
      </x:c>
      <x:c r="V230" s="2" t="str">
        <x:f>INDEX('Dated offers'!$D$7:$D$305,MATCH($Z230,'Dated offers'!$A$7:$A$305,0))</x:f>
        <x:v>Not stated</x:v>
      </x:c>
      <x:c r="W230" s="24" t="n">
        <x:f>INDEX('Dated offers'!$E$7:$E$305,MATCH($Z230,'Dated offers'!$A$7:$A$305,0))</x:f>
        <x:v>46307.47807253472</x:v>
      </x:c>
      <x:c r="X230" s="2" t="b">
        <x:f>INDEX('Dated offers'!$N$7:$N$305,MATCH($Z230,'Dated offers'!$A$7:$A$305,0))</x:f>
        <x:v>0</x:v>
      </x:c>
      <x:c r="Y230" s="2" t="str">
        <x:f>INDEX('Dated offers'!$O$7:$O$305,MATCH($Z230,'Dated offers'!$A$7:$A$305,0))</x:f>
        <x:v>Unreserved inventory snapshot</x:v>
      </x:c>
      <x:c r="Z230" s="17" t="str">
        <x:v>OF0068</x:v>
      </x:c>
      <x:c r="AA230" s="2"/>
      <x:c r="AB230" s="2" t="str">
        <x:f>INDEX('Dated offers'!$Q$7:$Q$305,MATCH($Z230,'Dated offers'!$A$7:$A$305,0))</x:f>
        <x:v>https://www.digikey.com/en/products/detail/murata-electronics/LQW15AN24NH00D/700017</x:v>
      </x:c>
    </x:row>
    <x:row r="231" ht="24" customHeight="1">
      <x:c r="A231" s="2" t="str">
        <x:v>25 boards / 2% planning</x:v>
      </x:c>
      <x:c r="B231" s="17" t="str">
        <x:v>LTST-C190KGKT</x:v>
      </x:c>
      <x:c r="C231" s="18" t="n">
        <x:v>25</x:v>
      </x:c>
      <x:c r="D231" s="27" t="n">
        <x:v>0.02</x:v>
      </x:c>
      <x:c r="E231" s="18" t="n">
        <x:f>INDEX('Assembly BOM'!$C$7:$C$162,MATCH($B231,'Assembly BOM'!$A$7:$A$162,0))</x:f>
        <x:v>2</x:v>
      </x:c>
      <x:c r="F231" s="18" t="n">
        <x:f>C231*E231</x:f>
        <x:v>50</x:v>
      </x:c>
      <x:c r="G231" s="18" t="n">
        <x:f>ROUNDUP(F231*(1+D231),0)</x:f>
        <x:v>51</x:v>
      </x:c>
      <x:c r="H231" s="18" t="n">
        <x:f>INDEX('Dated offers'!$F$7:$F$305,MATCH($Z231,'Dated offers'!$A$7:$A$305,0))</x:f>
        <x:v>50</x:v>
      </x:c>
      <x:c r="I231" s="18" t="n">
        <x:f>INDEX('Dated offers'!$G$7:$G$305,MATCH($Z231,'Dated offers'!$A$7:$A$305,0))</x:f>
        <x:v>50</x:v>
      </x:c>
      <x:c r="J231" s="18" t="n">
        <x:f>CEILING(MAX(G231,H231),I231)</x:f>
        <x:v>100</x:v>
      </x:c>
      <x:c r="K231" s="18" t="n">
        <x:v>100</x:v>
      </x:c>
      <x:c r="L231" s="18" t="n">
        <x:f>INDEX('Dated offers'!$I$7:$I$305,MATCH($Z231,'Dated offers'!$A$7:$A$305,0))</x:f>
        <x:v>50</x:v>
      </x:c>
      <x:c r="M231" s="25" t="n">
        <x:f>INDEX('Dated offers'!$J$7:$J$305,MATCH($Z231,'Dated offers'!$A$7:$A$305,0))</x:f>
        <x:v>0.0168</x:v>
      </x:c>
      <x:c r="N231" s="25" t="n">
        <x:f>INDEX('Dated offers'!$K$7:$K$305,MATCH($Z231,'Dated offers'!$A$7:$A$305,0))</x:f>
        <x:v>0</x:v>
      </x:c>
      <x:c r="O231" s="25" t="n">
        <x:f>F231*M231</x:f>
        <x:v>0.84</x:v>
      </x:c>
      <x:c r="P231" s="25" t="n">
        <x:f>G231*M231</x:f>
        <x:v>0.8567999999999999</x:v>
      </x:c>
      <x:c r="Q231" s="25" t="n">
        <x:f>K231*M231+N231</x:f>
        <x:v>1.68</x:v>
      </x:c>
      <x:c r="R231" s="18" t="n">
        <x:f>K231-G231</x:f>
        <x:v>49</x:v>
      </x:c>
      <x:c r="S231" s="18" t="n">
        <x:f>INDEX('Dated offers'!$H$7:$H$305,MATCH($Z231,'Dated offers'!$A$7:$A$305,0))</x:f>
        <x:v>280550</x:v>
      </x:c>
      <x:c r="T231" s="2" t="str">
        <x:f>IF(K231&lt;G231,"Order below requirement",IF(K231&lt;L231,"Below price tier",IF(ISNUMBER(S231),IF(K231&gt;S231,"Quantity exceeds snapshot","Within quantity snapshot"),"Stock not stated")))</x:f>
        <x:v>Within quantity snapshot</x:v>
      </x:c>
      <x:c r="U231" s="2" t="str">
        <x:f>INDEX('Dated offers'!$C$7:$C$305,MATCH($Z231,'Dated offers'!$A$7:$A$305,0))</x:f>
        <x:v>LCSC</x:v>
      </x:c>
      <x:c r="V231" s="2" t="str">
        <x:f>INDEX('Dated offers'!$D$7:$D$305,MATCH($Z231,'Dated offers'!$A$7:$A$305,0))</x:f>
        <x:v>C125094</x:v>
      </x:c>
      <x:c r="W231" s="24" t="n">
        <x:f>INDEX('Dated offers'!$E$7:$E$305,MATCH($Z231,'Dated offers'!$A$7:$A$305,0))</x:f>
        <x:v>46307.44744065972</x:v>
      </x:c>
      <x:c r="X231" s="2" t="b">
        <x:f>INDEX('Dated offers'!$N$7:$N$305,MATCH($Z231,'Dated offers'!$A$7:$A$305,0))</x:f>
        <x:v>0</x:v>
      </x:c>
      <x:c r="Y231" s="2" t="str">
        <x:f>INDEX('Dated offers'!$O$7:$O$305,MATCH($Z231,'Dated offers'!$A$7:$A$305,0))</x:f>
        <x:v>Unreserved inventory snapshot</x:v>
      </x:c>
      <x:c r="Z231" s="17" t="str">
        <x:v>OF0069</x:v>
      </x:c>
      <x:c r="AA231" s="2"/>
      <x:c r="AB231" s="2" t="str">
        <x:f>INDEX('Dated offers'!$Q$7:$Q$305,MATCH($Z231,'Dated offers'!$A$7:$A$305,0))</x:f>
        <x:v>https://www.lcsc.com/product-detail/C125094.html</x:v>
      </x:c>
    </x:row>
    <x:row r="232" ht="24" customHeight="1">
      <x:c r="A232" s="2" t="str">
        <x:v>25 boards / 2% planning</x:v>
      </x:c>
      <x:c r="B232" s="17" t="str">
        <x:v>LTST-C190KSKT</x:v>
      </x:c>
      <x:c r="C232" s="18" t="n">
        <x:v>25</x:v>
      </x:c>
      <x:c r="D232" s="27" t="n">
        <x:v>0.02</x:v>
      </x:c>
      <x:c r="E232" s="18" t="n">
        <x:f>INDEX('Assembly BOM'!$C$7:$C$162,MATCH($B232,'Assembly BOM'!$A$7:$A$162,0))</x:f>
        <x:v>1</x:v>
      </x:c>
      <x:c r="F232" s="18" t="n">
        <x:f>C232*E232</x:f>
        <x:v>25</x:v>
      </x:c>
      <x:c r="G232" s="18" t="n">
        <x:f>ROUNDUP(F232*(1+D232),0)</x:f>
        <x:v>26</x:v>
      </x:c>
      <x:c r="H232" s="18" t="n">
        <x:f>INDEX('Dated offers'!$F$7:$F$305,MATCH($Z232,'Dated offers'!$A$7:$A$305,0))</x:f>
        <x:v>20</x:v>
      </x:c>
      <x:c r="I232" s="18" t="n">
        <x:f>INDEX('Dated offers'!$G$7:$G$305,MATCH($Z232,'Dated offers'!$A$7:$A$305,0))</x:f>
        <x:v>20</x:v>
      </x:c>
      <x:c r="J232" s="18" t="n">
        <x:f>CEILING(MAX(G232,H232),I232)</x:f>
        <x:v>40</x:v>
      </x:c>
      <x:c r="K232" s="18" t="n">
        <x:v>40</x:v>
      </x:c>
      <x:c r="L232" s="18" t="n">
        <x:f>INDEX('Dated offers'!$I$7:$I$305,MATCH($Z232,'Dated offers'!$A$7:$A$305,0))</x:f>
        <x:v>20</x:v>
      </x:c>
      <x:c r="M232" s="25" t="n">
        <x:f>INDEX('Dated offers'!$J$7:$J$305,MATCH($Z232,'Dated offers'!$A$7:$A$305,0))</x:f>
        <x:v>0.0235</x:v>
      </x:c>
      <x:c r="N232" s="25" t="n">
        <x:f>INDEX('Dated offers'!$K$7:$K$305,MATCH($Z232,'Dated offers'!$A$7:$A$305,0))</x:f>
        <x:v>0</x:v>
      </x:c>
      <x:c r="O232" s="25" t="n">
        <x:f>F232*M232</x:f>
        <x:v>0.5875</x:v>
      </x:c>
      <x:c r="P232" s="25" t="n">
        <x:f>G232*M232</x:f>
        <x:v>0.611</x:v>
      </x:c>
      <x:c r="Q232" s="25" t="n">
        <x:f>K232*M232+N232</x:f>
        <x:v>0.94</x:v>
      </x:c>
      <x:c r="R232" s="18" t="n">
        <x:f>K232-G232</x:f>
        <x:v>14</x:v>
      </x:c>
      <x:c r="S232" s="18" t="n">
        <x:f>INDEX('Dated offers'!$H$7:$H$305,MATCH($Z232,'Dated offers'!$A$7:$A$305,0))</x:f>
        <x:v>100880</x:v>
      </x:c>
      <x:c r="T232" s="2" t="str">
        <x:f>IF(K232&lt;G232,"Order below requirement",IF(K232&lt;L232,"Below price tier",IF(ISNUMBER(S232),IF(K232&gt;S232,"Quantity exceeds snapshot","Within quantity snapshot"),"Stock not stated")))</x:f>
        <x:v>Within quantity snapshot</x:v>
      </x:c>
      <x:c r="U232" s="2" t="str">
        <x:f>INDEX('Dated offers'!$C$7:$C$305,MATCH($Z232,'Dated offers'!$A$7:$A$305,0))</x:f>
        <x:v>LCSC</x:v>
      </x:c>
      <x:c r="V232" s="2" t="str">
        <x:f>INDEX('Dated offers'!$D$7:$D$305,MATCH($Z232,'Dated offers'!$A$7:$A$305,0))</x:f>
        <x:v>C125095</x:v>
      </x:c>
      <x:c r="W232" s="24" t="n">
        <x:f>INDEX('Dated offers'!$E$7:$E$305,MATCH($Z232,'Dated offers'!$A$7:$A$305,0))</x:f>
        <x:v>46307.44744263889</x:v>
      </x:c>
      <x:c r="X232" s="2" t="b">
        <x:f>INDEX('Dated offers'!$N$7:$N$305,MATCH($Z232,'Dated offers'!$A$7:$A$305,0))</x:f>
        <x:v>0</x:v>
      </x:c>
      <x:c r="Y232" s="2" t="str">
        <x:f>INDEX('Dated offers'!$O$7:$O$305,MATCH($Z232,'Dated offers'!$A$7:$A$305,0))</x:f>
        <x:v>Unreserved inventory snapshot</x:v>
      </x:c>
      <x:c r="Z232" s="17" t="str">
        <x:v>OF0070</x:v>
      </x:c>
      <x:c r="AA232" s="2"/>
      <x:c r="AB232" s="2" t="str">
        <x:f>INDEX('Dated offers'!$Q$7:$Q$305,MATCH($Z232,'Dated offers'!$A$7:$A$305,0))</x:f>
        <x:v>https://www.lcsc.com/product-detail/C125095.html</x:v>
      </x:c>
    </x:row>
    <x:row r="233" ht="24" customHeight="1">
      <x:c r="A233" s="2" t="str">
        <x:v>25 boards / 2% planning</x:v>
      </x:c>
      <x:c r="B233" s="17" t="str">
        <x:v>MMSZ5240B-7-F</x:v>
      </x:c>
      <x:c r="C233" s="18" t="n">
        <x:v>25</x:v>
      </x:c>
      <x:c r="D233" s="27" t="n">
        <x:v>0.02</x:v>
      </x:c>
      <x:c r="E233" s="18" t="n">
        <x:f>INDEX('Assembly BOM'!$C$7:$C$162,MATCH($B233,'Assembly BOM'!$A$7:$A$162,0))</x:f>
        <x:v>1</x:v>
      </x:c>
      <x:c r="F233" s="18" t="n">
        <x:f>C233*E233</x:f>
        <x:v>25</x:v>
      </x:c>
      <x:c r="G233" s="18" t="n">
        <x:f>ROUNDUP(F233*(1+D233),0)</x:f>
        <x:v>26</x:v>
      </x:c>
      <x:c r="H233" s="18" t="n">
        <x:f>INDEX('Dated offers'!$F$7:$F$305,MATCH($Z233,'Dated offers'!$A$7:$A$305,0))</x:f>
        <x:v>1</x:v>
      </x:c>
      <x:c r="I233" s="18" t="n">
        <x:f>INDEX('Dated offers'!$G$7:$G$305,MATCH($Z233,'Dated offers'!$A$7:$A$305,0))</x:f>
        <x:v>1</x:v>
      </x:c>
      <x:c r="J233" s="18" t="n">
        <x:f>CEILING(MAX(G233,H233),I233)</x:f>
        <x:v>26</x:v>
      </x:c>
      <x:c r="K233" s="18" t="n">
        <x:v>26</x:v>
      </x:c>
      <x:c r="L233" s="18" t="n">
        <x:f>INDEX('Dated offers'!$I$7:$I$305,MATCH($Z233,'Dated offers'!$A$7:$A$305,0))</x:f>
        <x:v>25</x:v>
      </x:c>
      <x:c r="M233" s="25" t="n">
        <x:f>INDEX('Dated offers'!$J$7:$J$305,MATCH($Z233,'Dated offers'!$A$7:$A$305,0))</x:f>
        <x:v>0.1048</x:v>
      </x:c>
      <x:c r="N233" s="25" t="n">
        <x:f>INDEX('Dated offers'!$K$7:$K$305,MATCH($Z233,'Dated offers'!$A$7:$A$305,0))</x:f>
        <x:v>0</x:v>
      </x:c>
      <x:c r="O233" s="25" t="n">
        <x:f>F233*M233</x:f>
        <x:v>2.62</x:v>
      </x:c>
      <x:c r="P233" s="25" t="n">
        <x:f>G233*M233</x:f>
        <x:v>2.7248</x:v>
      </x:c>
      <x:c r="Q233" s="25" t="n">
        <x:f>K233*M233+N233</x:f>
        <x:v>2.7248</x:v>
      </x:c>
      <x:c r="R233" s="18" t="n">
        <x:f>K233-G233</x:f>
        <x:v>0</x:v>
      </x:c>
      <x:c r="S233" s="18" t="n">
        <x:f>INDEX('Dated offers'!$H$7:$H$305,MATCH($Z233,'Dated offers'!$A$7:$A$305,0))</x:f>
        <x:v>4023</x:v>
      </x:c>
      <x:c r="T233" s="2" t="str">
        <x:f>IF(K233&lt;G233,"Order below requirement",IF(K233&lt;L233,"Below price tier",IF(ISNUMBER(S233),IF(K233&gt;S233,"Quantity exceeds snapshot","Within quantity snapshot"),"Stock not stated")))</x:f>
        <x:v>Within quantity snapshot</x:v>
      </x:c>
      <x:c r="U233" s="2" t="str">
        <x:f>INDEX('Dated offers'!$C$7:$C$305,MATCH($Z233,'Dated offers'!$A$7:$A$305,0))</x:f>
        <x:v>DigiKey</x:v>
      </x:c>
      <x:c r="V233" s="2" t="str">
        <x:f>INDEX('Dated offers'!$D$7:$D$305,MATCH($Z233,'Dated offers'!$A$7:$A$305,0))</x:f>
        <x:v>Not stated</x:v>
      </x:c>
      <x:c r="W233" s="24" t="n">
        <x:f>INDEX('Dated offers'!$E$7:$E$305,MATCH($Z233,'Dated offers'!$A$7:$A$305,0))</x:f>
        <x:v>46307.47807266204</x:v>
      </x:c>
      <x:c r="X233" s="2" t="b">
        <x:f>INDEX('Dated offers'!$N$7:$N$305,MATCH($Z233,'Dated offers'!$A$7:$A$305,0))</x:f>
        <x:v>0</x:v>
      </x:c>
      <x:c r="Y233" s="2" t="str">
        <x:f>INDEX('Dated offers'!$O$7:$O$305,MATCH($Z233,'Dated offers'!$A$7:$A$305,0))</x:f>
        <x:v>Unreserved inventory snapshot</x:v>
      </x:c>
      <x:c r="Z233" s="17" t="str">
        <x:v>OF0071</x:v>
      </x:c>
      <x:c r="AA233" s="2"/>
      <x:c r="AB233" s="2" t="str">
        <x:f>INDEX('Dated offers'!$Q$7:$Q$305,MATCH($Z233,'Dated offers'!$A$7:$A$305,0))</x:f>
        <x:v>https://www.digikey.com/en/products/detail/diodes-incorporated/MMSZ5240B-7-F/814369</x:v>
      </x:c>
    </x:row>
    <x:row r="234" ht="24" customHeight="1">
      <x:c r="A234" s="2" t="str">
        <x:v>25 boards / 2% planning</x:v>
      </x:c>
      <x:c r="B234" s="17" t="str">
        <x:v>MP2329GG-P</x:v>
      </x:c>
      <x:c r="C234" s="18" t="n">
        <x:v>25</x:v>
      </x:c>
      <x:c r="D234" s="27" t="n">
        <x:v>0.02</x:v>
      </x:c>
      <x:c r="E234" s="18" t="n">
        <x:f>INDEX('Assembly BOM'!$C$7:$C$162,MATCH($B234,'Assembly BOM'!$A$7:$A$162,0))</x:f>
        <x:v>1</x:v>
      </x:c>
      <x:c r="F234" s="18" t="n">
        <x:f>C234*E234</x:f>
        <x:v>25</x:v>
      </x:c>
      <x:c r="G234" s="18" t="n">
        <x:f>ROUNDUP(F234*(1+D234),0)</x:f>
        <x:v>26</x:v>
      </x:c>
      <x:c r="H234" s="18" t="n">
        <x:f>INDEX('Dated offers'!$F$7:$F$305,MATCH($Z234,'Dated offers'!$A$7:$A$305,0))</x:f>
        <x:v>1</x:v>
      </x:c>
      <x:c r="I234" s="18" t="n">
        <x:f>INDEX('Dated offers'!$G$7:$G$305,MATCH($Z234,'Dated offers'!$A$7:$A$305,0))</x:f>
        <x:v>1</x:v>
      </x:c>
      <x:c r="J234" s="18" t="n">
        <x:f>CEILING(MAX(G234,H234),I234)</x:f>
        <x:v>26</x:v>
      </x:c>
      <x:c r="K234" s="18" t="n">
        <x:v>26</x:v>
      </x:c>
      <x:c r="L234" s="18" t="n">
        <x:f>INDEX('Dated offers'!$I$7:$I$305,MATCH($Z234,'Dated offers'!$A$7:$A$305,0))</x:f>
        <x:v>10</x:v>
      </x:c>
      <x:c r="M234" s="25" t="n">
        <x:f>INDEX('Dated offers'!$J$7:$J$305,MATCH($Z234,'Dated offers'!$A$7:$A$305,0))</x:f>
        <x:v>1.41</x:v>
      </x:c>
      <x:c r="N234" s="25" t="n">
        <x:f>INDEX('Dated offers'!$K$7:$K$305,MATCH($Z234,'Dated offers'!$A$7:$A$305,0))</x:f>
        <x:v>0</x:v>
      </x:c>
      <x:c r="O234" s="25" t="n">
        <x:f>F234*M234</x:f>
        <x:v>35.25</x:v>
      </x:c>
      <x:c r="P234" s="25" t="n">
        <x:f>G234*M234</x:f>
        <x:v>36.66</x:v>
      </x:c>
      <x:c r="Q234" s="25" t="n">
        <x:f>K234*M234+N234</x:f>
        <x:v>36.66</x:v>
      </x:c>
      <x:c r="R234" s="18" t="n">
        <x:f>K234-G234</x:f>
        <x:v>0</x:v>
      </x:c>
      <x:c r="S234" s="18" t="n">
        <x:f>INDEX('Dated offers'!$H$7:$H$305,MATCH($Z234,'Dated offers'!$A$7:$A$305,0))</x:f>
        <x:v>11638</x:v>
      </x:c>
      <x:c r="T234" s="2" t="str">
        <x:f>IF(K234&lt;G234,"Order below requirement",IF(K234&lt;L234,"Below price tier",IF(ISNUMBER(S234),IF(K234&gt;S234,"Quantity exceeds snapshot","Within quantity snapshot"),"Stock not stated")))</x:f>
        <x:v>Within quantity snapshot</x:v>
      </x:c>
      <x:c r="U234" s="2" t="str">
        <x:f>INDEX('Dated offers'!$C$7:$C$305,MATCH($Z234,'Dated offers'!$A$7:$A$305,0))</x:f>
        <x:v>MPS direct</x:v>
      </x:c>
      <x:c r="V234" s="2" t="str">
        <x:f>INDEX('Dated offers'!$D$7:$D$305,MATCH($Z234,'Dated offers'!$A$7:$A$305,0))</x:f>
        <x:v>MP2329GG-P or primary same-die GG-Z reel alias</x:v>
      </x:c>
      <x:c r="W234" s="24" t="n">
        <x:f>INDEX('Dated offers'!$E$7:$E$305,MATCH($Z234,'Dated offers'!$A$7:$A$305,0))</x:f>
        <x:v>46307</x:v>
      </x:c>
      <x:c r="X234" s="2" t="b">
        <x:f>INDEX('Dated offers'!$N$7:$N$305,MATCH($Z234,'Dated offers'!$A$7:$A$305,0))</x:f>
        <x:v>0</x:v>
      </x:c>
      <x:c r="Y234" s="2" t="str">
        <x:f>INDEX('Dated offers'!$O$7:$O$305,MATCH($Z234,'Dated offers'!$A$7:$A$305,0))</x:f>
        <x:v>Scheduled MPS availability / supplier acceptance</x:v>
      </x:c>
      <x:c r="Z234" s="17" t="str">
        <x:v>OF0072</x:v>
      </x:c>
      <x:c r="AA234" s="2"/>
      <x:c r="AB234" s="2" t="str">
        <x:f>INDEX('Dated offers'!$Q$7:$Q$305,MATCH($Z234,'Dated offers'!$A$7:$A$305,0))</x:f>
        <x:v>https://www.monolithicpower.com/en/products/power-management/mp2329.html</x:v>
      </x:c>
    </x:row>
    <x:row r="235" ht="24" customHeight="1">
      <x:c r="A235" s="2" t="str">
        <x:v>25 boards / 2% planning</x:v>
      </x:c>
      <x:c r="B235" s="17" t="str">
        <x:v>MP4583GQVE-Z</x:v>
      </x:c>
      <x:c r="C235" s="18" t="n">
        <x:v>25</x:v>
      </x:c>
      <x:c r="D235" s="27" t="n">
        <x:v>0.02</x:v>
      </x:c>
      <x:c r="E235" s="18" t="n">
        <x:f>INDEX('Assembly BOM'!$C$7:$C$162,MATCH($B235,'Assembly BOM'!$A$7:$A$162,0))</x:f>
        <x:v>1</x:v>
      </x:c>
      <x:c r="F235" s="18" t="n">
        <x:f>C235*E235</x:f>
        <x:v>25</x:v>
      </x:c>
      <x:c r="G235" s="18" t="n">
        <x:f>ROUNDUP(F235*(1+D235),0)</x:f>
        <x:v>26</x:v>
      </x:c>
      <x:c r="H235" s="18" t="n">
        <x:f>INDEX('Dated offers'!$F$7:$F$305,MATCH($Z235,'Dated offers'!$A$7:$A$305,0))</x:f>
        <x:v>1</x:v>
      </x:c>
      <x:c r="I235" s="18" t="n">
        <x:f>INDEX('Dated offers'!$G$7:$G$305,MATCH($Z235,'Dated offers'!$A$7:$A$305,0))</x:f>
        <x:v>1</x:v>
      </x:c>
      <x:c r="J235" s="18" t="n">
        <x:f>CEILING(MAX(G235,H235),I235)</x:f>
        <x:v>26</x:v>
      </x:c>
      <x:c r="K235" s="18" t="n">
        <x:v>26</x:v>
      </x:c>
      <x:c r="L235" s="18" t="n">
        <x:f>INDEX('Dated offers'!$I$7:$I$305,MATCH($Z235,'Dated offers'!$A$7:$A$305,0))</x:f>
        <x:v>10</x:v>
      </x:c>
      <x:c r="M235" s="25" t="n">
        <x:f>INDEX('Dated offers'!$J$7:$J$305,MATCH($Z235,'Dated offers'!$A$7:$A$305,0))</x:f>
        <x:v>2.09</x:v>
      </x:c>
      <x:c r="N235" s="25" t="n">
        <x:f>INDEX('Dated offers'!$K$7:$K$305,MATCH($Z235,'Dated offers'!$A$7:$A$305,0))</x:f>
        <x:v>0</x:v>
      </x:c>
      <x:c r="O235" s="25" t="n">
        <x:f>F235*M235</x:f>
        <x:v>52.25</x:v>
      </x:c>
      <x:c r="P235" s="25" t="n">
        <x:f>G235*M235</x:f>
        <x:v>54.339999999999996</x:v>
      </x:c>
      <x:c r="Q235" s="25" t="n">
        <x:f>K235*M235+N235</x:f>
        <x:v>54.339999999999996</x:v>
      </x:c>
      <x:c r="R235" s="18" t="n">
        <x:f>K235-G235</x:f>
        <x:v>0</x:v>
      </x:c>
      <x:c r="S235" s="18" t="n">
        <x:f>INDEX('Dated offers'!$H$7:$H$305,MATCH($Z235,'Dated offers'!$A$7:$A$305,0))</x:f>
        <x:v>100</x:v>
      </x:c>
      <x:c r="T235" s="2" t="str">
        <x:f>IF(K235&lt;G235,"Order below requirement",IF(K235&lt;L235,"Below price tier",IF(ISNUMBER(S235),IF(K235&gt;S235,"Quantity exceeds snapshot","Within quantity snapshot"),"Stock not stated")))</x:f>
        <x:v>Within quantity snapshot</x:v>
      </x:c>
      <x:c r="U235" s="2" t="str">
        <x:f>INDEX('Dated offers'!$C$7:$C$305,MATCH($Z235,'Dated offers'!$A$7:$A$305,0))</x:f>
        <x:v>MPS direct</x:v>
      </x:c>
      <x:c r="V235" s="2" t="str">
        <x:f>INDEX('Dated offers'!$D$7:$D$305,MATCH($Z235,'Dated offers'!$A$7:$A$305,0))</x:f>
        <x:v>MP4583GQVE-Z</x:v>
      </x:c>
      <x:c r="W235" s="24" t="n">
        <x:f>INDEX('Dated offers'!$E$7:$E$305,MATCH($Z235,'Dated offers'!$A$7:$A$305,0))</x:f>
        <x:v>46307.475412395834</x:v>
      </x:c>
      <x:c r="X235" s="2" t="b">
        <x:f>INDEX('Dated offers'!$N$7:$N$305,MATCH($Z235,'Dated offers'!$A$7:$A$305,0))</x:f>
        <x:v>0</x:v>
      </x:c>
      <x:c r="Y235" s="2" t="str">
        <x:f>INDEX('Dated offers'!$O$7:$O$305,MATCH($Z235,'Dated offers'!$A$7:$A$305,0))</x:f>
        <x:v>MPS company inventory/limit must cover lot</x:v>
      </x:c>
      <x:c r="Z235" s="17" t="str">
        <x:v>OF0073</x:v>
      </x:c>
      <x:c r="AA235" s="2"/>
      <x:c r="AB235" s="2" t="str">
        <x:f>INDEX('Dated offers'!$Q$7:$Q$305,MATCH($Z235,'Dated offers'!$A$7:$A$305,0))</x:f>
        <x:v>https://www.monolithicpower.com/en/products/mp4583.html</x:v>
      </x:c>
    </x:row>
    <x:row r="236" ht="24" customHeight="1">
      <x:c r="A236" s="2" t="str">
        <x:v>25 boards / 2% planning</x:v>
      </x:c>
      <x:c r="B236" s="17" t="str">
        <x:v>NCA9536DQJ</x:v>
      </x:c>
      <x:c r="C236" s="18" t="n">
        <x:v>25</x:v>
      </x:c>
      <x:c r="D236" s="27" t="n">
        <x:v>0.02</x:v>
      </x:c>
      <x:c r="E236" s="18" t="n">
        <x:f>INDEX('Assembly BOM'!$C$7:$C$162,MATCH($B236,'Assembly BOM'!$A$7:$A$162,0))</x:f>
        <x:v>1</x:v>
      </x:c>
      <x:c r="F236" s="18" t="n">
        <x:f>C236*E236</x:f>
        <x:v>25</x:v>
      </x:c>
      <x:c r="G236" s="18" t="n">
        <x:f>ROUNDUP(F236*(1+D236),0)</x:f>
        <x:v>26</x:v>
      </x:c>
      <x:c r="H236" s="18" t="n">
        <x:f>INDEX('Dated offers'!$F$7:$F$305,MATCH($Z236,'Dated offers'!$A$7:$A$305,0))</x:f>
        <x:v>1</x:v>
      </x:c>
      <x:c r="I236" s="18" t="n">
        <x:f>INDEX('Dated offers'!$G$7:$G$305,MATCH($Z236,'Dated offers'!$A$7:$A$305,0))</x:f>
        <x:v>1</x:v>
      </x:c>
      <x:c r="J236" s="18" t="n">
        <x:f>CEILING(MAX(G236,H236),I236)</x:f>
        <x:v>26</x:v>
      </x:c>
      <x:c r="K236" s="18" t="n">
        <x:v>26</x:v>
      </x:c>
      <x:c r="L236" s="18" t="n">
        <x:f>INDEX('Dated offers'!$I$7:$I$305,MATCH($Z236,'Dated offers'!$A$7:$A$305,0))</x:f>
        <x:v>25</x:v>
      </x:c>
      <x:c r="M236" s="25" t="n">
        <x:f>INDEX('Dated offers'!$J$7:$J$305,MATCH($Z236,'Dated offers'!$A$7:$A$305,0))</x:f>
        <x:v>0.5168</x:v>
      </x:c>
      <x:c r="N236" s="25" t="n">
        <x:f>INDEX('Dated offers'!$K$7:$K$305,MATCH($Z236,'Dated offers'!$A$7:$A$305,0))</x:f>
        <x:v>0</x:v>
      </x:c>
      <x:c r="O236" s="25" t="n">
        <x:f>F236*M236</x:f>
        <x:v>12.920000000000002</x:v>
      </x:c>
      <x:c r="P236" s="25" t="n">
        <x:f>G236*M236</x:f>
        <x:v>13.436800000000002</x:v>
      </x:c>
      <x:c r="Q236" s="25" t="n">
        <x:f>K236*M236+N236</x:f>
        <x:v>13.436800000000002</x:v>
      </x:c>
      <x:c r="R236" s="18" t="n">
        <x:f>K236-G236</x:f>
        <x:v>0</x:v>
      </x:c>
      <x:c r="S236" s="18" t="n">
        <x:f>INDEX('Dated offers'!$H$7:$H$305,MATCH($Z236,'Dated offers'!$A$7:$A$305,0))</x:f>
        <x:v>648</x:v>
      </x:c>
      <x:c r="T236" s="2" t="str">
        <x:f>IF(K236&lt;G236,"Order below requirement",IF(K236&lt;L236,"Below price tier",IF(ISNUMBER(S236),IF(K236&gt;S236,"Quantity exceeds snapshot","Within quantity snapshot"),"Stock not stated")))</x:f>
        <x:v>Within quantity snapshot</x:v>
      </x:c>
      <x:c r="U236" s="2" t="str">
        <x:f>INDEX('Dated offers'!$C$7:$C$305,MATCH($Z236,'Dated offers'!$A$7:$A$305,0))</x:f>
        <x:v>DigiKey</x:v>
      </x:c>
      <x:c r="V236" s="2" t="str">
        <x:f>INDEX('Dated offers'!$D$7:$D$305,MATCH($Z236,'Dated offers'!$A$7:$A$305,0))</x:f>
        <x:v>1727-NCA9536DQJCT-ND</x:v>
      </x:c>
      <x:c r="W236" s="24" t="n">
        <x:f>INDEX('Dated offers'!$E$7:$E$305,MATCH($Z236,'Dated offers'!$A$7:$A$305,0))</x:f>
        <x:v>46307.733225972224</x:v>
      </x:c>
      <x:c r="X236" s="2" t="b">
        <x:f>INDEX('Dated offers'!$N$7:$N$305,MATCH($Z236,'Dated offers'!$A$7:$A$305,0))</x:f>
        <x:v>0</x:v>
      </x:c>
      <x:c r="Y236" s="2" t="str">
        <x:f>INDEX('Dated offers'!$O$7:$O$305,MATCH($Z236,'Dated offers'!$A$7:$A$305,0))</x:f>
        <x:v>Unreserved inventory snapshot</x:v>
      </x:c>
      <x:c r="Z236" s="17" t="str">
        <x:v>OF0074</x:v>
      </x:c>
      <x:c r="AA236" s="2"/>
      <x:c r="AB236" s="2" t="str">
        <x:f>INDEX('Dated offers'!$Q$7:$Q$305,MATCH($Z236,'Dated offers'!$A$7:$A$305,0))</x:f>
        <x:v>https://www.digikey.com/en/products/detail/nexperia-usa-inc/NCA9536DQJ/29535394</x:v>
      </x:c>
    </x:row>
    <x:row r="237" ht="24" customHeight="1">
      <x:c r="A237" s="2" t="str">
        <x:v>25 boards / 2% planning</x:v>
      </x:c>
      <x:c r="B237" s="17" t="str">
        <x:v>NX3008NBK,215</x:v>
      </x:c>
      <x:c r="C237" s="18" t="n">
        <x:v>25</x:v>
      </x:c>
      <x:c r="D237" s="27" t="n">
        <x:v>0.02</x:v>
      </x:c>
      <x:c r="E237" s="18" t="n">
        <x:f>INDEX('Assembly BOM'!$C$7:$C$162,MATCH($B237,'Assembly BOM'!$A$7:$A$162,0))</x:f>
        <x:v>3</x:v>
      </x:c>
      <x:c r="F237" s="18" t="n">
        <x:f>C237*E237</x:f>
        <x:v>75</x:v>
      </x:c>
      <x:c r="G237" s="18" t="n">
        <x:f>ROUNDUP(F237*(1+D237),0)</x:f>
        <x:v>77</x:v>
      </x:c>
      <x:c r="H237" s="18" t="n">
        <x:f>INDEX('Dated offers'!$F$7:$F$305,MATCH($Z237,'Dated offers'!$A$7:$A$305,0))</x:f>
        <x:v>1</x:v>
      </x:c>
      <x:c r="I237" s="18" t="n">
        <x:f>INDEX('Dated offers'!$G$7:$G$305,MATCH($Z237,'Dated offers'!$A$7:$A$305,0))</x:f>
        <x:v>1</x:v>
      </x:c>
      <x:c r="J237" s="18" t="n">
        <x:f>CEILING(MAX(G237,H237),I237)</x:f>
        <x:v>77</x:v>
      </x:c>
      <x:c r="K237" s="18" t="n">
        <x:v>77</x:v>
      </x:c>
      <x:c r="L237" s="18" t="n">
        <x:f>INDEX('Dated offers'!$I$7:$I$305,MATCH($Z237,'Dated offers'!$A$7:$A$305,0))</x:f>
        <x:v>50</x:v>
      </x:c>
      <x:c r="M237" s="25" t="n">
        <x:f>INDEX('Dated offers'!$J$7:$J$305,MATCH($Z237,'Dated offers'!$A$7:$A$305,0))</x:f>
        <x:v>0.0916</x:v>
      </x:c>
      <x:c r="N237" s="25" t="n">
        <x:f>INDEX('Dated offers'!$K$7:$K$305,MATCH($Z237,'Dated offers'!$A$7:$A$305,0))</x:f>
        <x:v>0</x:v>
      </x:c>
      <x:c r="O237" s="25" t="n">
        <x:f>F237*M237</x:f>
        <x:v>6.87</x:v>
      </x:c>
      <x:c r="P237" s="25" t="n">
        <x:f>G237*M237</x:f>
        <x:v>7.0532</x:v>
      </x:c>
      <x:c r="Q237" s="25" t="n">
        <x:f>K237*M237+N237</x:f>
        <x:v>7.0532</x:v>
      </x:c>
      <x:c r="R237" s="18" t="n">
        <x:f>K237-G237</x:f>
        <x:v>0</x:v>
      </x:c>
      <x:c r="S237" s="18" t="n">
        <x:f>INDEX('Dated offers'!$H$7:$H$305,MATCH($Z237,'Dated offers'!$A$7:$A$305,0))</x:f>
        <x:v>3387</x:v>
      </x:c>
      <x:c r="T237" s="2" t="str">
        <x:f>IF(K237&lt;G237,"Order below requirement",IF(K237&lt;L237,"Below price tier",IF(ISNUMBER(S237),IF(K237&gt;S237,"Quantity exceeds snapshot","Within quantity snapshot"),"Stock not stated")))</x:f>
        <x:v>Within quantity snapshot</x:v>
      </x:c>
      <x:c r="U237" s="2" t="str">
        <x:f>INDEX('Dated offers'!$C$7:$C$305,MATCH($Z237,'Dated offers'!$A$7:$A$305,0))</x:f>
        <x:v>DigiKey</x:v>
      </x:c>
      <x:c r="V237" s="2" t="str">
        <x:f>INDEX('Dated offers'!$D$7:$D$305,MATCH($Z237,'Dated offers'!$A$7:$A$305,0))</x:f>
        <x:v>Not stated</x:v>
      </x:c>
      <x:c r="W237" s="24" t="n">
        <x:f>INDEX('Dated offers'!$E$7:$E$305,MATCH($Z237,'Dated offers'!$A$7:$A$305,0))</x:f>
        <x:v>46307.47807267361</x:v>
      </x:c>
      <x:c r="X237" s="2" t="b">
        <x:f>INDEX('Dated offers'!$N$7:$N$305,MATCH($Z237,'Dated offers'!$A$7:$A$305,0))</x:f>
        <x:v>0</x:v>
      </x:c>
      <x:c r="Y237" s="2" t="str">
        <x:f>INDEX('Dated offers'!$O$7:$O$305,MATCH($Z237,'Dated offers'!$A$7:$A$305,0))</x:f>
        <x:v>Unreserved inventory snapshot</x:v>
      </x:c>
      <x:c r="Z237" s="17" t="str">
        <x:v>OF0075</x:v>
      </x:c>
      <x:c r="AA237" s="2"/>
      <x:c r="AB237" s="2" t="str">
        <x:f>INDEX('Dated offers'!$Q$7:$Q$305,MATCH($Z237,'Dated offers'!$A$7:$A$305,0))</x:f>
        <x:v>https://www.digikey.com/en/products/detail/nexperia-usa-inc/NX3008NBK-215/2779967</x:v>
      </x:c>
    </x:row>
    <x:row r="238" ht="24" customHeight="1">
      <x:c r="A238" s="2" t="str">
        <x:v>25 boards / 2% planning</x:v>
      </x:c>
      <x:c r="B238" s="17" t="str">
        <x:v>PSMN015-100YLX</x:v>
      </x:c>
      <x:c r="C238" s="18" t="n">
        <x:v>25</x:v>
      </x:c>
      <x:c r="D238" s="27" t="n">
        <x:v>0.02</x:v>
      </x:c>
      <x:c r="E238" s="18" t="n">
        <x:f>INDEX('Assembly BOM'!$C$7:$C$162,MATCH($B238,'Assembly BOM'!$A$7:$A$162,0))</x:f>
        <x:v>1</x:v>
      </x:c>
      <x:c r="F238" s="18" t="n">
        <x:f>C238*E238</x:f>
        <x:v>25</x:v>
      </x:c>
      <x:c r="G238" s="18" t="n">
        <x:f>ROUNDUP(F238*(1+D238),0)</x:f>
        <x:v>26</x:v>
      </x:c>
      <x:c r="H238" s="18" t="n">
        <x:f>INDEX('Dated offers'!$F$7:$F$305,MATCH($Z238,'Dated offers'!$A$7:$A$305,0))</x:f>
        <x:v>1</x:v>
      </x:c>
      <x:c r="I238" s="18" t="n">
        <x:f>INDEX('Dated offers'!$G$7:$G$305,MATCH($Z238,'Dated offers'!$A$7:$A$305,0))</x:f>
        <x:v>1</x:v>
      </x:c>
      <x:c r="J238" s="18" t="n">
        <x:f>CEILING(MAX(G238,H238),I238)</x:f>
        <x:v>26</x:v>
      </x:c>
      <x:c r="K238" s="18" t="n">
        <x:v>26</x:v>
      </x:c>
      <x:c r="L238" s="18" t="n">
        <x:f>INDEX('Dated offers'!$I$7:$I$305,MATCH($Z238,'Dated offers'!$A$7:$A$305,0))</x:f>
        <x:v>10</x:v>
      </x:c>
      <x:c r="M238" s="25" t="n">
        <x:f>INDEX('Dated offers'!$J$7:$J$305,MATCH($Z238,'Dated offers'!$A$7:$A$305,0))</x:f>
        <x:v>1.237</x:v>
      </x:c>
      <x:c r="N238" s="25" t="n">
        <x:f>INDEX('Dated offers'!$K$7:$K$305,MATCH($Z238,'Dated offers'!$A$7:$A$305,0))</x:f>
        <x:v>0</x:v>
      </x:c>
      <x:c r="O238" s="25" t="n">
        <x:f>F238*M238</x:f>
        <x:v>30.925000000000004</x:v>
      </x:c>
      <x:c r="P238" s="25" t="n">
        <x:f>G238*M238</x:f>
        <x:v>32.162000000000006</x:v>
      </x:c>
      <x:c r="Q238" s="25" t="n">
        <x:f>K238*M238+N238</x:f>
        <x:v>32.162000000000006</x:v>
      </x:c>
      <x:c r="R238" s="18" t="n">
        <x:f>K238-G238</x:f>
        <x:v>0</x:v>
      </x:c>
      <x:c r="S238" s="18" t="n">
        <x:f>INDEX('Dated offers'!$H$7:$H$305,MATCH($Z238,'Dated offers'!$A$7:$A$305,0))</x:f>
        <x:v>825</x:v>
      </x:c>
      <x:c r="T238" s="2" t="str">
        <x:f>IF(K238&lt;G238,"Order below requirement",IF(K238&lt;L238,"Below price tier",IF(ISNUMBER(S238),IF(K238&gt;S238,"Quantity exceeds snapshot","Within quantity snapshot"),"Stock not stated")))</x:f>
        <x:v>Within quantity snapshot</x:v>
      </x:c>
      <x:c r="U238" s="2" t="str">
        <x:f>INDEX('Dated offers'!$C$7:$C$305,MATCH($Z238,'Dated offers'!$A$7:$A$305,0))</x:f>
        <x:v>DigiKey</x:v>
      </x:c>
      <x:c r="V238" s="2" t="str">
        <x:f>INDEX('Dated offers'!$D$7:$D$305,MATCH($Z238,'Dated offers'!$A$7:$A$305,0))</x:f>
        <x:v>Not stated</x:v>
      </x:c>
      <x:c r="W238" s="24" t="n">
        <x:f>INDEX('Dated offers'!$E$7:$E$305,MATCH($Z238,'Dated offers'!$A$7:$A$305,0))</x:f>
        <x:v>46307.4780725463</x:v>
      </x:c>
      <x:c r="X238" s="2" t="b">
        <x:f>INDEX('Dated offers'!$N$7:$N$305,MATCH($Z238,'Dated offers'!$A$7:$A$305,0))</x:f>
        <x:v>0</x:v>
      </x:c>
      <x:c r="Y238" s="2" t="str">
        <x:f>INDEX('Dated offers'!$O$7:$O$305,MATCH($Z238,'Dated offers'!$A$7:$A$305,0))</x:f>
        <x:v>Unreserved inventory snapshot</x:v>
      </x:c>
      <x:c r="Z238" s="17" t="str">
        <x:v>OF0076</x:v>
      </x:c>
      <x:c r="AA238" s="2"/>
      <x:c r="AB238" s="2" t="str">
        <x:f>INDEX('Dated offers'!$Q$7:$Q$305,MATCH($Z238,'Dated offers'!$A$7:$A$305,0))</x:f>
        <x:v>https://www.digikey.com/en/products/detail/nexperia-usa-inc/PSMN015-100YLX/5981419</x:v>
      </x:c>
    </x:row>
    <x:row r="239" ht="24" customHeight="1">
      <x:c r="A239" s="2" t="str">
        <x:v>25 boards / 2% planning</x:v>
      </x:c>
      <x:c r="B239" s="17" t="str">
        <x:v>RC0402FR-07130KL</x:v>
      </x:c>
      <x:c r="C239" s="18" t="n">
        <x:v>25</x:v>
      </x:c>
      <x:c r="D239" s="27" t="n">
        <x:v>0.02</x:v>
      </x:c>
      <x:c r="E239" s="18" t="n">
        <x:f>INDEX('Assembly BOM'!$C$7:$C$162,MATCH($B239,'Assembly BOM'!$A$7:$A$162,0))</x:f>
        <x:v>1</x:v>
      </x:c>
      <x:c r="F239" s="18" t="n">
        <x:f>C239*E239</x:f>
        <x:v>25</x:v>
      </x:c>
      <x:c r="G239" s="18" t="n">
        <x:f>ROUNDUP(F239*(1+D239),0)</x:f>
        <x:v>26</x:v>
      </x:c>
      <x:c r="H239" s="18" t="n">
        <x:f>INDEX('Dated offers'!$F$7:$F$305,MATCH($Z239,'Dated offers'!$A$7:$A$305,0))</x:f>
        <x:v>100</x:v>
      </x:c>
      <x:c r="I239" s="18" t="n">
        <x:f>INDEX('Dated offers'!$G$7:$G$305,MATCH($Z239,'Dated offers'!$A$7:$A$305,0))</x:f>
        <x:v>100</x:v>
      </x:c>
      <x:c r="J239" s="18" t="n">
        <x:f>CEILING(MAX(G239,H239),I239)</x:f>
        <x:v>100</x:v>
      </x:c>
      <x:c r="K239" s="18" t="n">
        <x:v>100</x:v>
      </x:c>
      <x:c r="L239" s="18" t="n">
        <x:f>INDEX('Dated offers'!$I$7:$I$305,MATCH($Z239,'Dated offers'!$A$7:$A$305,0))</x:f>
        <x:v>100</x:v>
      </x:c>
      <x:c r="M239" s="25" t="n">
        <x:f>INDEX('Dated offers'!$J$7:$J$305,MATCH($Z239,'Dated offers'!$A$7:$A$305,0))</x:f>
        <x:v>0.0032</x:v>
      </x:c>
      <x:c r="N239" s="25" t="n">
        <x:f>INDEX('Dated offers'!$K$7:$K$305,MATCH($Z239,'Dated offers'!$A$7:$A$305,0))</x:f>
        <x:v>0</x:v>
      </x:c>
      <x:c r="O239" s="25" t="n">
        <x:f>F239*M239</x:f>
        <x:v>0.08</x:v>
      </x:c>
      <x:c r="P239" s="25" t="n">
        <x:f>G239*M239</x:f>
        <x:v>0.08320000000000001</x:v>
      </x:c>
      <x:c r="Q239" s="25" t="n">
        <x:f>K239*M239+N239</x:f>
        <x:v>0.32</x:v>
      </x:c>
      <x:c r="R239" s="18" t="n">
        <x:f>K239-G239</x:f>
        <x:v>74</x:v>
      </x:c>
      <x:c r="S239" s="18" t="n">
        <x:f>INDEX('Dated offers'!$H$7:$H$305,MATCH($Z239,'Dated offers'!$A$7:$A$305,0))</x:f>
        <x:v>902900</x:v>
      </x:c>
      <x:c r="T239" s="2" t="str">
        <x:f>IF(K239&lt;G239,"Order below requirement",IF(K239&lt;L239,"Below price tier",IF(ISNUMBER(S239),IF(K239&gt;S239,"Quantity exceeds snapshot","Within quantity snapshot"),"Stock not stated")))</x:f>
        <x:v>Within quantity snapshot</x:v>
      </x:c>
      <x:c r="U239" s="2" t="str">
        <x:f>INDEX('Dated offers'!$C$7:$C$305,MATCH($Z239,'Dated offers'!$A$7:$A$305,0))</x:f>
        <x:v>LCSC</x:v>
      </x:c>
      <x:c r="V239" s="2" t="str">
        <x:f>INDEX('Dated offers'!$D$7:$D$305,MATCH($Z239,'Dated offers'!$A$7:$A$305,0))</x:f>
        <x:v>C93946</x:v>
      </x:c>
      <x:c r="W239" s="24" t="n">
        <x:f>INDEX('Dated offers'!$E$7:$E$305,MATCH($Z239,'Dated offers'!$A$7:$A$305,0))</x:f>
        <x:v>46307.44744263889</x:v>
      </x:c>
      <x:c r="X239" s="2" t="b">
        <x:f>INDEX('Dated offers'!$N$7:$N$305,MATCH($Z239,'Dated offers'!$A$7:$A$305,0))</x:f>
        <x:v>0</x:v>
      </x:c>
      <x:c r="Y239" s="2" t="str">
        <x:f>INDEX('Dated offers'!$O$7:$O$305,MATCH($Z239,'Dated offers'!$A$7:$A$305,0))</x:f>
        <x:v>Unreserved inventory snapshot</x:v>
      </x:c>
      <x:c r="Z239" s="17" t="str">
        <x:v>OF0077</x:v>
      </x:c>
      <x:c r="AA239" s="2"/>
      <x:c r="AB239" s="2" t="str">
        <x:f>INDEX('Dated offers'!$Q$7:$Q$305,MATCH($Z239,'Dated offers'!$A$7:$A$305,0))</x:f>
        <x:v>https://www.lcsc.com/product-detail/C93946.html</x:v>
      </x:c>
    </x:row>
    <x:row r="240" ht="24" customHeight="1">
      <x:c r="A240" s="2" t="str">
        <x:v>25 boards / 2% planning</x:v>
      </x:c>
      <x:c r="B240" s="17" t="str">
        <x:v>RC0402FR-071K8L</x:v>
      </x:c>
      <x:c r="C240" s="18" t="n">
        <x:v>25</x:v>
      </x:c>
      <x:c r="D240" s="27" t="n">
        <x:v>0.02</x:v>
      </x:c>
      <x:c r="E240" s="18" t="n">
        <x:f>INDEX('Assembly BOM'!$C$7:$C$162,MATCH($B240,'Assembly BOM'!$A$7:$A$162,0))</x:f>
        <x:v>1</x:v>
      </x:c>
      <x:c r="F240" s="18" t="n">
        <x:f>C240*E240</x:f>
        <x:v>25</x:v>
      </x:c>
      <x:c r="G240" s="18" t="n">
        <x:f>ROUNDUP(F240*(1+D240),0)</x:f>
        <x:v>26</x:v>
      </x:c>
      <x:c r="H240" s="18" t="n">
        <x:f>INDEX('Dated offers'!$F$7:$F$305,MATCH($Z240,'Dated offers'!$A$7:$A$305,0))</x:f>
        <x:v>100</x:v>
      </x:c>
      <x:c r="I240" s="18" t="n">
        <x:f>INDEX('Dated offers'!$G$7:$G$305,MATCH($Z240,'Dated offers'!$A$7:$A$305,0))</x:f>
        <x:v>100</x:v>
      </x:c>
      <x:c r="J240" s="18" t="n">
        <x:f>CEILING(MAX(G240,H240),I240)</x:f>
        <x:v>100</x:v>
      </x:c>
      <x:c r="K240" s="18" t="n">
        <x:v>100</x:v>
      </x:c>
      <x:c r="L240" s="18" t="n">
        <x:f>INDEX('Dated offers'!$I$7:$I$305,MATCH($Z240,'Dated offers'!$A$7:$A$305,0))</x:f>
        <x:v>100</x:v>
      </x:c>
      <x:c r="M240" s="25" t="n">
        <x:f>INDEX('Dated offers'!$J$7:$J$305,MATCH($Z240,'Dated offers'!$A$7:$A$305,0))</x:f>
        <x:v>0.0034</x:v>
      </x:c>
      <x:c r="N240" s="25" t="n">
        <x:f>INDEX('Dated offers'!$K$7:$K$305,MATCH($Z240,'Dated offers'!$A$7:$A$305,0))</x:f>
        <x:v>0</x:v>
      </x:c>
      <x:c r="O240" s="25" t="n">
        <x:f>F240*M240</x:f>
        <x:v>0.08499999999999999</x:v>
      </x:c>
      <x:c r="P240" s="25" t="n">
        <x:f>G240*M240</x:f>
        <x:v>0.08839999999999999</x:v>
      </x:c>
      <x:c r="Q240" s="25" t="n">
        <x:f>K240*M240+N240</x:f>
        <x:v>0.33999999999999997</x:v>
      </x:c>
      <x:c r="R240" s="18" t="n">
        <x:f>K240-G240</x:f>
        <x:v>74</x:v>
      </x:c>
      <x:c r="S240" s="18" t="n">
        <x:f>INDEX('Dated offers'!$H$7:$H$305,MATCH($Z240,'Dated offers'!$A$7:$A$305,0))</x:f>
        <x:v>128100</x:v>
      </x:c>
      <x:c r="T240" s="2" t="str">
        <x:f>IF(K240&lt;G240,"Order below requirement",IF(K240&lt;L240,"Below price tier",IF(ISNUMBER(S240),IF(K240&gt;S240,"Quantity exceeds snapshot","Within quantity snapshot"),"Stock not stated")))</x:f>
        <x:v>Within quantity snapshot</x:v>
      </x:c>
      <x:c r="U240" s="2" t="str">
        <x:f>INDEX('Dated offers'!$C$7:$C$305,MATCH($Z240,'Dated offers'!$A$7:$A$305,0))</x:f>
        <x:v>LCSC</x:v>
      </x:c>
      <x:c r="V240" s="2" t="str">
        <x:f>INDEX('Dated offers'!$D$7:$D$305,MATCH($Z240,'Dated offers'!$A$7:$A$305,0))</x:f>
        <x:v>C163481</x:v>
      </x:c>
      <x:c r="W240" s="24" t="n">
        <x:f>INDEX('Dated offers'!$E$7:$E$305,MATCH($Z240,'Dated offers'!$A$7:$A$305,0))</x:f>
        <x:v>46307.447445798614</x:v>
      </x:c>
      <x:c r="X240" s="2" t="b">
        <x:f>INDEX('Dated offers'!$N$7:$N$305,MATCH($Z240,'Dated offers'!$A$7:$A$305,0))</x:f>
        <x:v>0</x:v>
      </x:c>
      <x:c r="Y240" s="2" t="str">
        <x:f>INDEX('Dated offers'!$O$7:$O$305,MATCH($Z240,'Dated offers'!$A$7:$A$305,0))</x:f>
        <x:v>Unreserved inventory snapshot</x:v>
      </x:c>
      <x:c r="Z240" s="17" t="str">
        <x:v>OF0078</x:v>
      </x:c>
      <x:c r="AA240" s="2"/>
      <x:c r="AB240" s="2" t="str">
        <x:f>INDEX('Dated offers'!$Q$7:$Q$305,MATCH($Z240,'Dated offers'!$A$7:$A$305,0))</x:f>
        <x:v>https://www.lcsc.com/product-detail/C163481.html</x:v>
      </x:c>
    </x:row>
    <x:row r="241" ht="24" customHeight="1">
      <x:c r="A241" s="2" t="str">
        <x:v>25 boards / 2% planning</x:v>
      </x:c>
      <x:c r="B241" s="17" t="str">
        <x:v>RC0402FR-07240RL</x:v>
      </x:c>
      <x:c r="C241" s="18" t="n">
        <x:v>25</x:v>
      </x:c>
      <x:c r="D241" s="27" t="n">
        <x:v>0.02</x:v>
      </x:c>
      <x:c r="E241" s="18" t="n">
        <x:f>INDEX('Assembly BOM'!$C$7:$C$162,MATCH($B241,'Assembly BOM'!$A$7:$A$162,0))</x:f>
        <x:v>1</x:v>
      </x:c>
      <x:c r="F241" s="18" t="n">
        <x:f>C241*E241</x:f>
        <x:v>25</x:v>
      </x:c>
      <x:c r="G241" s="18" t="n">
        <x:f>ROUNDUP(F241*(1+D241),0)</x:f>
        <x:v>26</x:v>
      </x:c>
      <x:c r="H241" s="18" t="n">
        <x:f>INDEX('Dated offers'!$F$7:$F$305,MATCH($Z241,'Dated offers'!$A$7:$A$305,0))</x:f>
        <x:v>1</x:v>
      </x:c>
      <x:c r="I241" s="18" t="n">
        <x:f>INDEX('Dated offers'!$G$7:$G$305,MATCH($Z241,'Dated offers'!$A$7:$A$305,0))</x:f>
        <x:v>1</x:v>
      </x:c>
      <x:c r="J241" s="18" t="n">
        <x:f>CEILING(MAX(G241,H241),I241)</x:f>
        <x:v>26</x:v>
      </x:c>
      <x:c r="K241" s="18" t="n">
        <x:v>26</x:v>
      </x:c>
      <x:c r="L241" s="18" t="n">
        <x:f>INDEX('Dated offers'!$I$7:$I$305,MATCH($Z241,'Dated offers'!$A$7:$A$305,0))</x:f>
        <x:v>25</x:v>
      </x:c>
      <x:c r="M241" s="25" t="n">
        <x:f>INDEX('Dated offers'!$J$7:$J$305,MATCH($Z241,'Dated offers'!$A$7:$A$305,0))</x:f>
        <x:v>0.0152</x:v>
      </x:c>
      <x:c r="N241" s="25" t="n">
        <x:f>INDEX('Dated offers'!$K$7:$K$305,MATCH($Z241,'Dated offers'!$A$7:$A$305,0))</x:f>
        <x:v>0</x:v>
      </x:c>
      <x:c r="O241" s="25" t="n">
        <x:f>F241*M241</x:f>
        <x:v>0.38</x:v>
      </x:c>
      <x:c r="P241" s="25" t="n">
        <x:f>G241*M241</x:f>
        <x:v>0.3952</x:v>
      </x:c>
      <x:c r="Q241" s="25" t="n">
        <x:f>K241*M241+N241</x:f>
        <x:v>0.3952</x:v>
      </x:c>
      <x:c r="R241" s="18" t="n">
        <x:f>K241-G241</x:f>
        <x:v>0</x:v>
      </x:c>
      <x:c r="S241" s="18" t="n">
        <x:f>INDEX('Dated offers'!$H$7:$H$305,MATCH($Z241,'Dated offers'!$A$7:$A$305,0))</x:f>
        <x:v>880015</x:v>
      </x:c>
      <x:c r="T241" s="2" t="str">
        <x:f>IF(K241&lt;G241,"Order below requirement",IF(K241&lt;L241,"Below price tier",IF(ISNUMBER(S241),IF(K241&gt;S241,"Quantity exceeds snapshot","Within quantity snapshot"),"Stock not stated")))</x:f>
        <x:v>Within quantity snapshot</x:v>
      </x:c>
      <x:c r="U241" s="2" t="str">
        <x:f>INDEX('Dated offers'!$C$7:$C$305,MATCH($Z241,'Dated offers'!$A$7:$A$305,0))</x:f>
        <x:v>DigiKey</x:v>
      </x:c>
      <x:c r="V241" s="2" t="str">
        <x:f>INDEX('Dated offers'!$D$7:$D$305,MATCH($Z241,'Dated offers'!$A$7:$A$305,0))</x:f>
        <x:v>Not stated</x:v>
      </x:c>
      <x:c r="W241" s="24" t="n">
        <x:f>INDEX('Dated offers'!$E$7:$E$305,MATCH($Z241,'Dated offers'!$A$7:$A$305,0))</x:f>
        <x:v>46307.47807267361</x:v>
      </x:c>
      <x:c r="X241" s="2" t="b">
        <x:f>INDEX('Dated offers'!$N$7:$N$305,MATCH($Z241,'Dated offers'!$A$7:$A$305,0))</x:f>
        <x:v>0</x:v>
      </x:c>
      <x:c r="Y241" s="2" t="str">
        <x:f>INDEX('Dated offers'!$O$7:$O$305,MATCH($Z241,'Dated offers'!$A$7:$A$305,0))</x:f>
        <x:v>Unreserved inventory snapshot</x:v>
      </x:c>
      <x:c r="Z241" s="17" t="str">
        <x:v>OF0079</x:v>
      </x:c>
      <x:c r="AA241" s="2"/>
      <x:c r="AB241" s="2" t="str">
        <x:f>INDEX('Dated offers'!$Q$7:$Q$305,MATCH($Z241,'Dated offers'!$A$7:$A$305,0))</x:f>
        <x:v>https://www.digikey.com/en/products/detail/yageo/RC0402FR-07240RL/2827564</x:v>
      </x:c>
    </x:row>
    <x:row r="242" ht="24" customHeight="1">
      <x:c r="A242" s="2" t="str">
        <x:v>25 boards / 2% planning</x:v>
      </x:c>
      <x:c r="B242" s="17" t="str">
        <x:v>RC0402FR-073K6L</x:v>
      </x:c>
      <x:c r="C242" s="18" t="n">
        <x:v>25</x:v>
      </x:c>
      <x:c r="D242" s="27" t="n">
        <x:v>0.02</x:v>
      </x:c>
      <x:c r="E242" s="18" t="n">
        <x:f>INDEX('Assembly BOM'!$C$7:$C$162,MATCH($B242,'Assembly BOM'!$A$7:$A$162,0))</x:f>
        <x:v>1</x:v>
      </x:c>
      <x:c r="F242" s="18" t="n">
        <x:f>C242*E242</x:f>
        <x:v>25</x:v>
      </x:c>
      <x:c r="G242" s="18" t="n">
        <x:f>ROUNDUP(F242*(1+D242),0)</x:f>
        <x:v>26</x:v>
      </x:c>
      <x:c r="H242" s="18" t="n">
        <x:f>INDEX('Dated offers'!$F$7:$F$305,MATCH($Z242,'Dated offers'!$A$7:$A$305,0))</x:f>
        <x:v>100</x:v>
      </x:c>
      <x:c r="I242" s="18" t="n">
        <x:f>INDEX('Dated offers'!$G$7:$G$305,MATCH($Z242,'Dated offers'!$A$7:$A$305,0))</x:f>
        <x:v>100</x:v>
      </x:c>
      <x:c r="J242" s="18" t="n">
        <x:f>CEILING(MAX(G242,H242),I242)</x:f>
        <x:v>100</x:v>
      </x:c>
      <x:c r="K242" s="18" t="n">
        <x:v>100</x:v>
      </x:c>
      <x:c r="L242" s="18" t="n">
        <x:f>INDEX('Dated offers'!$I$7:$I$305,MATCH($Z242,'Dated offers'!$A$7:$A$305,0))</x:f>
        <x:v>100</x:v>
      </x:c>
      <x:c r="M242" s="25" t="n">
        <x:f>INDEX('Dated offers'!$J$7:$J$305,MATCH($Z242,'Dated offers'!$A$7:$A$305,0))</x:f>
        <x:v>0.002</x:v>
      </x:c>
      <x:c r="N242" s="25" t="n">
        <x:f>INDEX('Dated offers'!$K$7:$K$305,MATCH($Z242,'Dated offers'!$A$7:$A$305,0))</x:f>
        <x:v>0</x:v>
      </x:c>
      <x:c r="O242" s="25" t="n">
        <x:f>F242*M242</x:f>
        <x:v>0.05</x:v>
      </x:c>
      <x:c r="P242" s="25" t="n">
        <x:f>G242*M242</x:f>
        <x:v>0.052000000000000005</x:v>
      </x:c>
      <x:c r="Q242" s="25" t="n">
        <x:f>K242*M242+N242</x:f>
        <x:v>0.2</x:v>
      </x:c>
      <x:c r="R242" s="18" t="n">
        <x:f>K242-G242</x:f>
        <x:v>74</x:v>
      </x:c>
      <x:c r="S242" s="18" t="n">
        <x:f>INDEX('Dated offers'!$H$7:$H$305,MATCH($Z242,'Dated offers'!$A$7:$A$305,0))</x:f>
        <x:v>556600</x:v>
      </x:c>
      <x:c r="T242" s="2" t="str">
        <x:f>IF(K242&lt;G242,"Order below requirement",IF(K242&lt;L242,"Below price tier",IF(ISNUMBER(S242),IF(K242&gt;S242,"Quantity exceeds snapshot","Within quantity snapshot"),"Stock not stated")))</x:f>
        <x:v>Within quantity snapshot</x:v>
      </x:c>
      <x:c r="U242" s="2" t="str">
        <x:f>INDEX('Dated offers'!$C$7:$C$305,MATCH($Z242,'Dated offers'!$A$7:$A$305,0))</x:f>
        <x:v>LCSC</x:v>
      </x:c>
      <x:c r="V242" s="2" t="str">
        <x:f>INDEX('Dated offers'!$D$7:$D$305,MATCH($Z242,'Dated offers'!$A$7:$A$305,0))</x:f>
        <x:v>C137990</x:v>
      </x:c>
      <x:c r="W242" s="24" t="n">
        <x:f>INDEX('Dated offers'!$E$7:$E$305,MATCH($Z242,'Dated offers'!$A$7:$A$305,0))</x:f>
        <x:v>46307.44744980324</x:v>
      </x:c>
      <x:c r="X242" s="2" t="b">
        <x:f>INDEX('Dated offers'!$N$7:$N$305,MATCH($Z242,'Dated offers'!$A$7:$A$305,0))</x:f>
        <x:v>0</x:v>
      </x:c>
      <x:c r="Y242" s="2" t="str">
        <x:f>INDEX('Dated offers'!$O$7:$O$305,MATCH($Z242,'Dated offers'!$A$7:$A$305,0))</x:f>
        <x:v>Unreserved inventory snapshot</x:v>
      </x:c>
      <x:c r="Z242" s="17" t="str">
        <x:v>OF0080</x:v>
      </x:c>
      <x:c r="AA242" s="2"/>
      <x:c r="AB242" s="2" t="str">
        <x:f>INDEX('Dated offers'!$Q$7:$Q$305,MATCH($Z242,'Dated offers'!$A$7:$A$305,0))</x:f>
        <x:v>https://www.lcsc.com/product-detail/C137990.html</x:v>
      </x:c>
    </x:row>
    <x:row r="243" ht="24" customHeight="1">
      <x:c r="A243" s="2" t="str">
        <x:v>25 boards / 2% planning</x:v>
      </x:c>
      <x:c r="B243" s="17" t="str">
        <x:v>RC0603FR-0710KL</x:v>
      </x:c>
      <x:c r="C243" s="18" t="n">
        <x:v>25</x:v>
      </x:c>
      <x:c r="D243" s="27" t="n">
        <x:v>0.02</x:v>
      </x:c>
      <x:c r="E243" s="18" t="n">
        <x:f>INDEX('Assembly BOM'!$C$7:$C$162,MATCH($B243,'Assembly BOM'!$A$7:$A$162,0))</x:f>
        <x:v>4</x:v>
      </x:c>
      <x:c r="F243" s="18" t="n">
        <x:f>C243*E243</x:f>
        <x:v>100</x:v>
      </x:c>
      <x:c r="G243" s="18" t="n">
        <x:f>ROUNDUP(F243*(1+D243),0)</x:f>
        <x:v>102</x:v>
      </x:c>
      <x:c r="H243" s="18" t="n">
        <x:f>INDEX('Dated offers'!$F$7:$F$305,MATCH($Z243,'Dated offers'!$A$7:$A$305,0))</x:f>
        <x:v>100</x:v>
      </x:c>
      <x:c r="I243" s="18" t="n">
        <x:f>INDEX('Dated offers'!$G$7:$G$305,MATCH($Z243,'Dated offers'!$A$7:$A$305,0))</x:f>
        <x:v>100</x:v>
      </x:c>
      <x:c r="J243" s="18" t="n">
        <x:f>CEILING(MAX(G243,H243),I243)</x:f>
        <x:v>200</x:v>
      </x:c>
      <x:c r="K243" s="18" t="n">
        <x:v>200</x:v>
      </x:c>
      <x:c r="L243" s="18" t="n">
        <x:f>INDEX('Dated offers'!$I$7:$I$305,MATCH($Z243,'Dated offers'!$A$7:$A$305,0))</x:f>
        <x:v>100</x:v>
      </x:c>
      <x:c r="M243" s="25" t="n">
        <x:f>INDEX('Dated offers'!$J$7:$J$305,MATCH($Z243,'Dated offers'!$A$7:$A$305,0))</x:f>
        <x:v>0.0034</x:v>
      </x:c>
      <x:c r="N243" s="25" t="n">
        <x:f>INDEX('Dated offers'!$K$7:$K$305,MATCH($Z243,'Dated offers'!$A$7:$A$305,0))</x:f>
        <x:v>0</x:v>
      </x:c>
      <x:c r="O243" s="25" t="n">
        <x:f>F243*M243</x:f>
        <x:v>0.33999999999999997</x:v>
      </x:c>
      <x:c r="P243" s="25" t="n">
        <x:f>G243*M243</x:f>
        <x:v>0.3468</x:v>
      </x:c>
      <x:c r="Q243" s="25" t="n">
        <x:f>K243*M243+N243</x:f>
        <x:v>0.6799999999999999</x:v>
      </x:c>
      <x:c r="R243" s="18" t="n">
        <x:f>K243-G243</x:f>
        <x:v>98</x:v>
      </x:c>
      <x:c r="S243" s="18" t="n">
        <x:f>INDEX('Dated offers'!$H$7:$H$305,MATCH($Z243,'Dated offers'!$A$7:$A$305,0))</x:f>
        <x:v>4714200</x:v>
      </x:c>
      <x:c r="T243" s="2" t="str">
        <x:f>IF(K243&lt;G243,"Order below requirement",IF(K243&lt;L243,"Below price tier",IF(ISNUMBER(S243),IF(K243&gt;S243,"Quantity exceeds snapshot","Within quantity snapshot"),"Stock not stated")))</x:f>
        <x:v>Within quantity snapshot</x:v>
      </x:c>
      <x:c r="U243" s="2" t="str">
        <x:f>INDEX('Dated offers'!$C$7:$C$305,MATCH($Z243,'Dated offers'!$A$7:$A$305,0))</x:f>
        <x:v>LCSC</x:v>
      </x:c>
      <x:c r="V243" s="2" t="str">
        <x:f>INDEX('Dated offers'!$D$7:$D$305,MATCH($Z243,'Dated offers'!$A$7:$A$305,0))</x:f>
        <x:v>C98220</x:v>
      </x:c>
      <x:c r="W243" s="24" t="n">
        <x:f>INDEX('Dated offers'!$E$7:$E$305,MATCH($Z243,'Dated offers'!$A$7:$A$305,0))</x:f>
        <x:v>46307.44744924769</x:v>
      </x:c>
      <x:c r="X243" s="2" t="b">
        <x:f>INDEX('Dated offers'!$N$7:$N$305,MATCH($Z243,'Dated offers'!$A$7:$A$305,0))</x:f>
        <x:v>0</x:v>
      </x:c>
      <x:c r="Y243" s="2" t="str">
        <x:f>INDEX('Dated offers'!$O$7:$O$305,MATCH($Z243,'Dated offers'!$A$7:$A$305,0))</x:f>
        <x:v>Unreserved inventory snapshot</x:v>
      </x:c>
      <x:c r="Z243" s="17" t="str">
        <x:v>OF0081</x:v>
      </x:c>
      <x:c r="AA243" s="2"/>
      <x:c r="AB243" s="2" t="str">
        <x:f>INDEX('Dated offers'!$Q$7:$Q$305,MATCH($Z243,'Dated offers'!$A$7:$A$305,0))</x:f>
        <x:v>https://www.lcsc.com/product-detail/C98220.html</x:v>
      </x:c>
    </x:row>
    <x:row r="244" ht="24" customHeight="1">
      <x:c r="A244" s="2" t="str">
        <x:v>25 boards / 2% planning</x:v>
      </x:c>
      <x:c r="B244" s="17" t="str">
        <x:v>RC0603FR-0710RL</x:v>
      </x:c>
      <x:c r="C244" s="18" t="n">
        <x:v>25</x:v>
      </x:c>
      <x:c r="D244" s="27" t="n">
        <x:v>0.02</x:v>
      </x:c>
      <x:c r="E244" s="18" t="n">
        <x:f>INDEX('Assembly BOM'!$C$7:$C$162,MATCH($B244,'Assembly BOM'!$A$7:$A$162,0))</x:f>
        <x:v>1</x:v>
      </x:c>
      <x:c r="F244" s="18" t="n">
        <x:f>C244*E244</x:f>
        <x:v>25</x:v>
      </x:c>
      <x:c r="G244" s="18" t="n">
        <x:f>ROUNDUP(F244*(1+D244),0)</x:f>
        <x:v>26</x:v>
      </x:c>
      <x:c r="H244" s="18" t="n">
        <x:f>INDEX('Dated offers'!$F$7:$F$305,MATCH($Z244,'Dated offers'!$A$7:$A$305,0))</x:f>
        <x:v>100</x:v>
      </x:c>
      <x:c r="I244" s="18" t="n">
        <x:f>INDEX('Dated offers'!$G$7:$G$305,MATCH($Z244,'Dated offers'!$A$7:$A$305,0))</x:f>
        <x:v>100</x:v>
      </x:c>
      <x:c r="J244" s="18" t="n">
        <x:f>CEILING(MAX(G244,H244),I244)</x:f>
        <x:v>100</x:v>
      </x:c>
      <x:c r="K244" s="18" t="n">
        <x:v>100</x:v>
      </x:c>
      <x:c r="L244" s="18" t="n">
        <x:f>INDEX('Dated offers'!$I$7:$I$305,MATCH($Z244,'Dated offers'!$A$7:$A$305,0))</x:f>
        <x:v>100</x:v>
      </x:c>
      <x:c r="M244" s="25" t="n">
        <x:f>INDEX('Dated offers'!$J$7:$J$305,MATCH($Z244,'Dated offers'!$A$7:$A$305,0))</x:f>
        <x:v>0.0065</x:v>
      </x:c>
      <x:c r="N244" s="25" t="n">
        <x:f>INDEX('Dated offers'!$K$7:$K$305,MATCH($Z244,'Dated offers'!$A$7:$A$305,0))</x:f>
        <x:v>0</x:v>
      </x:c>
      <x:c r="O244" s="25" t="n">
        <x:f>F244*M244</x:f>
        <x:v>0.1625</x:v>
      </x:c>
      <x:c r="P244" s="25" t="n">
        <x:f>G244*M244</x:f>
        <x:v>0.16899999999999998</x:v>
      </x:c>
      <x:c r="Q244" s="25" t="n">
        <x:f>K244*M244+N244</x:f>
        <x:v>0.65</x:v>
      </x:c>
      <x:c r="R244" s="18" t="n">
        <x:f>K244-G244</x:f>
        <x:v>74</x:v>
      </x:c>
      <x:c r="S244" s="18" t="n">
        <x:f>INDEX('Dated offers'!$H$7:$H$305,MATCH($Z244,'Dated offers'!$A$7:$A$305,0))</x:f>
        <x:v>5557100</x:v>
      </x:c>
      <x:c r="T244" s="2" t="str">
        <x:f>IF(K244&lt;G244,"Order below requirement",IF(K244&lt;L244,"Below price tier",IF(ISNUMBER(S244),IF(K244&gt;S244,"Quantity exceeds snapshot","Within quantity snapshot"),"Stock not stated")))</x:f>
        <x:v>Within quantity snapshot</x:v>
      </x:c>
      <x:c r="U244" s="2" t="str">
        <x:f>INDEX('Dated offers'!$C$7:$C$305,MATCH($Z244,'Dated offers'!$A$7:$A$305,0))</x:f>
        <x:v>LCSC</x:v>
      </x:c>
      <x:c r="V244" s="2" t="str">
        <x:f>INDEX('Dated offers'!$D$7:$D$305,MATCH($Z244,'Dated offers'!$A$7:$A$305,0))</x:f>
        <x:v>C109318</x:v>
      </x:c>
      <x:c r="W244" s="24" t="n">
        <x:f>INDEX('Dated offers'!$E$7:$E$305,MATCH($Z244,'Dated offers'!$A$7:$A$305,0))</x:f>
        <x:v>46307.44745208333</x:v>
      </x:c>
      <x:c r="X244" s="2" t="b">
        <x:f>INDEX('Dated offers'!$N$7:$N$305,MATCH($Z244,'Dated offers'!$A$7:$A$305,0))</x:f>
        <x:v>0</x:v>
      </x:c>
      <x:c r="Y244" s="2" t="str">
        <x:f>INDEX('Dated offers'!$O$7:$O$305,MATCH($Z244,'Dated offers'!$A$7:$A$305,0))</x:f>
        <x:v>Unreserved inventory snapshot</x:v>
      </x:c>
      <x:c r="Z244" s="17" t="str">
        <x:v>OF0082</x:v>
      </x:c>
      <x:c r="AA244" s="2"/>
      <x:c r="AB244" s="2" t="str">
        <x:f>INDEX('Dated offers'!$Q$7:$Q$305,MATCH($Z244,'Dated offers'!$A$7:$A$305,0))</x:f>
        <x:v>https://www.lcsc.com/product-detail/C109318.html</x:v>
      </x:c>
    </x:row>
    <x:row r="245" ht="24" customHeight="1">
      <x:c r="A245" s="2" t="str">
        <x:v>25 boards / 2% planning</x:v>
      </x:c>
      <x:c r="B245" s="17" t="str">
        <x:v>RC0603FR-0716KL</x:v>
      </x:c>
      <x:c r="C245" s="18" t="n">
        <x:v>25</x:v>
      </x:c>
      <x:c r="D245" s="27" t="n">
        <x:v>0.02</x:v>
      </x:c>
      <x:c r="E245" s="18" t="n">
        <x:f>INDEX('Assembly BOM'!$C$7:$C$162,MATCH($B245,'Assembly BOM'!$A$7:$A$162,0))</x:f>
        <x:v>1</x:v>
      </x:c>
      <x:c r="F245" s="18" t="n">
        <x:f>C245*E245</x:f>
        <x:v>25</x:v>
      </x:c>
      <x:c r="G245" s="18" t="n">
        <x:f>ROUNDUP(F245*(1+D245),0)</x:f>
        <x:v>26</x:v>
      </x:c>
      <x:c r="H245" s="18" t="n">
        <x:f>INDEX('Dated offers'!$F$7:$F$305,MATCH($Z245,'Dated offers'!$A$7:$A$305,0))</x:f>
        <x:v>100</x:v>
      </x:c>
      <x:c r="I245" s="18" t="n">
        <x:f>INDEX('Dated offers'!$G$7:$G$305,MATCH($Z245,'Dated offers'!$A$7:$A$305,0))</x:f>
        <x:v>100</x:v>
      </x:c>
      <x:c r="J245" s="18" t="n">
        <x:f>CEILING(MAX(G245,H245),I245)</x:f>
        <x:v>100</x:v>
      </x:c>
      <x:c r="K245" s="18" t="n">
        <x:v>100</x:v>
      </x:c>
      <x:c r="L245" s="18" t="n">
        <x:f>INDEX('Dated offers'!$I$7:$I$305,MATCH($Z245,'Dated offers'!$A$7:$A$305,0))</x:f>
        <x:v>100</x:v>
      </x:c>
      <x:c r="M245" s="25" t="n">
        <x:f>INDEX('Dated offers'!$J$7:$J$305,MATCH($Z245,'Dated offers'!$A$7:$A$305,0))</x:f>
        <x:v>0.005</x:v>
      </x:c>
      <x:c r="N245" s="25" t="n">
        <x:f>INDEX('Dated offers'!$K$7:$K$305,MATCH($Z245,'Dated offers'!$A$7:$A$305,0))</x:f>
        <x:v>0</x:v>
      </x:c>
      <x:c r="O245" s="25" t="n">
        <x:f>F245*M245</x:f>
        <x:v>0.125</x:v>
      </x:c>
      <x:c r="P245" s="25" t="n">
        <x:f>G245*M245</x:f>
        <x:v>0.13</x:v>
      </x:c>
      <x:c r="Q245" s="25" t="n">
        <x:f>K245*M245+N245</x:f>
        <x:v>0.5</x:v>
      </x:c>
      <x:c r="R245" s="18" t="n">
        <x:f>K245-G245</x:f>
        <x:v>74</x:v>
      </x:c>
      <x:c r="S245" s="18" t="n">
        <x:f>INDEX('Dated offers'!$H$7:$H$305,MATCH($Z245,'Dated offers'!$A$7:$A$305,0))</x:f>
        <x:v>311100</x:v>
      </x:c>
      <x:c r="T245" s="2" t="str">
        <x:f>IF(K245&lt;G245,"Order below requirement",IF(K245&lt;L245,"Below price tier",IF(ISNUMBER(S245),IF(K245&gt;S245,"Quantity exceeds snapshot","Within quantity snapshot"),"Stock not stated")))</x:f>
        <x:v>Within quantity snapshot</x:v>
      </x:c>
      <x:c r="U245" s="2" t="str">
        <x:f>INDEX('Dated offers'!$C$7:$C$305,MATCH($Z245,'Dated offers'!$A$7:$A$305,0))</x:f>
        <x:v>LCSC</x:v>
      </x:c>
      <x:c r="V245" s="2" t="str">
        <x:f>INDEX('Dated offers'!$D$7:$D$305,MATCH($Z245,'Dated offers'!$A$7:$A$305,0))</x:f>
        <x:v>C137788</x:v>
      </x:c>
      <x:c r="W245" s="24" t="n">
        <x:f>INDEX('Dated offers'!$E$7:$E$305,MATCH($Z245,'Dated offers'!$A$7:$A$305,0))</x:f>
        <x:v>46307.447455416666</x:v>
      </x:c>
      <x:c r="X245" s="2" t="b">
        <x:f>INDEX('Dated offers'!$N$7:$N$305,MATCH($Z245,'Dated offers'!$A$7:$A$305,0))</x:f>
        <x:v>0</x:v>
      </x:c>
      <x:c r="Y245" s="2" t="str">
        <x:f>INDEX('Dated offers'!$O$7:$O$305,MATCH($Z245,'Dated offers'!$A$7:$A$305,0))</x:f>
        <x:v>Unreserved inventory snapshot</x:v>
      </x:c>
      <x:c r="Z245" s="17" t="str">
        <x:v>OF0083</x:v>
      </x:c>
      <x:c r="AA245" s="2"/>
      <x:c r="AB245" s="2" t="str">
        <x:f>INDEX('Dated offers'!$Q$7:$Q$305,MATCH($Z245,'Dated offers'!$A$7:$A$305,0))</x:f>
        <x:v>https://www.lcsc.com/product-detail/C137788.html</x:v>
      </x:c>
    </x:row>
    <x:row r="246" ht="24" customHeight="1">
      <x:c r="A246" s="2" t="str">
        <x:v>25 boards / 2% planning</x:v>
      </x:c>
      <x:c r="B246" s="17" t="str">
        <x:v>RC0603FR-0718K2L</x:v>
      </x:c>
      <x:c r="C246" s="18" t="n">
        <x:v>25</x:v>
      </x:c>
      <x:c r="D246" s="27" t="n">
        <x:v>0.02</x:v>
      </x:c>
      <x:c r="E246" s="18" t="n">
        <x:f>INDEX('Assembly BOM'!$C$7:$C$162,MATCH($B246,'Assembly BOM'!$A$7:$A$162,0))</x:f>
        <x:v>1</x:v>
      </x:c>
      <x:c r="F246" s="18" t="n">
        <x:f>C246*E246</x:f>
        <x:v>25</x:v>
      </x:c>
      <x:c r="G246" s="18" t="n">
        <x:f>ROUNDUP(F246*(1+D246),0)</x:f>
        <x:v>26</x:v>
      </x:c>
      <x:c r="H246" s="18" t="n">
        <x:f>INDEX('Dated offers'!$F$7:$F$305,MATCH($Z246,'Dated offers'!$A$7:$A$305,0))</x:f>
        <x:v>1</x:v>
      </x:c>
      <x:c r="I246" s="18" t="n">
        <x:f>INDEX('Dated offers'!$G$7:$G$305,MATCH($Z246,'Dated offers'!$A$7:$A$305,0))</x:f>
        <x:v>1</x:v>
      </x:c>
      <x:c r="J246" s="18" t="n">
        <x:f>CEILING(MAX(G246,H246),I246)</x:f>
        <x:v>26</x:v>
      </x:c>
      <x:c r="K246" s="18" t="n">
        <x:v>26</x:v>
      </x:c>
      <x:c r="L246" s="18" t="n">
        <x:f>INDEX('Dated offers'!$I$7:$I$305,MATCH($Z246,'Dated offers'!$A$7:$A$305,0))</x:f>
        <x:v>25</x:v>
      </x:c>
      <x:c r="M246" s="25" t="n">
        <x:f>INDEX('Dated offers'!$J$7:$J$305,MATCH($Z246,'Dated offers'!$A$7:$A$305,0))</x:f>
        <x:v>0.0188</x:v>
      </x:c>
      <x:c r="N246" s="25" t="n">
        <x:f>INDEX('Dated offers'!$K$7:$K$305,MATCH($Z246,'Dated offers'!$A$7:$A$305,0))</x:f>
        <x:v>0</x:v>
      </x:c>
      <x:c r="O246" s="25" t="n">
        <x:f>F246*M246</x:f>
        <x:v>0.47000000000000003</x:v>
      </x:c>
      <x:c r="P246" s="25" t="n">
        <x:f>G246*M246</x:f>
        <x:v>0.4888</x:v>
      </x:c>
      <x:c r="Q246" s="25" t="n">
        <x:f>K246*M246+N246</x:f>
        <x:v>0.4888</x:v>
      </x:c>
      <x:c r="R246" s="18" t="n">
        <x:f>K246-G246</x:f>
        <x:v>0</x:v>
      </x:c>
      <x:c r="S246" s="18" t="n">
        <x:f>INDEX('Dated offers'!$H$7:$H$305,MATCH($Z246,'Dated offers'!$A$7:$A$305,0))</x:f>
        <x:v>88477</x:v>
      </x:c>
      <x:c r="T246" s="2" t="str">
        <x:f>IF(K246&lt;G246,"Order below requirement",IF(K246&lt;L246,"Below price tier",IF(ISNUMBER(S246),IF(K246&gt;S246,"Quantity exceeds snapshot","Within quantity snapshot"),"Stock not stated")))</x:f>
        <x:v>Within quantity snapshot</x:v>
      </x:c>
      <x:c r="U246" s="2" t="str">
        <x:f>INDEX('Dated offers'!$C$7:$C$305,MATCH($Z246,'Dated offers'!$A$7:$A$305,0))</x:f>
        <x:v>DigiKey</x:v>
      </x:c>
      <x:c r="V246" s="2" t="str">
        <x:f>INDEX('Dated offers'!$D$7:$D$305,MATCH($Z246,'Dated offers'!$A$7:$A$305,0))</x:f>
        <x:v>Not stated</x:v>
      </x:c>
      <x:c r="W246" s="24" t="n">
        <x:f>INDEX('Dated offers'!$E$7:$E$305,MATCH($Z246,'Dated offers'!$A$7:$A$305,0))</x:f>
        <x:v>46307.47807252315</x:v>
      </x:c>
      <x:c r="X246" s="2" t="b">
        <x:f>INDEX('Dated offers'!$N$7:$N$305,MATCH($Z246,'Dated offers'!$A$7:$A$305,0))</x:f>
        <x:v>0</x:v>
      </x:c>
      <x:c r="Y246" s="2" t="str">
        <x:f>INDEX('Dated offers'!$O$7:$O$305,MATCH($Z246,'Dated offers'!$A$7:$A$305,0))</x:f>
        <x:v>Unreserved inventory snapshot</x:v>
      </x:c>
      <x:c r="Z246" s="17" t="str">
        <x:v>OF0084</x:v>
      </x:c>
      <x:c r="AA246" s="2"/>
      <x:c r="AB246" s="2" t="str">
        <x:f>INDEX('Dated offers'!$Q$7:$Q$305,MATCH($Z246,'Dated offers'!$A$7:$A$305,0))</x:f>
        <x:v>https://www.digikey.com/en/products/detail/yageo/RC0603FR-0718K2L/729938</x:v>
      </x:c>
    </x:row>
    <x:row r="247" ht="24" customHeight="1">
      <x:c r="A247" s="2" t="str">
        <x:v>25 boards / 2% planning</x:v>
      </x:c>
      <x:c r="B247" s="17" t="str">
        <x:v>RC0603FR-071KL</x:v>
      </x:c>
      <x:c r="C247" s="18" t="n">
        <x:v>25</x:v>
      </x:c>
      <x:c r="D247" s="27" t="n">
        <x:v>0.02</x:v>
      </x:c>
      <x:c r="E247" s="18" t="n">
        <x:f>INDEX('Assembly BOM'!$C$7:$C$162,MATCH($B247,'Assembly BOM'!$A$7:$A$162,0))</x:f>
        <x:v>1</x:v>
      </x:c>
      <x:c r="F247" s="18" t="n">
        <x:f>C247*E247</x:f>
        <x:v>25</x:v>
      </x:c>
      <x:c r="G247" s="18" t="n">
        <x:f>ROUNDUP(F247*(1+D247),0)</x:f>
        <x:v>26</x:v>
      </x:c>
      <x:c r="H247" s="18" t="n">
        <x:f>INDEX('Dated offers'!$F$7:$F$305,MATCH($Z247,'Dated offers'!$A$7:$A$305,0))</x:f>
        <x:v>100</x:v>
      </x:c>
      <x:c r="I247" s="18" t="n">
        <x:f>INDEX('Dated offers'!$G$7:$G$305,MATCH($Z247,'Dated offers'!$A$7:$A$305,0))</x:f>
        <x:v>100</x:v>
      </x:c>
      <x:c r="J247" s="18" t="n">
        <x:f>CEILING(MAX(G247,H247),I247)</x:f>
        <x:v>100</x:v>
      </x:c>
      <x:c r="K247" s="18" t="n">
        <x:v>100</x:v>
      </x:c>
      <x:c r="L247" s="18" t="n">
        <x:f>INDEX('Dated offers'!$I$7:$I$305,MATCH($Z247,'Dated offers'!$A$7:$A$305,0))</x:f>
        <x:v>100</x:v>
      </x:c>
      <x:c r="M247" s="25" t="n">
        <x:f>INDEX('Dated offers'!$J$7:$J$305,MATCH($Z247,'Dated offers'!$A$7:$A$305,0))</x:f>
        <x:v>0.0037</x:v>
      </x:c>
      <x:c r="N247" s="25" t="n">
        <x:f>INDEX('Dated offers'!$K$7:$K$305,MATCH($Z247,'Dated offers'!$A$7:$A$305,0))</x:f>
        <x:v>0</x:v>
      </x:c>
      <x:c r="O247" s="25" t="n">
        <x:f>F247*M247</x:f>
        <x:v>0.0925</x:v>
      </x:c>
      <x:c r="P247" s="25" t="n">
        <x:f>G247*M247</x:f>
        <x:v>0.09620000000000001</x:v>
      </x:c>
      <x:c r="Q247" s="25" t="n">
        <x:f>K247*M247+N247</x:f>
        <x:v>0.37</x:v>
      </x:c>
      <x:c r="R247" s="18" t="n">
        <x:f>K247-G247</x:f>
        <x:v>74</x:v>
      </x:c>
      <x:c r="S247" s="18" t="n">
        <x:f>INDEX('Dated offers'!$H$7:$H$305,MATCH($Z247,'Dated offers'!$A$7:$A$305,0))</x:f>
        <x:v>9834600</x:v>
      </x:c>
      <x:c r="T247" s="2" t="str">
        <x:f>IF(K247&lt;G247,"Order below requirement",IF(K247&lt;L247,"Below price tier",IF(ISNUMBER(S247),IF(K247&gt;S247,"Quantity exceeds snapshot","Within quantity snapshot"),"Stock not stated")))</x:f>
        <x:v>Within quantity snapshot</x:v>
      </x:c>
      <x:c r="U247" s="2" t="str">
        <x:f>INDEX('Dated offers'!$C$7:$C$305,MATCH($Z247,'Dated offers'!$A$7:$A$305,0))</x:f>
        <x:v>LCSC</x:v>
      </x:c>
      <x:c r="V247" s="2" t="str">
        <x:f>INDEX('Dated offers'!$D$7:$D$305,MATCH($Z247,'Dated offers'!$A$7:$A$305,0))</x:f>
        <x:v>C22548</x:v>
      </x:c>
      <x:c r="W247" s="24" t="n">
        <x:f>INDEX('Dated offers'!$E$7:$E$305,MATCH($Z247,'Dated offers'!$A$7:$A$305,0))</x:f>
        <x:v>46307.44745611111</x:v>
      </x:c>
      <x:c r="X247" s="2" t="b">
        <x:f>INDEX('Dated offers'!$N$7:$N$305,MATCH($Z247,'Dated offers'!$A$7:$A$305,0))</x:f>
        <x:v>0</x:v>
      </x:c>
      <x:c r="Y247" s="2" t="str">
        <x:f>INDEX('Dated offers'!$O$7:$O$305,MATCH($Z247,'Dated offers'!$A$7:$A$305,0))</x:f>
        <x:v>Unreserved inventory snapshot</x:v>
      </x:c>
      <x:c r="Z247" s="17" t="str">
        <x:v>OF0085</x:v>
      </x:c>
      <x:c r="AA247" s="2"/>
      <x:c r="AB247" s="2" t="str">
        <x:f>INDEX('Dated offers'!$Q$7:$Q$305,MATCH($Z247,'Dated offers'!$A$7:$A$305,0))</x:f>
        <x:v>https://www.lcsc.com/product-detail/C22548.html</x:v>
      </x:c>
    </x:row>
    <x:row r="248" ht="24" customHeight="1">
      <x:c r="A248" s="2" t="str">
        <x:v>25 boards / 2% planning</x:v>
      </x:c>
      <x:c r="B248" s="17" t="str">
        <x:v>RC1206FR-071ML</x:v>
      </x:c>
      <x:c r="C248" s="18" t="n">
        <x:v>25</x:v>
      </x:c>
      <x:c r="D248" s="27" t="n">
        <x:v>0.02</x:v>
      </x:c>
      <x:c r="E248" s="18" t="n">
        <x:f>INDEX('Assembly BOM'!$C$7:$C$162,MATCH($B248,'Assembly BOM'!$A$7:$A$162,0))</x:f>
        <x:v>1</x:v>
      </x:c>
      <x:c r="F248" s="18" t="n">
        <x:f>C248*E248</x:f>
        <x:v>25</x:v>
      </x:c>
      <x:c r="G248" s="18" t="n">
        <x:f>ROUNDUP(F248*(1+D248),0)</x:f>
        <x:v>26</x:v>
      </x:c>
      <x:c r="H248" s="18" t="n">
        <x:f>INDEX('Dated offers'!$F$7:$F$305,MATCH($Z248,'Dated offers'!$A$7:$A$305,0))</x:f>
        <x:v>50</x:v>
      </x:c>
      <x:c r="I248" s="18" t="n">
        <x:f>INDEX('Dated offers'!$G$7:$G$305,MATCH($Z248,'Dated offers'!$A$7:$A$305,0))</x:f>
        <x:v>50</x:v>
      </x:c>
      <x:c r="J248" s="18" t="n">
        <x:f>CEILING(MAX(G248,H248),I248)</x:f>
        <x:v>50</x:v>
      </x:c>
      <x:c r="K248" s="18" t="n">
        <x:v>50</x:v>
      </x:c>
      <x:c r="L248" s="18" t="n">
        <x:f>INDEX('Dated offers'!$I$7:$I$305,MATCH($Z248,'Dated offers'!$A$7:$A$305,0))</x:f>
        <x:v>50</x:v>
      </x:c>
      <x:c r="M248" s="25" t="n">
        <x:f>INDEX('Dated offers'!$J$7:$J$305,MATCH($Z248,'Dated offers'!$A$7:$A$305,0))</x:f>
        <x:v>0.0122</x:v>
      </x:c>
      <x:c r="N248" s="25" t="n">
        <x:f>INDEX('Dated offers'!$K$7:$K$305,MATCH($Z248,'Dated offers'!$A$7:$A$305,0))</x:f>
        <x:v>0</x:v>
      </x:c>
      <x:c r="O248" s="25" t="n">
        <x:f>F248*M248</x:f>
        <x:v>0.305</x:v>
      </x:c>
      <x:c r="P248" s="25" t="n">
        <x:f>G248*M248</x:f>
        <x:v>0.31720000000000004</x:v>
      </x:c>
      <x:c r="Q248" s="25" t="n">
        <x:f>K248*M248+N248</x:f>
        <x:v>0.61</x:v>
      </x:c>
      <x:c r="R248" s="18" t="n">
        <x:f>K248-G248</x:f>
        <x:v>24</x:v>
      </x:c>
      <x:c r="S248" s="18" t="n">
        <x:f>INDEX('Dated offers'!$H$7:$H$305,MATCH($Z248,'Dated offers'!$A$7:$A$305,0))</x:f>
        <x:v>645150</x:v>
      </x:c>
      <x:c r="T248" s="2" t="str">
        <x:f>IF(K248&lt;G248,"Order below requirement",IF(K248&lt;L248,"Below price tier",IF(ISNUMBER(S248),IF(K248&gt;S248,"Quantity exceeds snapshot","Within quantity snapshot"),"Stock not stated")))</x:f>
        <x:v>Within quantity snapshot</x:v>
      </x:c>
      <x:c r="U248" s="2" t="str">
        <x:f>INDEX('Dated offers'!$C$7:$C$305,MATCH($Z248,'Dated offers'!$A$7:$A$305,0))</x:f>
        <x:v>LCSC</x:v>
      </x:c>
      <x:c r="V248" s="2" t="str">
        <x:f>INDEX('Dated offers'!$D$7:$D$305,MATCH($Z248,'Dated offers'!$A$7:$A$305,0))</x:f>
        <x:v>C108083</x:v>
      </x:c>
      <x:c r="W248" s="24" t="n">
        <x:f>INDEX('Dated offers'!$E$7:$E$305,MATCH($Z248,'Dated offers'!$A$7:$A$305,0))</x:f>
        <x:v>46307.44745853009</x:v>
      </x:c>
      <x:c r="X248" s="2" t="b">
        <x:f>INDEX('Dated offers'!$N$7:$N$305,MATCH($Z248,'Dated offers'!$A$7:$A$305,0))</x:f>
        <x:v>0</x:v>
      </x:c>
      <x:c r="Y248" s="2" t="str">
        <x:f>INDEX('Dated offers'!$O$7:$O$305,MATCH($Z248,'Dated offers'!$A$7:$A$305,0))</x:f>
        <x:v>Unreserved inventory snapshot</x:v>
      </x:c>
      <x:c r="Z248" s="17" t="str">
        <x:v>OF0086</x:v>
      </x:c>
      <x:c r="AA248" s="2"/>
      <x:c r="AB248" s="2" t="str">
        <x:f>INDEX('Dated offers'!$Q$7:$Q$305,MATCH($Z248,'Dated offers'!$A$7:$A$305,0))</x:f>
        <x:v>https://www.lcsc.com/product-detail/C108083.html</x:v>
      </x:c>
    </x:row>
    <x:row r="249" ht="24" customHeight="1">
      <x:c r="A249" s="2" t="str">
        <x:v>25 boards / 2% planning</x:v>
      </x:c>
      <x:c r="B249" s="17" t="str">
        <x:v>RG1608N-222-W-T1</x:v>
      </x:c>
      <x:c r="C249" s="18" t="n">
        <x:v>25</x:v>
      </x:c>
      <x:c r="D249" s="27" t="n">
        <x:v>0.02</x:v>
      </x:c>
      <x:c r="E249" s="18" t="n">
        <x:f>INDEX('Assembly BOM'!$C$7:$C$162,MATCH($B249,'Assembly BOM'!$A$7:$A$162,0))</x:f>
        <x:v>2</x:v>
      </x:c>
      <x:c r="F249" s="18" t="n">
        <x:f>C249*E249</x:f>
        <x:v>50</x:v>
      </x:c>
      <x:c r="G249" s="18" t="n">
        <x:f>ROUNDUP(F249*(1+D249),0)</x:f>
        <x:v>51</x:v>
      </x:c>
      <x:c r="H249" s="18" t="n">
        <x:f>INDEX('Dated offers'!$F$7:$F$305,MATCH($Z249,'Dated offers'!$A$7:$A$305,0))</x:f>
        <x:v>1</x:v>
      </x:c>
      <x:c r="I249" s="18" t="n">
        <x:f>INDEX('Dated offers'!$G$7:$G$305,MATCH($Z249,'Dated offers'!$A$7:$A$305,0))</x:f>
        <x:v>1</x:v>
      </x:c>
      <x:c r="J249" s="18" t="n">
        <x:f>CEILING(MAX(G249,H249),I249)</x:f>
        <x:v>51</x:v>
      </x:c>
      <x:c r="K249" s="18" t="n">
        <x:v>51</x:v>
      </x:c>
      <x:c r="L249" s="18" t="n">
        <x:f>INDEX('Dated offers'!$I$7:$I$305,MATCH($Z249,'Dated offers'!$A$7:$A$305,0))</x:f>
        <x:v>50</x:v>
      </x:c>
      <x:c r="M249" s="25" t="n">
        <x:f>INDEX('Dated offers'!$J$7:$J$305,MATCH($Z249,'Dated offers'!$A$7:$A$305,0))</x:f>
        <x:v>0.463</x:v>
      </x:c>
      <x:c r="N249" s="25" t="n">
        <x:f>INDEX('Dated offers'!$K$7:$K$305,MATCH($Z249,'Dated offers'!$A$7:$A$305,0))</x:f>
        <x:v>0</x:v>
      </x:c>
      <x:c r="O249" s="25" t="n">
        <x:f>F249*M249</x:f>
        <x:v>23.150000000000002</x:v>
      </x:c>
      <x:c r="P249" s="25" t="n">
        <x:f>G249*M249</x:f>
        <x:v>23.613</x:v>
      </x:c>
      <x:c r="Q249" s="25" t="n">
        <x:f>K249*M249+N249</x:f>
        <x:v>23.613</x:v>
      </x:c>
      <x:c r="R249" s="18" t="n">
        <x:f>K249-G249</x:f>
        <x:v>0</x:v>
      </x:c>
      <x:c r="S249" s="18" t="n">
        <x:f>INDEX('Dated offers'!$H$7:$H$305,MATCH($Z249,'Dated offers'!$A$7:$A$305,0))</x:f>
        <x:v>87579</x:v>
      </x:c>
      <x:c r="T249" s="2" t="str">
        <x:f>IF(K249&lt;G249,"Order below requirement",IF(K249&lt;L249,"Below price tier",IF(ISNUMBER(S249),IF(K249&gt;S249,"Quantity exceeds snapshot","Within quantity snapshot"),"Stock not stated")))</x:f>
        <x:v>Within quantity snapshot</x:v>
      </x:c>
      <x:c r="U249" s="2" t="str">
        <x:f>INDEX('Dated offers'!$C$7:$C$305,MATCH($Z249,'Dated offers'!$A$7:$A$305,0))</x:f>
        <x:v>DigiKey</x:v>
      </x:c>
      <x:c r="V249" s="2" t="str">
        <x:f>INDEX('Dated offers'!$D$7:$D$305,MATCH($Z249,'Dated offers'!$A$7:$A$305,0))</x:f>
        <x:v>Not stated</x:v>
      </x:c>
      <x:c r="W249" s="24" t="n">
        <x:f>INDEX('Dated offers'!$E$7:$E$305,MATCH($Z249,'Dated offers'!$A$7:$A$305,0))</x:f>
        <x:v>46307.47807252315</x:v>
      </x:c>
      <x:c r="X249" s="2" t="b">
        <x:f>INDEX('Dated offers'!$N$7:$N$305,MATCH($Z249,'Dated offers'!$A$7:$A$305,0))</x:f>
        <x:v>0</x:v>
      </x:c>
      <x:c r="Y249" s="2" t="str">
        <x:f>INDEX('Dated offers'!$O$7:$O$305,MATCH($Z249,'Dated offers'!$A$7:$A$305,0))</x:f>
        <x:v>Unreserved inventory snapshot</x:v>
      </x:c>
      <x:c r="Z249" s="17" t="str">
        <x:v>OF0087</x:v>
      </x:c>
      <x:c r="AA249" s="2"/>
      <x:c r="AB249" s="2" t="str">
        <x:f>INDEX('Dated offers'!$Q$7:$Q$305,MATCH($Z249,'Dated offers'!$A$7:$A$305,0))</x:f>
        <x:v>https://www.digikey.com/en/products/detail/susumu/RG1608N-222-W-T1/600605</x:v>
      </x:c>
    </x:row>
    <x:row r="250" ht="24" customHeight="1">
      <x:c r="A250" s="2" t="str">
        <x:v>25 boards / 2% planning</x:v>
      </x:c>
      <x:c r="B250" s="17" t="str">
        <x:v>RG1608N-392-W-T1</x:v>
      </x:c>
      <x:c r="C250" s="18" t="n">
        <x:v>25</x:v>
      </x:c>
      <x:c r="D250" s="27" t="n">
        <x:v>0.02</x:v>
      </x:c>
      <x:c r="E250" s="18" t="n">
        <x:f>INDEX('Assembly BOM'!$C$7:$C$162,MATCH($B250,'Assembly BOM'!$A$7:$A$162,0))</x:f>
        <x:v>1</x:v>
      </x:c>
      <x:c r="F250" s="18" t="n">
        <x:f>C250*E250</x:f>
        <x:v>25</x:v>
      </x:c>
      <x:c r="G250" s="18" t="n">
        <x:f>ROUNDUP(F250*(1+D250),0)</x:f>
        <x:v>26</x:v>
      </x:c>
      <x:c r="H250" s="18" t="n">
        <x:f>INDEX('Dated offers'!$F$7:$F$305,MATCH($Z250,'Dated offers'!$A$7:$A$305,0))</x:f>
        <x:v>1</x:v>
      </x:c>
      <x:c r="I250" s="18" t="n">
        <x:f>INDEX('Dated offers'!$G$7:$G$305,MATCH($Z250,'Dated offers'!$A$7:$A$305,0))</x:f>
        <x:v>1</x:v>
      </x:c>
      <x:c r="J250" s="18" t="n">
        <x:f>CEILING(MAX(G250,H250),I250)</x:f>
        <x:v>26</x:v>
      </x:c>
      <x:c r="K250" s="18" t="n">
        <x:v>26</x:v>
      </x:c>
      <x:c r="L250" s="18" t="n">
        <x:f>INDEX('Dated offers'!$I$7:$I$305,MATCH($Z250,'Dated offers'!$A$7:$A$305,0))</x:f>
        <x:v>10</x:v>
      </x:c>
      <x:c r="M250" s="25" t="n">
        <x:f>INDEX('Dated offers'!$J$7:$J$305,MATCH($Z250,'Dated offers'!$A$7:$A$305,0))</x:f>
        <x:v>0.529</x:v>
      </x:c>
      <x:c r="N250" s="25" t="n">
        <x:f>INDEX('Dated offers'!$K$7:$K$305,MATCH($Z250,'Dated offers'!$A$7:$A$305,0))</x:f>
        <x:v>0</x:v>
      </x:c>
      <x:c r="O250" s="25" t="n">
        <x:f>F250*M250</x:f>
        <x:v>13.225000000000001</x:v>
      </x:c>
      <x:c r="P250" s="25" t="n">
        <x:f>G250*M250</x:f>
        <x:v>13.754000000000001</x:v>
      </x:c>
      <x:c r="Q250" s="25" t="n">
        <x:f>K250*M250+N250</x:f>
        <x:v>13.754000000000001</x:v>
      </x:c>
      <x:c r="R250" s="18" t="n">
        <x:f>K250-G250</x:f>
        <x:v>0</x:v>
      </x:c>
      <x:c r="S250" s="18" t="n">
        <x:f>INDEX('Dated offers'!$H$7:$H$305,MATCH($Z250,'Dated offers'!$A$7:$A$305,0))</x:f>
        <x:v>9903</x:v>
      </x:c>
      <x:c r="T250" s="2" t="str">
        <x:f>IF(K250&lt;G250,"Order below requirement",IF(K250&lt;L250,"Below price tier",IF(ISNUMBER(S250),IF(K250&gt;S250,"Quantity exceeds snapshot","Within quantity snapshot"),"Stock not stated")))</x:f>
        <x:v>Within quantity snapshot</x:v>
      </x:c>
      <x:c r="U250" s="2" t="str">
        <x:f>INDEX('Dated offers'!$C$7:$C$305,MATCH($Z250,'Dated offers'!$A$7:$A$305,0))</x:f>
        <x:v>DigiKey</x:v>
      </x:c>
      <x:c r="V250" s="2" t="str">
        <x:f>INDEX('Dated offers'!$D$7:$D$305,MATCH($Z250,'Dated offers'!$A$7:$A$305,0))</x:f>
        <x:v>Not stated</x:v>
      </x:c>
      <x:c r="W250" s="24" t="n">
        <x:f>INDEX('Dated offers'!$E$7:$E$305,MATCH($Z250,'Dated offers'!$A$7:$A$305,0))</x:f>
        <x:v>46307.47807252315</x:v>
      </x:c>
      <x:c r="X250" s="2" t="b">
        <x:f>INDEX('Dated offers'!$N$7:$N$305,MATCH($Z250,'Dated offers'!$A$7:$A$305,0))</x:f>
        <x:v>0</x:v>
      </x:c>
      <x:c r="Y250" s="2" t="str">
        <x:f>INDEX('Dated offers'!$O$7:$O$305,MATCH($Z250,'Dated offers'!$A$7:$A$305,0))</x:f>
        <x:v>Unreserved inventory snapshot</x:v>
      </x:c>
      <x:c r="Z250" s="17" t="str">
        <x:v>OF0088</x:v>
      </x:c>
      <x:c r="AA250" s="2"/>
      <x:c r="AB250" s="2" t="str">
        <x:f>INDEX('Dated offers'!$Q$7:$Q$305,MATCH($Z250,'Dated offers'!$A$7:$A$305,0))</x:f>
        <x:v>https://www.digikey.com/en/products/detail/susumu/RG1608N-392-W-T1/600611</x:v>
      </x:c>
    </x:row>
    <x:row r="251" ht="24" customHeight="1">
      <x:c r="A251" s="2" t="str">
        <x:v>25 boards / 2% planning</x:v>
      </x:c>
      <x:c r="B251" s="17" t="str">
        <x:v>RG1608N-682-W-T1</x:v>
      </x:c>
      <x:c r="C251" s="18" t="n">
        <x:v>25</x:v>
      </x:c>
      <x:c r="D251" s="27" t="n">
        <x:v>0.02</x:v>
      </x:c>
      <x:c r="E251" s="18" t="n">
        <x:f>INDEX('Assembly BOM'!$C$7:$C$162,MATCH($B251,'Assembly BOM'!$A$7:$A$162,0))</x:f>
        <x:v>1</x:v>
      </x:c>
      <x:c r="F251" s="18" t="n">
        <x:f>C251*E251</x:f>
        <x:v>25</x:v>
      </x:c>
      <x:c r="G251" s="18" t="n">
        <x:f>ROUNDUP(F251*(1+D251),0)</x:f>
        <x:v>26</x:v>
      </x:c>
      <x:c r="H251" s="18" t="n">
        <x:f>INDEX('Dated offers'!$F$7:$F$305,MATCH($Z251,'Dated offers'!$A$7:$A$305,0))</x:f>
        <x:v>1</x:v>
      </x:c>
      <x:c r="I251" s="18" t="n">
        <x:f>INDEX('Dated offers'!$G$7:$G$305,MATCH($Z251,'Dated offers'!$A$7:$A$305,0))</x:f>
        <x:v>1</x:v>
      </x:c>
      <x:c r="J251" s="18" t="n">
        <x:f>CEILING(MAX(G251,H251),I251)</x:f>
        <x:v>26</x:v>
      </x:c>
      <x:c r="K251" s="18" t="n">
        <x:v>26</x:v>
      </x:c>
      <x:c r="L251" s="18" t="n">
        <x:f>INDEX('Dated offers'!$I$7:$I$305,MATCH($Z251,'Dated offers'!$A$7:$A$305,0))</x:f>
        <x:v>10</x:v>
      </x:c>
      <x:c r="M251" s="25" t="n">
        <x:f>INDEX('Dated offers'!$J$7:$J$305,MATCH($Z251,'Dated offers'!$A$7:$A$305,0))</x:f>
        <x:v>0.499</x:v>
      </x:c>
      <x:c r="N251" s="25" t="n">
        <x:f>INDEX('Dated offers'!$K$7:$K$305,MATCH($Z251,'Dated offers'!$A$7:$A$305,0))</x:f>
        <x:v>0</x:v>
      </x:c>
      <x:c r="O251" s="25" t="n">
        <x:f>F251*M251</x:f>
        <x:v>12.475</x:v>
      </x:c>
      <x:c r="P251" s="25" t="n">
        <x:f>G251*M251</x:f>
        <x:v>12.974</x:v>
      </x:c>
      <x:c r="Q251" s="25" t="n">
        <x:f>K251*M251+N251</x:f>
        <x:v>12.974</x:v>
      </x:c>
      <x:c r="R251" s="18" t="n">
        <x:f>K251-G251</x:f>
        <x:v>0</x:v>
      </x:c>
      <x:c r="S251" s="18" t="n">
        <x:f>INDEX('Dated offers'!$H$7:$H$305,MATCH($Z251,'Dated offers'!$A$7:$A$305,0))</x:f>
        <x:v>3134</x:v>
      </x:c>
      <x:c r="T251" s="2" t="str">
        <x:f>IF(K251&lt;G251,"Order below requirement",IF(K251&lt;L251,"Below price tier",IF(ISNUMBER(S251),IF(K251&gt;S251,"Quantity exceeds snapshot","Within quantity snapshot"),"Stock not stated")))</x:f>
        <x:v>Within quantity snapshot</x:v>
      </x:c>
      <x:c r="U251" s="2" t="str">
        <x:f>INDEX('Dated offers'!$C$7:$C$305,MATCH($Z251,'Dated offers'!$A$7:$A$305,0))</x:f>
        <x:v>DigiKey</x:v>
      </x:c>
      <x:c r="V251" s="2" t="str">
        <x:f>INDEX('Dated offers'!$D$7:$D$305,MATCH($Z251,'Dated offers'!$A$7:$A$305,0))</x:f>
        <x:v>Not stated</x:v>
      </x:c>
      <x:c r="W251" s="24" t="n">
        <x:f>INDEX('Dated offers'!$E$7:$E$305,MATCH($Z251,'Dated offers'!$A$7:$A$305,0))</x:f>
        <x:v>46307.478072592596</x:v>
      </x:c>
      <x:c r="X251" s="2" t="b">
        <x:f>INDEX('Dated offers'!$N$7:$N$305,MATCH($Z251,'Dated offers'!$A$7:$A$305,0))</x:f>
        <x:v>0</x:v>
      </x:c>
      <x:c r="Y251" s="2" t="str">
        <x:f>INDEX('Dated offers'!$O$7:$O$305,MATCH($Z251,'Dated offers'!$A$7:$A$305,0))</x:f>
        <x:v>Unreserved inventory snapshot</x:v>
      </x:c>
      <x:c r="Z251" s="17" t="str">
        <x:v>OF0089</x:v>
      </x:c>
      <x:c r="AA251" s="2"/>
      <x:c r="AB251" s="2" t="str">
        <x:f>INDEX('Dated offers'!$Q$7:$Q$305,MATCH($Z251,'Dated offers'!$A$7:$A$305,0))</x:f>
        <x:v>https://www.digikey.com/en/products/detail/susumu/RG1608N-682-W-T1/600805</x:v>
      </x:c>
    </x:row>
    <x:row r="252" ht="24" customHeight="1">
      <x:c r="A252" s="2" t="str">
        <x:v>25 boards / 2% planning</x:v>
      </x:c>
      <x:c r="B252" s="17" t="str">
        <x:v>RHA0J471MCN1GS</x:v>
      </x:c>
      <x:c r="C252" s="18" t="n">
        <x:v>25</x:v>
      </x:c>
      <x:c r="D252" s="27" t="n">
        <x:v>0.02</x:v>
      </x:c>
      <x:c r="E252" s="18" t="n">
        <x:f>INDEX('Assembly BOM'!$C$7:$C$162,MATCH($B252,'Assembly BOM'!$A$7:$A$162,0))</x:f>
        <x:v>1</x:v>
      </x:c>
      <x:c r="F252" s="18" t="n">
        <x:f>C252*E252</x:f>
        <x:v>25</x:v>
      </x:c>
      <x:c r="G252" s="18" t="n">
        <x:f>ROUNDUP(F252*(1+D252),0)</x:f>
        <x:v>26</x:v>
      </x:c>
      <x:c r="H252" s="18" t="n">
        <x:f>INDEX('Dated offers'!$F$7:$F$305,MATCH($Z252,'Dated offers'!$A$7:$A$305,0))</x:f>
        <x:v>1</x:v>
      </x:c>
      <x:c r="I252" s="18" t="n">
        <x:f>INDEX('Dated offers'!$G$7:$G$305,MATCH($Z252,'Dated offers'!$A$7:$A$305,0))</x:f>
        <x:v>1</x:v>
      </x:c>
      <x:c r="J252" s="18" t="n">
        <x:f>CEILING(MAX(G252,H252),I252)</x:f>
        <x:v>26</x:v>
      </x:c>
      <x:c r="K252" s="18" t="n">
        <x:v>26</x:v>
      </x:c>
      <x:c r="L252" s="18" t="n">
        <x:f>INDEX('Dated offers'!$I$7:$I$305,MATCH($Z252,'Dated offers'!$A$7:$A$305,0))</x:f>
        <x:v>10</x:v>
      </x:c>
      <x:c r="M252" s="25" t="n">
        <x:f>INDEX('Dated offers'!$J$7:$J$305,MATCH($Z252,'Dated offers'!$A$7:$A$305,0))</x:f>
        <x:v>0.882</x:v>
      </x:c>
      <x:c r="N252" s="25" t="n">
        <x:f>INDEX('Dated offers'!$K$7:$K$305,MATCH($Z252,'Dated offers'!$A$7:$A$305,0))</x:f>
        <x:v>0</x:v>
      </x:c>
      <x:c r="O252" s="25" t="n">
        <x:f>F252*M252</x:f>
        <x:v>22.05</x:v>
      </x:c>
      <x:c r="P252" s="25" t="n">
        <x:f>G252*M252</x:f>
        <x:v>22.932</x:v>
      </x:c>
      <x:c r="Q252" s="25" t="n">
        <x:f>K252*M252+N252</x:f>
        <x:v>22.932</x:v>
      </x:c>
      <x:c r="R252" s="18" t="n">
        <x:f>K252-G252</x:f>
        <x:v>0</x:v>
      </x:c>
      <x:c r="S252" s="18" t="n">
        <x:f>INDEX('Dated offers'!$H$7:$H$305,MATCH($Z252,'Dated offers'!$A$7:$A$305,0))</x:f>
        <x:v>43782</x:v>
      </x:c>
      <x:c r="T252" s="2" t="str">
        <x:f>IF(K252&lt;G252,"Order below requirement",IF(K252&lt;L252,"Below price tier",IF(ISNUMBER(S252),IF(K252&gt;S252,"Quantity exceeds snapshot","Within quantity snapshot"),"Stock not stated")))</x:f>
        <x:v>Within quantity snapshot</x:v>
      </x:c>
      <x:c r="U252" s="2" t="str">
        <x:f>INDEX('Dated offers'!$C$7:$C$305,MATCH($Z252,'Dated offers'!$A$7:$A$305,0))</x:f>
        <x:v>DigiKey</x:v>
      </x:c>
      <x:c r="V252" s="2" t="str">
        <x:f>INDEX('Dated offers'!$D$7:$D$305,MATCH($Z252,'Dated offers'!$A$7:$A$305,0))</x:f>
        <x:v>Not stated</x:v>
      </x:c>
      <x:c r="W252" s="24" t="n">
        <x:f>INDEX('Dated offers'!$E$7:$E$305,MATCH($Z252,'Dated offers'!$A$7:$A$305,0))</x:f>
        <x:v>46307.47807258102</x:v>
      </x:c>
      <x:c r="X252" s="2" t="b">
        <x:f>INDEX('Dated offers'!$N$7:$N$305,MATCH($Z252,'Dated offers'!$A$7:$A$305,0))</x:f>
        <x:v>0</x:v>
      </x:c>
      <x:c r="Y252" s="2" t="str">
        <x:f>INDEX('Dated offers'!$O$7:$O$305,MATCH($Z252,'Dated offers'!$A$7:$A$305,0))</x:f>
        <x:v>Unreserved inventory snapshot</x:v>
      </x:c>
      <x:c r="Z252" s="17" t="str">
        <x:v>OF0090</x:v>
      </x:c>
      <x:c r="AA252" s="2"/>
      <x:c r="AB252" s="2" t="str">
        <x:f>INDEX('Dated offers'!$Q$7:$Q$305,MATCH($Z252,'Dated offers'!$A$7:$A$305,0))</x:f>
        <x:v>https://www.digikey.com/en/products/detail/nichicon/RHA0J471MCN1GS/2209461</x:v>
      </x:c>
    </x:row>
    <x:row r="253" ht="24" customHeight="1">
      <x:c r="A253" s="2" t="str">
        <x:v>25 boards / 2% planning</x:v>
      </x:c>
      <x:c r="B253" s="17" t="str">
        <x:v>RN73R1ETTP9650B25</x:v>
      </x:c>
      <x:c r="C253" s="18" t="n">
        <x:v>25</x:v>
      </x:c>
      <x:c r="D253" s="27" t="n">
        <x:v>0.02</x:v>
      </x:c>
      <x:c r="E253" s="18" t="n">
        <x:f>INDEX('Assembly BOM'!$C$7:$C$162,MATCH($B253,'Assembly BOM'!$A$7:$A$162,0))</x:f>
        <x:v>1</x:v>
      </x:c>
      <x:c r="F253" s="18" t="n">
        <x:f>C253*E253</x:f>
        <x:v>25</x:v>
      </x:c>
      <x:c r="G253" s="18" t="n">
        <x:f>ROUNDUP(F253*(1+D253),0)</x:f>
        <x:v>26</x:v>
      </x:c>
      <x:c r="H253" s="18" t="n">
        <x:f>INDEX('Dated offers'!$F$7:$F$305,MATCH($Z253,'Dated offers'!$A$7:$A$305,0))</x:f>
        <x:v>1</x:v>
      </x:c>
      <x:c r="I253" s="18" t="n">
        <x:f>INDEX('Dated offers'!$G$7:$G$305,MATCH($Z253,'Dated offers'!$A$7:$A$305,0))</x:f>
        <x:v>1</x:v>
      </x:c>
      <x:c r="J253" s="18" t="n">
        <x:f>CEILING(MAX(G253,H253),I253)</x:f>
        <x:v>26</x:v>
      </x:c>
      <x:c r="K253" s="18" t="n">
        <x:v>26</x:v>
      </x:c>
      <x:c r="L253" s="18" t="n">
        <x:f>INDEX('Dated offers'!$I$7:$I$305,MATCH($Z253,'Dated offers'!$A$7:$A$305,0))</x:f>
        <x:v>10</x:v>
      </x:c>
      <x:c r="M253" s="25" t="n">
        <x:f>INDEX('Dated offers'!$J$7:$J$305,MATCH($Z253,'Dated offers'!$A$7:$A$305,0))</x:f>
        <x:v>0.108</x:v>
      </x:c>
      <x:c r="N253" s="25" t="n">
        <x:f>INDEX('Dated offers'!$K$7:$K$305,MATCH($Z253,'Dated offers'!$A$7:$A$305,0))</x:f>
        <x:v>0</x:v>
      </x:c>
      <x:c r="O253" s="25" t="n">
        <x:f>F253*M253</x:f>
        <x:v>2.7</x:v>
      </x:c>
      <x:c r="P253" s="25" t="n">
        <x:f>G253*M253</x:f>
        <x:v>2.808</x:v>
      </x:c>
      <x:c r="Q253" s="25" t="n">
        <x:f>K253*M253+N253</x:f>
        <x:v>2.808</x:v>
      </x:c>
      <x:c r="R253" s="18" t="n">
        <x:f>K253-G253</x:f>
        <x:v>0</x:v>
      </x:c>
      <x:c r="S253" s="18" t="n">
        <x:f>INDEX('Dated offers'!$H$7:$H$305,MATCH($Z253,'Dated offers'!$A$7:$A$305,0))</x:f>
        <x:v>292</x:v>
      </x:c>
      <x:c r="T253" s="2" t="str">
        <x:f>IF(K253&lt;G253,"Order below requirement",IF(K253&lt;L253,"Below price tier",IF(ISNUMBER(S253),IF(K253&gt;S253,"Quantity exceeds snapshot","Within quantity snapshot"),"Stock not stated")))</x:f>
        <x:v>Within quantity snapshot</x:v>
      </x:c>
      <x:c r="U253" s="2" t="str">
        <x:f>INDEX('Dated offers'!$C$7:$C$305,MATCH($Z253,'Dated offers'!$A$7:$A$305,0))</x:f>
        <x:v>DigiKey</x:v>
      </x:c>
      <x:c r="V253" s="2" t="str">
        <x:f>INDEX('Dated offers'!$D$7:$D$305,MATCH($Z253,'Dated offers'!$A$7:$A$305,0))</x:f>
        <x:v>Not stated</x:v>
      </x:c>
      <x:c r="W253" s="24" t="n">
        <x:f>INDEX('Dated offers'!$E$7:$E$305,MATCH($Z253,'Dated offers'!$A$7:$A$305,0))</x:f>
        <x:v>46307.47807262732</x:v>
      </x:c>
      <x:c r="X253" s="2" t="b">
        <x:f>INDEX('Dated offers'!$N$7:$N$305,MATCH($Z253,'Dated offers'!$A$7:$A$305,0))</x:f>
        <x:v>0</x:v>
      </x:c>
      <x:c r="Y253" s="2" t="str">
        <x:f>INDEX('Dated offers'!$O$7:$O$305,MATCH($Z253,'Dated offers'!$A$7:$A$305,0))</x:f>
        <x:v>Unreserved inventory snapshot</x:v>
      </x:c>
      <x:c r="Z253" s="17" t="str">
        <x:v>OF0091</x:v>
      </x:c>
      <x:c r="AA253" s="2"/>
      <x:c r="AB253" s="2" t="str">
        <x:f>INDEX('Dated offers'!$Q$7:$Q$305,MATCH($Z253,'Dated offers'!$A$7:$A$305,0))</x:f>
        <x:v>https://www.digikey.com/en/products/detail/koa-speer-electronics-inc/RN73R1ETTP9650B25/10007834</x:v>
      </x:c>
    </x:row>
    <x:row r="254" ht="24" customHeight="1">
      <x:c r="A254" s="2" t="str">
        <x:v>25 boards / 2% planning</x:v>
      </x:c>
      <x:c r="B254" s="17" t="str">
        <x:v>RT0402BRD07107KL</x:v>
      </x:c>
      <x:c r="C254" s="18" t="n">
        <x:v>25</x:v>
      </x:c>
      <x:c r="D254" s="27" t="n">
        <x:v>0.02</x:v>
      </x:c>
      <x:c r="E254" s="18" t="n">
        <x:f>INDEX('Assembly BOM'!$C$7:$C$162,MATCH($B254,'Assembly BOM'!$A$7:$A$162,0))</x:f>
        <x:v>2</x:v>
      </x:c>
      <x:c r="F254" s="18" t="n">
        <x:f>C254*E254</x:f>
        <x:v>50</x:v>
      </x:c>
      <x:c r="G254" s="18" t="n">
        <x:f>ROUNDUP(F254*(1+D254),0)</x:f>
        <x:v>51</x:v>
      </x:c>
      <x:c r="H254" s="18" t="n">
        <x:f>INDEX('Dated offers'!$F$7:$F$305,MATCH($Z254,'Dated offers'!$A$7:$A$305,0))</x:f>
        <x:v>1</x:v>
      </x:c>
      <x:c r="I254" s="18" t="n">
        <x:f>INDEX('Dated offers'!$G$7:$G$305,MATCH($Z254,'Dated offers'!$A$7:$A$305,0))</x:f>
        <x:v>1</x:v>
      </x:c>
      <x:c r="J254" s="18" t="n">
        <x:f>CEILING(MAX(G254,H254),I254)</x:f>
        <x:v>51</x:v>
      </x:c>
      <x:c r="K254" s="18" t="n">
        <x:v>51</x:v>
      </x:c>
      <x:c r="L254" s="18" t="n">
        <x:f>INDEX('Dated offers'!$I$7:$I$305,MATCH($Z254,'Dated offers'!$A$7:$A$305,0))</x:f>
        <x:v>50</x:v>
      </x:c>
      <x:c r="M254" s="25" t="n">
        <x:f>INDEX('Dated offers'!$J$7:$J$305,MATCH($Z254,'Dated offers'!$A$7:$A$305,0))</x:f>
        <x:v>0.0896</x:v>
      </x:c>
      <x:c r="N254" s="25" t="n">
        <x:f>INDEX('Dated offers'!$K$7:$K$305,MATCH($Z254,'Dated offers'!$A$7:$A$305,0))</x:f>
        <x:v>0</x:v>
      </x:c>
      <x:c r="O254" s="25" t="n">
        <x:f>F254*M254</x:f>
        <x:v>4.4799999999999995</x:v>
      </x:c>
      <x:c r="P254" s="25" t="n">
        <x:f>G254*M254</x:f>
        <x:v>4.5696</x:v>
      </x:c>
      <x:c r="Q254" s="25" t="n">
        <x:f>K254*M254+N254</x:f>
        <x:v>4.5696</x:v>
      </x:c>
      <x:c r="R254" s="18" t="n">
        <x:f>K254-G254</x:f>
        <x:v>0</x:v>
      </x:c>
      <x:c r="S254" s="18" t="n">
        <x:f>INDEX('Dated offers'!$H$7:$H$305,MATCH($Z254,'Dated offers'!$A$7:$A$305,0))</x:f>
        <x:v>1437</x:v>
      </x:c>
      <x:c r="T254" s="2" t="str">
        <x:f>IF(K254&lt;G254,"Order below requirement",IF(K254&lt;L254,"Below price tier",IF(ISNUMBER(S254),IF(K254&gt;S254,"Quantity exceeds snapshot","Within quantity snapshot"),"Stock not stated")))</x:f>
        <x:v>Within quantity snapshot</x:v>
      </x:c>
      <x:c r="U254" s="2" t="str">
        <x:f>INDEX('Dated offers'!$C$7:$C$305,MATCH($Z254,'Dated offers'!$A$7:$A$305,0))</x:f>
        <x:v>DigiKey</x:v>
      </x:c>
      <x:c r="V254" s="2" t="str">
        <x:f>INDEX('Dated offers'!$D$7:$D$305,MATCH($Z254,'Dated offers'!$A$7:$A$305,0))</x:f>
        <x:v>Not stated</x:v>
      </x:c>
      <x:c r="W254" s="24" t="n">
        <x:f>INDEX('Dated offers'!$E$7:$E$305,MATCH($Z254,'Dated offers'!$A$7:$A$305,0))</x:f>
        <x:v>46307.47807258102</x:v>
      </x:c>
      <x:c r="X254" s="2" t="b">
        <x:f>INDEX('Dated offers'!$N$7:$N$305,MATCH($Z254,'Dated offers'!$A$7:$A$305,0))</x:f>
        <x:v>0</x:v>
      </x:c>
      <x:c r="Y254" s="2" t="str">
        <x:f>INDEX('Dated offers'!$O$7:$O$305,MATCH($Z254,'Dated offers'!$A$7:$A$305,0))</x:f>
        <x:v>Unreserved inventory snapshot</x:v>
      </x:c>
      <x:c r="Z254" s="17" t="str">
        <x:v>OF0092</x:v>
      </x:c>
      <x:c r="AA254" s="2"/>
      <x:c r="AB254" s="2" t="str">
        <x:f>INDEX('Dated offers'!$Q$7:$Q$305,MATCH($Z254,'Dated offers'!$A$7:$A$305,0))</x:f>
        <x:v>https://www.digikey.com/en/products/detail/yageo/RT0402BRD07107KL/7708214</x:v>
      </x:c>
    </x:row>
    <x:row r="255" ht="24" customHeight="1">
      <x:c r="A255" s="2" t="str">
        <x:v>25 boards / 2% planning</x:v>
      </x:c>
      <x:c r="B255" s="17" t="str">
        <x:v>RT0402BRD0711K3L</x:v>
      </x:c>
      <x:c r="C255" s="18" t="n">
        <x:v>25</x:v>
      </x:c>
      <x:c r="D255" s="27" t="n">
        <x:v>0.02</x:v>
      </x:c>
      <x:c r="E255" s="18" t="n">
        <x:f>INDEX('Assembly BOM'!$C$7:$C$162,MATCH($B255,'Assembly BOM'!$A$7:$A$162,0))</x:f>
        <x:v>1</x:v>
      </x:c>
      <x:c r="F255" s="18" t="n">
        <x:f>C255*E255</x:f>
        <x:v>25</x:v>
      </x:c>
      <x:c r="G255" s="18" t="n">
        <x:f>ROUNDUP(F255*(1+D255),0)</x:f>
        <x:v>26</x:v>
      </x:c>
      <x:c r="H255" s="18" t="n">
        <x:f>INDEX('Dated offers'!$F$7:$F$305,MATCH($Z255,'Dated offers'!$A$7:$A$305,0))</x:f>
        <x:v>1</x:v>
      </x:c>
      <x:c r="I255" s="18" t="n">
        <x:f>INDEX('Dated offers'!$G$7:$G$305,MATCH($Z255,'Dated offers'!$A$7:$A$305,0))</x:f>
        <x:v>1</x:v>
      </x:c>
      <x:c r="J255" s="18" t="n">
        <x:f>CEILING(MAX(G255,H255),I255)</x:f>
        <x:v>26</x:v>
      </x:c>
      <x:c r="K255" s="18" t="n">
        <x:v>26</x:v>
      </x:c>
      <x:c r="L255" s="18" t="n">
        <x:f>INDEX('Dated offers'!$I$7:$I$305,MATCH($Z255,'Dated offers'!$A$7:$A$305,0))</x:f>
        <x:v>10</x:v>
      </x:c>
      <x:c r="M255" s="25" t="n">
        <x:f>INDEX('Dated offers'!$J$7:$J$305,MATCH($Z255,'Dated offers'!$A$7:$A$305,0))</x:f>
        <x:v>0.089</x:v>
      </x:c>
      <x:c r="N255" s="25" t="n">
        <x:f>INDEX('Dated offers'!$K$7:$K$305,MATCH($Z255,'Dated offers'!$A$7:$A$305,0))</x:f>
        <x:v>0</x:v>
      </x:c>
      <x:c r="O255" s="25" t="n">
        <x:f>F255*M255</x:f>
        <x:v>2.225</x:v>
      </x:c>
      <x:c r="P255" s="25" t="n">
        <x:f>G255*M255</x:f>
        <x:v>2.314</x:v>
      </x:c>
      <x:c r="Q255" s="25" t="n">
        <x:f>K255*M255+N255</x:f>
        <x:v>2.314</x:v>
      </x:c>
      <x:c r="R255" s="18" t="n">
        <x:f>K255-G255</x:f>
        <x:v>0</x:v>
      </x:c>
      <x:c r="S255" s="18" t="n">
        <x:f>INDEX('Dated offers'!$H$7:$H$305,MATCH($Z255,'Dated offers'!$A$7:$A$305,0))</x:f>
        <x:v>37762</x:v>
      </x:c>
      <x:c r="T255" s="2" t="str">
        <x:f>IF(K255&lt;G255,"Order below requirement",IF(K255&lt;L255,"Below price tier",IF(ISNUMBER(S255),IF(K255&gt;S255,"Quantity exceeds snapshot","Within quantity snapshot"),"Stock not stated")))</x:f>
        <x:v>Within quantity snapshot</x:v>
      </x:c>
      <x:c r="U255" s="2" t="str">
        <x:f>INDEX('Dated offers'!$C$7:$C$305,MATCH($Z255,'Dated offers'!$A$7:$A$305,0))</x:f>
        <x:v>DigiKey</x:v>
      </x:c>
      <x:c r="V255" s="2" t="str">
        <x:f>INDEX('Dated offers'!$D$7:$D$305,MATCH($Z255,'Dated offers'!$A$7:$A$305,0))</x:f>
        <x:v>Not stated</x:v>
      </x:c>
      <x:c r="W255" s="24" t="n">
        <x:f>INDEX('Dated offers'!$E$7:$E$305,MATCH($Z255,'Dated offers'!$A$7:$A$305,0))</x:f>
        <x:v>46307.47807258102</x:v>
      </x:c>
      <x:c r="X255" s="2" t="b">
        <x:f>INDEX('Dated offers'!$N$7:$N$305,MATCH($Z255,'Dated offers'!$A$7:$A$305,0))</x:f>
        <x:v>0</x:v>
      </x:c>
      <x:c r="Y255" s="2" t="str">
        <x:f>INDEX('Dated offers'!$O$7:$O$305,MATCH($Z255,'Dated offers'!$A$7:$A$305,0))</x:f>
        <x:v>Unreserved inventory snapshot</x:v>
      </x:c>
      <x:c r="Z255" s="17" t="str">
        <x:v>OF0093</x:v>
      </x:c>
      <x:c r="AA255" s="2"/>
      <x:c r="AB255" s="2" t="str">
        <x:f>INDEX('Dated offers'!$Q$7:$Q$305,MATCH($Z255,'Dated offers'!$A$7:$A$305,0))</x:f>
        <x:v>https://www.digikey.com/en/products/detail/yageo/RT0402BRD0711K3L/6616321</x:v>
      </x:c>
    </x:row>
    <x:row r="256" ht="24" customHeight="1">
      <x:c r="A256" s="2" t="str">
        <x:v>25 boards / 2% planning</x:v>
      </x:c>
      <x:c r="B256" s="17" t="str">
        <x:v>RT0402BRD0717K4L</x:v>
      </x:c>
      <x:c r="C256" s="18" t="n">
        <x:v>25</x:v>
      </x:c>
      <x:c r="D256" s="27" t="n">
        <x:v>0.02</x:v>
      </x:c>
      <x:c r="E256" s="18" t="n">
        <x:f>INDEX('Assembly BOM'!$C$7:$C$162,MATCH($B256,'Assembly BOM'!$A$7:$A$162,0))</x:f>
        <x:v>1</x:v>
      </x:c>
      <x:c r="F256" s="18" t="n">
        <x:f>C256*E256</x:f>
        <x:v>25</x:v>
      </x:c>
      <x:c r="G256" s="18" t="n">
        <x:f>ROUNDUP(F256*(1+D256),0)</x:f>
        <x:v>26</x:v>
      </x:c>
      <x:c r="H256" s="18" t="n">
        <x:f>INDEX('Dated offers'!$F$7:$F$305,MATCH($Z256,'Dated offers'!$A$7:$A$305,0))</x:f>
        <x:v>1</x:v>
      </x:c>
      <x:c r="I256" s="18" t="n">
        <x:f>INDEX('Dated offers'!$G$7:$G$305,MATCH($Z256,'Dated offers'!$A$7:$A$305,0))</x:f>
        <x:v>1</x:v>
      </x:c>
      <x:c r="J256" s="18" t="n">
        <x:f>CEILING(MAX(G256,H256),I256)</x:f>
        <x:v>26</x:v>
      </x:c>
      <x:c r="K256" s="18" t="n">
        <x:v>26</x:v>
      </x:c>
      <x:c r="L256" s="18" t="n">
        <x:f>INDEX('Dated offers'!$I$7:$I$305,MATCH($Z256,'Dated offers'!$A$7:$A$305,0))</x:f>
        <x:v>10</x:v>
      </x:c>
      <x:c r="M256" s="25" t="n">
        <x:f>INDEX('Dated offers'!$J$7:$J$305,MATCH($Z256,'Dated offers'!$A$7:$A$305,0))</x:f>
        <x:v>0.084</x:v>
      </x:c>
      <x:c r="N256" s="25" t="n">
        <x:f>INDEX('Dated offers'!$K$7:$K$305,MATCH($Z256,'Dated offers'!$A$7:$A$305,0))</x:f>
        <x:v>0</x:v>
      </x:c>
      <x:c r="O256" s="25" t="n">
        <x:f>F256*M256</x:f>
        <x:v>2.1</x:v>
      </x:c>
      <x:c r="P256" s="25" t="n">
        <x:f>G256*M256</x:f>
        <x:v>2.184</x:v>
      </x:c>
      <x:c r="Q256" s="25" t="n">
        <x:f>K256*M256+N256</x:f>
        <x:v>2.184</x:v>
      </x:c>
      <x:c r="R256" s="18" t="n">
        <x:f>K256-G256</x:f>
        <x:v>0</x:v>
      </x:c>
      <x:c r="S256" s="18" t="n">
        <x:f>INDEX('Dated offers'!$H$7:$H$305,MATCH($Z256,'Dated offers'!$A$7:$A$305,0))</x:f>
        <x:v>1781</x:v>
      </x:c>
      <x:c r="T256" s="2" t="str">
        <x:f>IF(K256&lt;G256,"Order below requirement",IF(K256&lt;L256,"Below price tier",IF(ISNUMBER(S256),IF(K256&gt;S256,"Quantity exceeds snapshot","Within quantity snapshot"),"Stock not stated")))</x:f>
        <x:v>Within quantity snapshot</x:v>
      </x:c>
      <x:c r="U256" s="2" t="str">
        <x:f>INDEX('Dated offers'!$C$7:$C$305,MATCH($Z256,'Dated offers'!$A$7:$A$305,0))</x:f>
        <x:v>DigiKey</x:v>
      </x:c>
      <x:c r="V256" s="2" t="str">
        <x:f>INDEX('Dated offers'!$D$7:$D$305,MATCH($Z256,'Dated offers'!$A$7:$A$305,0))</x:f>
        <x:v>Not stated</x:v>
      </x:c>
      <x:c r="W256" s="24" t="n">
        <x:f>INDEX('Dated offers'!$E$7:$E$305,MATCH($Z256,'Dated offers'!$A$7:$A$305,0))</x:f>
        <x:v>46307.4780725463</x:v>
      </x:c>
      <x:c r="X256" s="2" t="b">
        <x:f>INDEX('Dated offers'!$N$7:$N$305,MATCH($Z256,'Dated offers'!$A$7:$A$305,0))</x:f>
        <x:v>0</x:v>
      </x:c>
      <x:c r="Y256" s="2" t="str">
        <x:f>INDEX('Dated offers'!$O$7:$O$305,MATCH($Z256,'Dated offers'!$A$7:$A$305,0))</x:f>
        <x:v>Unreserved inventory snapshot</x:v>
      </x:c>
      <x:c r="Z256" s="17" t="str">
        <x:v>OF0094</x:v>
      </x:c>
      <x:c r="AA256" s="2"/>
      <x:c r="AB256" s="2" t="str">
        <x:f>INDEX('Dated offers'!$Q$7:$Q$305,MATCH($Z256,'Dated offers'!$A$7:$A$305,0))</x:f>
        <x:v>https://www.digikey.com/en/products/detail/yageo/RT0402BRD0717K4L/1069068</x:v>
      </x:c>
    </x:row>
    <x:row r="257" ht="24" customHeight="1">
      <x:c r="A257" s="2" t="str">
        <x:v>25 boards / 2% planning</x:v>
      </x:c>
      <x:c r="B257" s="17" t="str">
        <x:v>RT0402BRD071KL</x:v>
      </x:c>
      <x:c r="C257" s="18" t="n">
        <x:v>25</x:v>
      </x:c>
      <x:c r="D257" s="27" t="n">
        <x:v>0.02</x:v>
      </x:c>
      <x:c r="E257" s="18" t="n">
        <x:f>INDEX('Assembly BOM'!$C$7:$C$162,MATCH($B257,'Assembly BOM'!$A$7:$A$162,0))</x:f>
        <x:v>1</x:v>
      </x:c>
      <x:c r="F257" s="18" t="n">
        <x:f>C257*E257</x:f>
        <x:v>25</x:v>
      </x:c>
      <x:c r="G257" s="18" t="n">
        <x:f>ROUNDUP(F257*(1+D257),0)</x:f>
        <x:v>26</x:v>
      </x:c>
      <x:c r="H257" s="18" t="n">
        <x:f>INDEX('Dated offers'!$F$7:$F$305,MATCH($Z257,'Dated offers'!$A$7:$A$305,0))</x:f>
        <x:v>1</x:v>
      </x:c>
      <x:c r="I257" s="18" t="n">
        <x:f>INDEX('Dated offers'!$G$7:$G$305,MATCH($Z257,'Dated offers'!$A$7:$A$305,0))</x:f>
        <x:v>1</x:v>
      </x:c>
      <x:c r="J257" s="18" t="n">
        <x:f>CEILING(MAX(G257,H257),I257)</x:f>
        <x:v>26</x:v>
      </x:c>
      <x:c r="K257" s="18" t="n">
        <x:v>26</x:v>
      </x:c>
      <x:c r="L257" s="18" t="n">
        <x:f>INDEX('Dated offers'!$I$7:$I$305,MATCH($Z257,'Dated offers'!$A$7:$A$305,0))</x:f>
        <x:v>10</x:v>
      </x:c>
      <x:c r="M257" s="25" t="n">
        <x:f>INDEX('Dated offers'!$J$7:$J$305,MATCH($Z257,'Dated offers'!$A$7:$A$305,0))</x:f>
        <x:v>0.089</x:v>
      </x:c>
      <x:c r="N257" s="25" t="n">
        <x:f>INDEX('Dated offers'!$K$7:$K$305,MATCH($Z257,'Dated offers'!$A$7:$A$305,0))</x:f>
        <x:v>0</x:v>
      </x:c>
      <x:c r="O257" s="25" t="n">
        <x:f>F257*M257</x:f>
        <x:v>2.225</x:v>
      </x:c>
      <x:c r="P257" s="25" t="n">
        <x:f>G257*M257</x:f>
        <x:v>2.314</x:v>
      </x:c>
      <x:c r="Q257" s="25" t="n">
        <x:f>K257*M257+N257</x:f>
        <x:v>2.314</x:v>
      </x:c>
      <x:c r="R257" s="18" t="n">
        <x:f>K257-G257</x:f>
        <x:v>0</x:v>
      </x:c>
      <x:c r="S257" s="18" t="n">
        <x:f>INDEX('Dated offers'!$H$7:$H$305,MATCH($Z257,'Dated offers'!$A$7:$A$305,0))</x:f>
        <x:v>374004</x:v>
      </x:c>
      <x:c r="T257" s="2" t="str">
        <x:f>IF(K257&lt;G257,"Order below requirement",IF(K257&lt;L257,"Below price tier",IF(ISNUMBER(S257),IF(K257&gt;S257,"Quantity exceeds snapshot","Within quantity snapshot"),"Stock not stated")))</x:f>
        <x:v>Within quantity snapshot</x:v>
      </x:c>
      <x:c r="U257" s="2" t="str">
        <x:f>INDEX('Dated offers'!$C$7:$C$305,MATCH($Z257,'Dated offers'!$A$7:$A$305,0))</x:f>
        <x:v>DigiKey</x:v>
      </x:c>
      <x:c r="V257" s="2" t="str">
        <x:f>INDEX('Dated offers'!$D$7:$D$305,MATCH($Z257,'Dated offers'!$A$7:$A$305,0))</x:f>
        <x:v>Not stated</x:v>
      </x:c>
      <x:c r="W257" s="24" t="n">
        <x:f>INDEX('Dated offers'!$E$7:$E$305,MATCH($Z257,'Dated offers'!$A$7:$A$305,0))</x:f>
        <x:v>46307.47807258102</x:v>
      </x:c>
      <x:c r="X257" s="2" t="b">
        <x:f>INDEX('Dated offers'!$N$7:$N$305,MATCH($Z257,'Dated offers'!$A$7:$A$305,0))</x:f>
        <x:v>0</x:v>
      </x:c>
      <x:c r="Y257" s="2" t="str">
        <x:f>INDEX('Dated offers'!$O$7:$O$305,MATCH($Z257,'Dated offers'!$A$7:$A$305,0))</x:f>
        <x:v>Unreserved inventory snapshot</x:v>
      </x:c>
      <x:c r="Z257" s="17" t="str">
        <x:v>OF0095</x:v>
      </x:c>
      <x:c r="AA257" s="2"/>
      <x:c r="AB257" s="2" t="str">
        <x:f>INDEX('Dated offers'!$Q$7:$Q$305,MATCH($Z257,'Dated offers'!$A$7:$A$305,0))</x:f>
        <x:v>https://www.digikey.com/en/products/detail/yageo/RT0402BRD071KL/5138834</x:v>
      </x:c>
    </x:row>
    <x:row r="258" ht="24" customHeight="1">
      <x:c r="A258" s="2" t="str">
        <x:v>25 boards / 2% planning</x:v>
      </x:c>
      <x:c r="B258" s="17" t="str">
        <x:v>RT0402BRD07301RL</x:v>
      </x:c>
      <x:c r="C258" s="18" t="n">
        <x:v>25</x:v>
      </x:c>
      <x:c r="D258" s="27" t="n">
        <x:v>0.02</x:v>
      </x:c>
      <x:c r="E258" s="18" t="n">
        <x:f>INDEX('Assembly BOM'!$C$7:$C$162,MATCH($B258,'Assembly BOM'!$A$7:$A$162,0))</x:f>
        <x:v>1</x:v>
      </x:c>
      <x:c r="F258" s="18" t="n">
        <x:f>C258*E258</x:f>
        <x:v>25</x:v>
      </x:c>
      <x:c r="G258" s="18" t="n">
        <x:f>ROUNDUP(F258*(1+D258),0)</x:f>
        <x:v>26</x:v>
      </x:c>
      <x:c r="H258" s="18" t="n">
        <x:f>INDEX('Dated offers'!$F$7:$F$305,MATCH($Z258,'Dated offers'!$A$7:$A$305,0))</x:f>
        <x:v>1</x:v>
      </x:c>
      <x:c r="I258" s="18" t="n">
        <x:f>INDEX('Dated offers'!$G$7:$G$305,MATCH($Z258,'Dated offers'!$A$7:$A$305,0))</x:f>
        <x:v>1</x:v>
      </x:c>
      <x:c r="J258" s="18" t="n">
        <x:f>CEILING(MAX(G258,H258),I258)</x:f>
        <x:v>26</x:v>
      </x:c>
      <x:c r="K258" s="18" t="n">
        <x:v>26</x:v>
      </x:c>
      <x:c r="L258" s="18" t="n">
        <x:f>INDEX('Dated offers'!$I$7:$I$305,MATCH($Z258,'Dated offers'!$A$7:$A$305,0))</x:f>
        <x:v>10</x:v>
      </x:c>
      <x:c r="M258" s="25" t="n">
        <x:f>INDEX('Dated offers'!$J$7:$J$305,MATCH($Z258,'Dated offers'!$A$7:$A$305,0))</x:f>
        <x:v>0.084</x:v>
      </x:c>
      <x:c r="N258" s="25" t="n">
        <x:f>INDEX('Dated offers'!$K$7:$K$305,MATCH($Z258,'Dated offers'!$A$7:$A$305,0))</x:f>
        <x:v>0</x:v>
      </x:c>
      <x:c r="O258" s="25" t="n">
        <x:f>F258*M258</x:f>
        <x:v>2.1</x:v>
      </x:c>
      <x:c r="P258" s="25" t="n">
        <x:f>G258*M258</x:f>
        <x:v>2.184</x:v>
      </x:c>
      <x:c r="Q258" s="25" t="n">
        <x:f>K258*M258+N258</x:f>
        <x:v>2.184</x:v>
      </x:c>
      <x:c r="R258" s="18" t="n">
        <x:f>K258-G258</x:f>
        <x:v>0</x:v>
      </x:c>
      <x:c r="S258" s="18" t="n">
        <x:f>INDEX('Dated offers'!$H$7:$H$305,MATCH($Z258,'Dated offers'!$A$7:$A$305,0))</x:f>
        <x:v>1053</x:v>
      </x:c>
      <x:c r="T258" s="2" t="str">
        <x:f>IF(K258&lt;G258,"Order below requirement",IF(K258&lt;L258,"Below price tier",IF(ISNUMBER(S258),IF(K258&gt;S258,"Quantity exceeds snapshot","Within quantity snapshot"),"Stock not stated")))</x:f>
        <x:v>Within quantity snapshot</x:v>
      </x:c>
      <x:c r="U258" s="2" t="str">
        <x:f>INDEX('Dated offers'!$C$7:$C$305,MATCH($Z258,'Dated offers'!$A$7:$A$305,0))</x:f>
        <x:v>DigiKey</x:v>
      </x:c>
      <x:c r="V258" s="2" t="str">
        <x:f>INDEX('Dated offers'!$D$7:$D$305,MATCH($Z258,'Dated offers'!$A$7:$A$305,0))</x:f>
        <x:v>Not stated</x:v>
      </x:c>
      <x:c r="W258" s="24" t="n">
        <x:f>INDEX('Dated offers'!$E$7:$E$305,MATCH($Z258,'Dated offers'!$A$7:$A$305,0))</x:f>
        <x:v>46307.47807269676</x:v>
      </x:c>
      <x:c r="X258" s="2" t="b">
        <x:f>INDEX('Dated offers'!$N$7:$N$305,MATCH($Z258,'Dated offers'!$A$7:$A$305,0))</x:f>
        <x:v>0</x:v>
      </x:c>
      <x:c r="Y258" s="2" t="str">
        <x:f>INDEX('Dated offers'!$O$7:$O$305,MATCH($Z258,'Dated offers'!$A$7:$A$305,0))</x:f>
        <x:v>Unreserved inventory snapshot</x:v>
      </x:c>
      <x:c r="Z258" s="17" t="str">
        <x:v>OF0096</x:v>
      </x:c>
      <x:c r="AA258" s="2"/>
      <x:c r="AB258" s="2" t="str">
        <x:f>INDEX('Dated offers'!$Q$7:$Q$305,MATCH($Z258,'Dated offers'!$A$7:$A$305,0))</x:f>
        <x:v>https://www.digikey.com/en/products/detail/yageo/RT0402BRD07301RL/1069200</x:v>
      </x:c>
    </x:row>
    <x:row r="259" ht="24" customHeight="1">
      <x:c r="A259" s="2" t="str">
        <x:v>25 boards / 2% planning</x:v>
      </x:c>
      <x:c r="B259" s="17" t="str">
        <x:v>RT0402BRD0757K6L</x:v>
      </x:c>
      <x:c r="C259" s="18" t="n">
        <x:v>25</x:v>
      </x:c>
      <x:c r="D259" s="27" t="n">
        <x:v>0.02</x:v>
      </x:c>
      <x:c r="E259" s="18" t="n">
        <x:f>INDEX('Assembly BOM'!$C$7:$C$162,MATCH($B259,'Assembly BOM'!$A$7:$A$162,0))</x:f>
        <x:v>1</x:v>
      </x:c>
      <x:c r="F259" s="18" t="n">
        <x:f>C259*E259</x:f>
        <x:v>25</x:v>
      </x:c>
      <x:c r="G259" s="18" t="n">
        <x:f>ROUNDUP(F259*(1+D259),0)</x:f>
        <x:v>26</x:v>
      </x:c>
      <x:c r="H259" s="18" t="n">
        <x:f>INDEX('Dated offers'!$F$7:$F$305,MATCH($Z259,'Dated offers'!$A$7:$A$305,0))</x:f>
        <x:v>1</x:v>
      </x:c>
      <x:c r="I259" s="18" t="n">
        <x:f>INDEX('Dated offers'!$G$7:$G$305,MATCH($Z259,'Dated offers'!$A$7:$A$305,0))</x:f>
        <x:v>1</x:v>
      </x:c>
      <x:c r="J259" s="18" t="n">
        <x:f>CEILING(MAX(G259,H259),I259)</x:f>
        <x:v>26</x:v>
      </x:c>
      <x:c r="K259" s="18" t="n">
        <x:v>26</x:v>
      </x:c>
      <x:c r="L259" s="18" t="n">
        <x:f>INDEX('Dated offers'!$I$7:$I$305,MATCH($Z259,'Dated offers'!$A$7:$A$305,0))</x:f>
        <x:v>10</x:v>
      </x:c>
      <x:c r="M259" s="25" t="n">
        <x:f>INDEX('Dated offers'!$J$7:$J$305,MATCH($Z259,'Dated offers'!$A$7:$A$305,0))</x:f>
        <x:v>0.089</x:v>
      </x:c>
      <x:c r="N259" s="25" t="n">
        <x:f>INDEX('Dated offers'!$K$7:$K$305,MATCH($Z259,'Dated offers'!$A$7:$A$305,0))</x:f>
        <x:v>0</x:v>
      </x:c>
      <x:c r="O259" s="25" t="n">
        <x:f>F259*M259</x:f>
        <x:v>2.225</x:v>
      </x:c>
      <x:c r="P259" s="25" t="n">
        <x:f>G259*M259</x:f>
        <x:v>2.314</x:v>
      </x:c>
      <x:c r="Q259" s="25" t="n">
        <x:f>K259*M259+N259</x:f>
        <x:v>2.314</x:v>
      </x:c>
      <x:c r="R259" s="18" t="n">
        <x:f>K259-G259</x:f>
        <x:v>0</x:v>
      </x:c>
      <x:c r="S259" s="18" t="n">
        <x:f>INDEX('Dated offers'!$H$7:$H$305,MATCH($Z259,'Dated offers'!$A$7:$A$305,0))</x:f>
        <x:v>19539</x:v>
      </x:c>
      <x:c r="T259" s="2" t="str">
        <x:f>IF(K259&lt;G259,"Order below requirement",IF(K259&lt;L259,"Below price tier",IF(ISNUMBER(S259),IF(K259&gt;S259,"Quantity exceeds snapshot","Within quantity snapshot"),"Stock not stated")))</x:f>
        <x:v>Within quantity snapshot</x:v>
      </x:c>
      <x:c r="U259" s="2" t="str">
        <x:f>INDEX('Dated offers'!$C$7:$C$305,MATCH($Z259,'Dated offers'!$A$7:$A$305,0))</x:f>
        <x:v>DigiKey</x:v>
      </x:c>
      <x:c r="V259" s="2" t="str">
        <x:f>INDEX('Dated offers'!$D$7:$D$305,MATCH($Z259,'Dated offers'!$A$7:$A$305,0))</x:f>
        <x:v>Not stated</x:v>
      </x:c>
      <x:c r="W259" s="24" t="n">
        <x:f>INDEX('Dated offers'!$E$7:$E$305,MATCH($Z259,'Dated offers'!$A$7:$A$305,0))</x:f>
        <x:v>46307.4780725463</x:v>
      </x:c>
      <x:c r="X259" s="2" t="b">
        <x:f>INDEX('Dated offers'!$N$7:$N$305,MATCH($Z259,'Dated offers'!$A$7:$A$305,0))</x:f>
        <x:v>0</x:v>
      </x:c>
      <x:c r="Y259" s="2" t="str">
        <x:f>INDEX('Dated offers'!$O$7:$O$305,MATCH($Z259,'Dated offers'!$A$7:$A$305,0))</x:f>
        <x:v>Unreserved inventory snapshot</x:v>
      </x:c>
      <x:c r="Z259" s="17" t="str">
        <x:v>OF0097</x:v>
      </x:c>
      <x:c r="AA259" s="2"/>
      <x:c r="AB259" s="2" t="str">
        <x:f>INDEX('Dated offers'!$Q$7:$Q$305,MATCH($Z259,'Dated offers'!$A$7:$A$305,0))</x:f>
        <x:v>https://www.digikey.com/en/products/detail/yageo/RT0402BRD0757K6L/6616439</x:v>
      </x:c>
    </x:row>
    <x:row r="260" ht="24" customHeight="1">
      <x:c r="A260" s="2" t="str">
        <x:v>25 boards / 2% planning</x:v>
      </x:c>
      <x:c r="B260" s="17" t="str">
        <x:v>RT0402BRD0764K9L</x:v>
      </x:c>
      <x:c r="C260" s="18" t="n">
        <x:v>25</x:v>
      </x:c>
      <x:c r="D260" s="27" t="n">
        <x:v>0.02</x:v>
      </x:c>
      <x:c r="E260" s="18" t="n">
        <x:f>INDEX('Assembly BOM'!$C$7:$C$162,MATCH($B260,'Assembly BOM'!$A$7:$A$162,0))</x:f>
        <x:v>1</x:v>
      </x:c>
      <x:c r="F260" s="18" t="n">
        <x:f>C260*E260</x:f>
        <x:v>25</x:v>
      </x:c>
      <x:c r="G260" s="18" t="n">
        <x:f>ROUNDUP(F260*(1+D260),0)</x:f>
        <x:v>26</x:v>
      </x:c>
      <x:c r="H260" s="18" t="n">
        <x:f>INDEX('Dated offers'!$F$7:$F$305,MATCH($Z260,'Dated offers'!$A$7:$A$305,0))</x:f>
        <x:v>50</x:v>
      </x:c>
      <x:c r="I260" s="18" t="n">
        <x:f>INDEX('Dated offers'!$G$7:$G$305,MATCH($Z260,'Dated offers'!$A$7:$A$305,0))</x:f>
        <x:v>50</x:v>
      </x:c>
      <x:c r="J260" s="18" t="n">
        <x:f>CEILING(MAX(G260,H260),I260)</x:f>
        <x:v>50</x:v>
      </x:c>
      <x:c r="K260" s="18" t="n">
        <x:v>50</x:v>
      </x:c>
      <x:c r="L260" s="18" t="n">
        <x:f>INDEX('Dated offers'!$I$7:$I$305,MATCH($Z260,'Dated offers'!$A$7:$A$305,0))</x:f>
        <x:v>50</x:v>
      </x:c>
      <x:c r="M260" s="25" t="n">
        <x:f>INDEX('Dated offers'!$J$7:$J$305,MATCH($Z260,'Dated offers'!$A$7:$A$305,0))</x:f>
        <x:v>0.0285</x:v>
      </x:c>
      <x:c r="N260" s="25" t="n">
        <x:f>INDEX('Dated offers'!$K$7:$K$305,MATCH($Z260,'Dated offers'!$A$7:$A$305,0))</x:f>
        <x:v>0</x:v>
      </x:c>
      <x:c r="O260" s="25" t="n">
        <x:f>F260*M260</x:f>
        <x:v>0.7125</x:v>
      </x:c>
      <x:c r="P260" s="25" t="n">
        <x:f>G260*M260</x:f>
        <x:v>0.741</x:v>
      </x:c>
      <x:c r="Q260" s="25" t="n">
        <x:f>K260*M260+N260</x:f>
        <x:v>1.425</x:v>
      </x:c>
      <x:c r="R260" s="18" t="n">
        <x:f>K260-G260</x:f>
        <x:v>24</x:v>
      </x:c>
      <x:c r="S260" s="18" t="n">
        <x:f>INDEX('Dated offers'!$H$7:$H$305,MATCH($Z260,'Dated offers'!$A$7:$A$305,0))</x:f>
        <x:v>5400</x:v>
      </x:c>
      <x:c r="T260" s="2" t="str">
        <x:f>IF(K260&lt;G260,"Order below requirement",IF(K260&lt;L260,"Below price tier",IF(ISNUMBER(S260),IF(K260&gt;S260,"Quantity exceeds snapshot","Within quantity snapshot"),"Stock not stated")))</x:f>
        <x:v>Within quantity snapshot</x:v>
      </x:c>
      <x:c r="U260" s="2" t="str">
        <x:f>INDEX('Dated offers'!$C$7:$C$305,MATCH($Z260,'Dated offers'!$A$7:$A$305,0))</x:f>
        <x:v>LCSC</x:v>
      </x:c>
      <x:c r="V260" s="2" t="str">
        <x:f>INDEX('Dated offers'!$D$7:$D$305,MATCH($Z260,'Dated offers'!$A$7:$A$305,0))</x:f>
        <x:v>C852880</x:v>
      </x:c>
      <x:c r="W260" s="24" t="n">
        <x:f>INDEX('Dated offers'!$E$7:$E$305,MATCH($Z260,'Dated offers'!$A$7:$A$305,0))</x:f>
        <x:v>46307.44746053241</x:v>
      </x:c>
      <x:c r="X260" s="2" t="b">
        <x:f>INDEX('Dated offers'!$N$7:$N$305,MATCH($Z260,'Dated offers'!$A$7:$A$305,0))</x:f>
        <x:v>0</x:v>
      </x:c>
      <x:c r="Y260" s="2" t="str">
        <x:f>INDEX('Dated offers'!$O$7:$O$305,MATCH($Z260,'Dated offers'!$A$7:$A$305,0))</x:f>
        <x:v>Unreserved inventory snapshot</x:v>
      </x:c>
      <x:c r="Z260" s="17" t="str">
        <x:v>OF0098</x:v>
      </x:c>
      <x:c r="AA260" s="2"/>
      <x:c r="AB260" s="2" t="str">
        <x:f>INDEX('Dated offers'!$Q$7:$Q$305,MATCH($Z260,'Dated offers'!$A$7:$A$305,0))</x:f>
        <x:v>https://www.lcsc.com/product-detail/C852880.html</x:v>
      </x:c>
    </x:row>
    <x:row r="261" ht="24" customHeight="1">
      <x:c r="A261" s="2" t="str">
        <x:v>25 boards / 2% planning</x:v>
      </x:c>
      <x:c r="B261" s="17" t="str">
        <x:v>RT0402BRD0776K8L</x:v>
      </x:c>
      <x:c r="C261" s="18" t="n">
        <x:v>25</x:v>
      </x:c>
      <x:c r="D261" s="27" t="n">
        <x:v>0.02</x:v>
      </x:c>
      <x:c r="E261" s="18" t="n">
        <x:f>INDEX('Assembly BOM'!$C$7:$C$162,MATCH($B261,'Assembly BOM'!$A$7:$A$162,0))</x:f>
        <x:v>3</x:v>
      </x:c>
      <x:c r="F261" s="18" t="n">
        <x:f>C261*E261</x:f>
        <x:v>75</x:v>
      </x:c>
      <x:c r="G261" s="18" t="n">
        <x:f>ROUNDUP(F261*(1+D261),0)</x:f>
        <x:v>77</x:v>
      </x:c>
      <x:c r="H261" s="18" t="n">
        <x:f>INDEX('Dated offers'!$F$7:$F$305,MATCH($Z261,'Dated offers'!$A$7:$A$305,0))</x:f>
        <x:v>50</x:v>
      </x:c>
      <x:c r="I261" s="18" t="n">
        <x:f>INDEX('Dated offers'!$G$7:$G$305,MATCH($Z261,'Dated offers'!$A$7:$A$305,0))</x:f>
        <x:v>50</x:v>
      </x:c>
      <x:c r="J261" s="18" t="n">
        <x:f>CEILING(MAX(G261,H261),I261)</x:f>
        <x:v>100</x:v>
      </x:c>
      <x:c r="K261" s="18" t="n">
        <x:v>100</x:v>
      </x:c>
      <x:c r="L261" s="18" t="n">
        <x:f>INDEX('Dated offers'!$I$7:$I$305,MATCH($Z261,'Dated offers'!$A$7:$A$305,0))</x:f>
        <x:v>50</x:v>
      </x:c>
      <x:c r="M261" s="25" t="n">
        <x:f>INDEX('Dated offers'!$J$7:$J$305,MATCH($Z261,'Dated offers'!$A$7:$A$305,0))</x:f>
        <x:v>0.0284</x:v>
      </x:c>
      <x:c r="N261" s="25" t="n">
        <x:f>INDEX('Dated offers'!$K$7:$K$305,MATCH($Z261,'Dated offers'!$A$7:$A$305,0))</x:f>
        <x:v>0</x:v>
      </x:c>
      <x:c r="O261" s="25" t="n">
        <x:f>F261*M261</x:f>
        <x:v>2.1300000000000003</x:v>
      </x:c>
      <x:c r="P261" s="25" t="n">
        <x:f>G261*M261</x:f>
        <x:v>2.1868000000000003</x:v>
      </x:c>
      <x:c r="Q261" s="25" t="n">
        <x:f>K261*M261+N261</x:f>
        <x:v>2.8400000000000003</x:v>
      </x:c>
      <x:c r="R261" s="18" t="n">
        <x:f>K261-G261</x:f>
        <x:v>23</x:v>
      </x:c>
      <x:c r="S261" s="18" t="n">
        <x:f>INDEX('Dated offers'!$H$7:$H$305,MATCH($Z261,'Dated offers'!$A$7:$A$305,0))</x:f>
        <x:v>12300</x:v>
      </x:c>
      <x:c r="T261" s="2" t="str">
        <x:f>IF(K261&lt;G261,"Order below requirement",IF(K261&lt;L261,"Below price tier",IF(ISNUMBER(S261),IF(K261&gt;S261,"Quantity exceeds snapshot","Within quantity snapshot"),"Stock not stated")))</x:f>
        <x:v>Within quantity snapshot</x:v>
      </x:c>
      <x:c r="U261" s="2" t="str">
        <x:f>INDEX('Dated offers'!$C$7:$C$305,MATCH($Z261,'Dated offers'!$A$7:$A$305,0))</x:f>
        <x:v>LCSC</x:v>
      </x:c>
      <x:c r="V261" s="2" t="str">
        <x:f>INDEX('Dated offers'!$D$7:$D$305,MATCH($Z261,'Dated offers'!$A$7:$A$305,0))</x:f>
        <x:v>C852913</x:v>
      </x:c>
      <x:c r="W261" s="24" t="n">
        <x:f>INDEX('Dated offers'!$E$7:$E$305,MATCH($Z261,'Dated offers'!$A$7:$A$305,0))</x:f>
        <x:v>46307.44746167824</x:v>
      </x:c>
      <x:c r="X261" s="2" t="b">
        <x:f>INDEX('Dated offers'!$N$7:$N$305,MATCH($Z261,'Dated offers'!$A$7:$A$305,0))</x:f>
        <x:v>0</x:v>
      </x:c>
      <x:c r="Y261" s="2" t="str">
        <x:f>INDEX('Dated offers'!$O$7:$O$305,MATCH($Z261,'Dated offers'!$A$7:$A$305,0))</x:f>
        <x:v>Unreserved inventory snapshot</x:v>
      </x:c>
      <x:c r="Z261" s="17" t="str">
        <x:v>OF0099</x:v>
      </x:c>
      <x:c r="AA261" s="2"/>
      <x:c r="AB261" s="2" t="str">
        <x:f>INDEX('Dated offers'!$Q$7:$Q$305,MATCH($Z261,'Dated offers'!$A$7:$A$305,0))</x:f>
        <x:v>https://www.lcsc.com/product-detail/C852913.html</x:v>
      </x:c>
    </x:row>
    <x:row r="262" ht="24" customHeight="1">
      <x:c r="A262" s="2" t="str">
        <x:v>25 boards / 2% planning</x:v>
      </x:c>
      <x:c r="B262" s="17" t="str">
        <x:v>RT0402BRD0780K6L</x:v>
      </x:c>
      <x:c r="C262" s="18" t="n">
        <x:v>25</x:v>
      </x:c>
      <x:c r="D262" s="27" t="n">
        <x:v>0.02</x:v>
      </x:c>
      <x:c r="E262" s="18" t="n">
        <x:f>INDEX('Assembly BOM'!$C$7:$C$162,MATCH($B262,'Assembly BOM'!$A$7:$A$162,0))</x:f>
        <x:v>2</x:v>
      </x:c>
      <x:c r="F262" s="18" t="n">
        <x:f>C262*E262</x:f>
        <x:v>50</x:v>
      </x:c>
      <x:c r="G262" s="18" t="n">
        <x:f>ROUNDUP(F262*(1+D262),0)</x:f>
        <x:v>51</x:v>
      </x:c>
      <x:c r="H262" s="18" t="n">
        <x:f>INDEX('Dated offers'!$F$7:$F$305,MATCH($Z262,'Dated offers'!$A$7:$A$305,0))</x:f>
        <x:v>1</x:v>
      </x:c>
      <x:c r="I262" s="18" t="n">
        <x:f>INDEX('Dated offers'!$G$7:$G$305,MATCH($Z262,'Dated offers'!$A$7:$A$305,0))</x:f>
        <x:v>1</x:v>
      </x:c>
      <x:c r="J262" s="18" t="n">
        <x:f>CEILING(MAX(G262,H262),I262)</x:f>
        <x:v>51</x:v>
      </x:c>
      <x:c r="K262" s="18" t="n">
        <x:v>51</x:v>
      </x:c>
      <x:c r="L262" s="18" t="n">
        <x:f>INDEX('Dated offers'!$I$7:$I$305,MATCH($Z262,'Dated offers'!$A$7:$A$305,0))</x:f>
        <x:v>50</x:v>
      </x:c>
      <x:c r="M262" s="25" t="n">
        <x:f>INDEX('Dated offers'!$J$7:$J$305,MATCH($Z262,'Dated offers'!$A$7:$A$305,0))</x:f>
        <x:v>0.0734</x:v>
      </x:c>
      <x:c r="N262" s="25" t="n">
        <x:f>INDEX('Dated offers'!$K$7:$K$305,MATCH($Z262,'Dated offers'!$A$7:$A$305,0))</x:f>
        <x:v>0</x:v>
      </x:c>
      <x:c r="O262" s="25" t="n">
        <x:f>F262*M262</x:f>
        <x:v>3.6700000000000004</x:v>
      </x:c>
      <x:c r="P262" s="25" t="n">
        <x:f>G262*M262</x:f>
        <x:v>3.7434000000000003</x:v>
      </x:c>
      <x:c r="Q262" s="25" t="n">
        <x:f>K262*M262+N262</x:f>
        <x:v>3.7434000000000003</x:v>
      </x:c>
      <x:c r="R262" s="18" t="n">
        <x:f>K262-G262</x:f>
        <x:v>0</x:v>
      </x:c>
      <x:c r="S262" s="18" t="n">
        <x:f>INDEX('Dated offers'!$H$7:$H$305,MATCH($Z262,'Dated offers'!$A$7:$A$305,0))</x:f>
        <x:v>6673</x:v>
      </x:c>
      <x:c r="T262" s="2" t="str">
        <x:f>IF(K262&lt;G262,"Order below requirement",IF(K262&lt;L262,"Below price tier",IF(ISNUMBER(S262),IF(K262&gt;S262,"Quantity exceeds snapshot","Within quantity snapshot"),"Stock not stated")))</x:f>
        <x:v>Within quantity snapshot</x:v>
      </x:c>
      <x:c r="U262" s="2" t="str">
        <x:f>INDEX('Dated offers'!$C$7:$C$305,MATCH($Z262,'Dated offers'!$A$7:$A$305,0))</x:f>
        <x:v>DigiKey</x:v>
      </x:c>
      <x:c r="V262" s="2" t="str">
        <x:f>INDEX('Dated offers'!$D$7:$D$305,MATCH($Z262,'Dated offers'!$A$7:$A$305,0))</x:f>
        <x:v>Not stated</x:v>
      </x:c>
      <x:c r="W262" s="24" t="n">
        <x:f>INDEX('Dated offers'!$E$7:$E$305,MATCH($Z262,'Dated offers'!$A$7:$A$305,0))</x:f>
        <x:v>46307.47807269676</x:v>
      </x:c>
      <x:c r="X262" s="2" t="b">
        <x:f>INDEX('Dated offers'!$N$7:$N$305,MATCH($Z262,'Dated offers'!$A$7:$A$305,0))</x:f>
        <x:v>0</x:v>
      </x:c>
      <x:c r="Y262" s="2" t="str">
        <x:f>INDEX('Dated offers'!$O$7:$O$305,MATCH($Z262,'Dated offers'!$A$7:$A$305,0))</x:f>
        <x:v>Unreserved inventory snapshot</x:v>
      </x:c>
      <x:c r="Z262" s="17" t="str">
        <x:v>OF0100</x:v>
      </x:c>
      <x:c r="AA262" s="2"/>
      <x:c r="AB262" s="2" t="str">
        <x:f>INDEX('Dated offers'!$Q$7:$Q$305,MATCH($Z262,'Dated offers'!$A$7:$A$305,0))</x:f>
        <x:v>https://www.digikey.com/en/products/detail/yageo/RT0402BRD0780K6L/1069400</x:v>
      </x:c>
    </x:row>
    <x:row r="263" ht="24" customHeight="1">
      <x:c r="A263" s="2" t="str">
        <x:v>25 boards / 2% planning</x:v>
      </x:c>
      <x:c r="B263" s="17" t="str">
        <x:v>RT0402BRD0782K5L</x:v>
      </x:c>
      <x:c r="C263" s="18" t="n">
        <x:v>25</x:v>
      </x:c>
      <x:c r="D263" s="27" t="n">
        <x:v>0.02</x:v>
      </x:c>
      <x:c r="E263" s="18" t="n">
        <x:f>INDEX('Assembly BOM'!$C$7:$C$162,MATCH($B263,'Assembly BOM'!$A$7:$A$162,0))</x:f>
        <x:v>2</x:v>
      </x:c>
      <x:c r="F263" s="18" t="n">
        <x:f>C263*E263</x:f>
        <x:v>50</x:v>
      </x:c>
      <x:c r="G263" s="18" t="n">
        <x:f>ROUNDUP(F263*(1+D263),0)</x:f>
        <x:v>51</x:v>
      </x:c>
      <x:c r="H263" s="18" t="n">
        <x:f>INDEX('Dated offers'!$F$7:$F$305,MATCH($Z263,'Dated offers'!$A$7:$A$305,0))</x:f>
        <x:v>1</x:v>
      </x:c>
      <x:c r="I263" s="18" t="n">
        <x:f>INDEX('Dated offers'!$G$7:$G$305,MATCH($Z263,'Dated offers'!$A$7:$A$305,0))</x:f>
        <x:v>1</x:v>
      </x:c>
      <x:c r="J263" s="18" t="n">
        <x:f>CEILING(MAX(G263,H263),I263)</x:f>
        <x:v>51</x:v>
      </x:c>
      <x:c r="K263" s="18" t="n">
        <x:v>51</x:v>
      </x:c>
      <x:c r="L263" s="18" t="n">
        <x:f>INDEX('Dated offers'!$I$7:$I$305,MATCH($Z263,'Dated offers'!$A$7:$A$305,0))</x:f>
        <x:v>50</x:v>
      </x:c>
      <x:c r="M263" s="25" t="n">
        <x:f>INDEX('Dated offers'!$J$7:$J$305,MATCH($Z263,'Dated offers'!$A$7:$A$305,0))</x:f>
        <x:v>0.0734</x:v>
      </x:c>
      <x:c r="N263" s="25" t="n">
        <x:f>INDEX('Dated offers'!$K$7:$K$305,MATCH($Z263,'Dated offers'!$A$7:$A$305,0))</x:f>
        <x:v>0</x:v>
      </x:c>
      <x:c r="O263" s="25" t="n">
        <x:f>F263*M263</x:f>
        <x:v>3.6700000000000004</x:v>
      </x:c>
      <x:c r="P263" s="25" t="n">
        <x:f>G263*M263</x:f>
        <x:v>3.7434000000000003</x:v>
      </x:c>
      <x:c r="Q263" s="25" t="n">
        <x:f>K263*M263+N263</x:f>
        <x:v>3.7434000000000003</x:v>
      </x:c>
      <x:c r="R263" s="18" t="n">
        <x:f>K263-G263</x:f>
        <x:v>0</x:v>
      </x:c>
      <x:c r="S263" s="18" t="n">
        <x:f>INDEX('Dated offers'!$H$7:$H$305,MATCH($Z263,'Dated offers'!$A$7:$A$305,0))</x:f>
        <x:v>60091</x:v>
      </x:c>
      <x:c r="T263" s="2" t="str">
        <x:f>IF(K263&lt;G263,"Order below requirement",IF(K263&lt;L263,"Below price tier",IF(ISNUMBER(S263),IF(K263&gt;S263,"Quantity exceeds snapshot","Within quantity snapshot"),"Stock not stated")))</x:f>
        <x:v>Within quantity snapshot</x:v>
      </x:c>
      <x:c r="U263" s="2" t="str">
        <x:f>INDEX('Dated offers'!$C$7:$C$305,MATCH($Z263,'Dated offers'!$A$7:$A$305,0))</x:f>
        <x:v>DigiKey</x:v>
      </x:c>
      <x:c r="V263" s="2" t="str">
        <x:f>INDEX('Dated offers'!$D$7:$D$305,MATCH($Z263,'Dated offers'!$A$7:$A$305,0))</x:f>
        <x:v>Not stated</x:v>
      </x:c>
      <x:c r="W263" s="24" t="n">
        <x:f>INDEX('Dated offers'!$E$7:$E$305,MATCH($Z263,'Dated offers'!$A$7:$A$305,0))</x:f>
        <x:v>46307.47807269676</x:v>
      </x:c>
      <x:c r="X263" s="2" t="b">
        <x:f>INDEX('Dated offers'!$N$7:$N$305,MATCH($Z263,'Dated offers'!$A$7:$A$305,0))</x:f>
        <x:v>0</x:v>
      </x:c>
      <x:c r="Y263" s="2" t="str">
        <x:f>INDEX('Dated offers'!$O$7:$O$305,MATCH($Z263,'Dated offers'!$A$7:$A$305,0))</x:f>
        <x:v>Unreserved inventory snapshot</x:v>
      </x:c>
      <x:c r="Z263" s="17" t="str">
        <x:v>OF0101</x:v>
      </x:c>
      <x:c r="AA263" s="2"/>
      <x:c r="AB263" s="2" t="str">
        <x:f>INDEX('Dated offers'!$Q$7:$Q$305,MATCH($Z263,'Dated offers'!$A$7:$A$305,0))</x:f>
        <x:v>https://www.digikey.com/en/products/detail/yageo/RT0402BRD0782K5L/1069404</x:v>
      </x:c>
    </x:row>
    <x:row r="264" ht="24" customHeight="1">
      <x:c r="A264" s="2" t="str">
        <x:v>25 boards / 2% planning</x:v>
      </x:c>
      <x:c r="B264" s="17" t="str">
        <x:v>RT0603BRD0710KL</x:v>
      </x:c>
      <x:c r="C264" s="18" t="n">
        <x:v>25</x:v>
      </x:c>
      <x:c r="D264" s="27" t="n">
        <x:v>0.02</x:v>
      </x:c>
      <x:c r="E264" s="18" t="n">
        <x:f>INDEX('Assembly BOM'!$C$7:$C$162,MATCH($B264,'Assembly BOM'!$A$7:$A$162,0))</x:f>
        <x:v>3</x:v>
      </x:c>
      <x:c r="F264" s="18" t="n">
        <x:f>C264*E264</x:f>
        <x:v>75</x:v>
      </x:c>
      <x:c r="G264" s="18" t="n">
        <x:f>ROUNDUP(F264*(1+D264),0)</x:f>
        <x:v>77</x:v>
      </x:c>
      <x:c r="H264" s="18" t="n">
        <x:f>INDEX('Dated offers'!$F$7:$F$305,MATCH($Z264,'Dated offers'!$A$7:$A$305,0))</x:f>
        <x:v>1</x:v>
      </x:c>
      <x:c r="I264" s="18" t="n">
        <x:f>INDEX('Dated offers'!$G$7:$G$305,MATCH($Z264,'Dated offers'!$A$7:$A$305,0))</x:f>
        <x:v>1</x:v>
      </x:c>
      <x:c r="J264" s="18" t="n">
        <x:f>CEILING(MAX(G264,H264),I264)</x:f>
        <x:v>77</x:v>
      </x:c>
      <x:c r="K264" s="18" t="n">
        <x:v>77</x:v>
      </x:c>
      <x:c r="L264" s="18" t="n">
        <x:f>INDEX('Dated offers'!$I$7:$I$305,MATCH($Z264,'Dated offers'!$A$7:$A$305,0))</x:f>
        <x:v>50</x:v>
      </x:c>
      <x:c r="M264" s="25" t="n">
        <x:f>INDEX('Dated offers'!$J$7:$J$305,MATCH($Z264,'Dated offers'!$A$7:$A$305,0))</x:f>
        <x:v>0.0614</x:v>
      </x:c>
      <x:c r="N264" s="25" t="n">
        <x:f>INDEX('Dated offers'!$K$7:$K$305,MATCH($Z264,'Dated offers'!$A$7:$A$305,0))</x:f>
        <x:v>0</x:v>
      </x:c>
      <x:c r="O264" s="25" t="n">
        <x:f>F264*M264</x:f>
        <x:v>4.605</x:v>
      </x:c>
      <x:c r="P264" s="25" t="n">
        <x:f>G264*M264</x:f>
        <x:v>4.7278</x:v>
      </x:c>
      <x:c r="Q264" s="25" t="n">
        <x:f>K264*M264+N264</x:f>
        <x:v>4.7278</x:v>
      </x:c>
      <x:c r="R264" s="18" t="n">
        <x:f>K264-G264</x:f>
        <x:v>0</x:v>
      </x:c>
      <x:c r="S264" s="18" t="n">
        <x:f>INDEX('Dated offers'!$H$7:$H$305,MATCH($Z264,'Dated offers'!$A$7:$A$305,0))</x:f>
        <x:v>269413</x:v>
      </x:c>
      <x:c r="T264" s="2" t="str">
        <x:f>IF(K264&lt;G264,"Order below requirement",IF(K264&lt;L264,"Below price tier",IF(ISNUMBER(S264),IF(K264&gt;S264,"Quantity exceeds snapshot","Within quantity snapshot"),"Stock not stated")))</x:f>
        <x:v>Within quantity snapshot</x:v>
      </x:c>
      <x:c r="U264" s="2" t="str">
        <x:f>INDEX('Dated offers'!$C$7:$C$305,MATCH($Z264,'Dated offers'!$A$7:$A$305,0))</x:f>
        <x:v>DigiKey</x:v>
      </x:c>
      <x:c r="V264" s="2" t="str">
        <x:f>INDEX('Dated offers'!$D$7:$D$305,MATCH($Z264,'Dated offers'!$A$7:$A$305,0))</x:f>
        <x:v>Not stated</x:v>
      </x:c>
      <x:c r="W264" s="24" t="n">
        <x:f>INDEX('Dated offers'!$E$7:$E$305,MATCH($Z264,'Dated offers'!$A$7:$A$305,0))</x:f>
        <x:v>46307.47807269676</x:v>
      </x:c>
      <x:c r="X264" s="2" t="b">
        <x:f>INDEX('Dated offers'!$N$7:$N$305,MATCH($Z264,'Dated offers'!$A$7:$A$305,0))</x:f>
        <x:v>0</x:v>
      </x:c>
      <x:c r="Y264" s="2" t="str">
        <x:f>INDEX('Dated offers'!$O$7:$O$305,MATCH($Z264,'Dated offers'!$A$7:$A$305,0))</x:f>
        <x:v>Unreserved inventory snapshot</x:v>
      </x:c>
      <x:c r="Z264" s="17" t="str">
        <x:v>OF0102</x:v>
      </x:c>
      <x:c r="AA264" s="2"/>
      <x:c r="AB264" s="2" t="str">
        <x:f>INDEX('Dated offers'!$Q$7:$Q$305,MATCH($Z264,'Dated offers'!$A$7:$A$305,0))</x:f>
        <x:v>https://www.digikey.com/en/products/detail/yageo/RT0603BRD0710KL/4340589</x:v>
      </x:c>
    </x:row>
    <x:row r="265" ht="24" customHeight="1">
      <x:c r="A265" s="2" t="str">
        <x:v>25 boards / 2% planning</x:v>
      </x:c>
      <x:c r="B265" s="17" t="str">
        <x:v>RT0603BRD07140KL</x:v>
      </x:c>
      <x:c r="C265" s="18" t="n">
        <x:v>25</x:v>
      </x:c>
      <x:c r="D265" s="27" t="n">
        <x:v>0.02</x:v>
      </x:c>
      <x:c r="E265" s="18" t="n">
        <x:f>INDEX('Assembly BOM'!$C$7:$C$162,MATCH($B265,'Assembly BOM'!$A$7:$A$162,0))</x:f>
        <x:v>1</x:v>
      </x:c>
      <x:c r="F265" s="18" t="n">
        <x:f>C265*E265</x:f>
        <x:v>25</x:v>
      </x:c>
      <x:c r="G265" s="18" t="n">
        <x:f>ROUNDUP(F265*(1+D265),0)</x:f>
        <x:v>26</x:v>
      </x:c>
      <x:c r="H265" s="18" t="n">
        <x:f>INDEX('Dated offers'!$F$7:$F$305,MATCH($Z265,'Dated offers'!$A$7:$A$305,0))</x:f>
        <x:v>1</x:v>
      </x:c>
      <x:c r="I265" s="18" t="n">
        <x:f>INDEX('Dated offers'!$G$7:$G$305,MATCH($Z265,'Dated offers'!$A$7:$A$305,0))</x:f>
        <x:v>1</x:v>
      </x:c>
      <x:c r="J265" s="18" t="n">
        <x:f>CEILING(MAX(G265,H265),I265)</x:f>
        <x:v>26</x:v>
      </x:c>
      <x:c r="K265" s="18" t="n">
        <x:v>26</x:v>
      </x:c>
      <x:c r="L265" s="18" t="n">
        <x:f>INDEX('Dated offers'!$I$7:$I$305,MATCH($Z265,'Dated offers'!$A$7:$A$305,0))</x:f>
        <x:v>10</x:v>
      </x:c>
      <x:c r="M265" s="25" t="n">
        <x:f>INDEX('Dated offers'!$J$7:$J$305,MATCH($Z265,'Dated offers'!$A$7:$A$305,0))</x:f>
        <x:v>0.07</x:v>
      </x:c>
      <x:c r="N265" s="25" t="n">
        <x:f>INDEX('Dated offers'!$K$7:$K$305,MATCH($Z265,'Dated offers'!$A$7:$A$305,0))</x:f>
        <x:v>0</x:v>
      </x:c>
      <x:c r="O265" s="25" t="n">
        <x:f>F265*M265</x:f>
        <x:v>1.7500000000000002</x:v>
      </x:c>
      <x:c r="P265" s="25" t="n">
        <x:f>G265*M265</x:f>
        <x:v>1.8200000000000003</x:v>
      </x:c>
      <x:c r="Q265" s="25" t="n">
        <x:f>K265*M265+N265</x:f>
        <x:v>1.8200000000000003</x:v>
      </x:c>
      <x:c r="R265" s="18" t="n">
        <x:f>K265-G265</x:f>
        <x:v>0</x:v>
      </x:c>
      <x:c r="S265" s="18" t="n">
        <x:f>INDEX('Dated offers'!$H$7:$H$305,MATCH($Z265,'Dated offers'!$A$7:$A$305,0))</x:f>
        <x:v>9088</x:v>
      </x:c>
      <x:c r="T265" s="2" t="str">
        <x:f>IF(K265&lt;G265,"Order below requirement",IF(K265&lt;L265,"Below price tier",IF(ISNUMBER(S265),IF(K265&gt;S265,"Quantity exceeds snapshot","Within quantity snapshot"),"Stock not stated")))</x:f>
        <x:v>Within quantity snapshot</x:v>
      </x:c>
      <x:c r="U265" s="2" t="str">
        <x:f>INDEX('Dated offers'!$C$7:$C$305,MATCH($Z265,'Dated offers'!$A$7:$A$305,0))</x:f>
        <x:v>DigiKey</x:v>
      </x:c>
      <x:c r="V265" s="2" t="str">
        <x:f>INDEX('Dated offers'!$D$7:$D$305,MATCH($Z265,'Dated offers'!$A$7:$A$305,0))</x:f>
        <x:v>Not stated</x:v>
      </x:c>
      <x:c r="W265" s="24" t="n">
        <x:f>INDEX('Dated offers'!$E$7:$E$305,MATCH($Z265,'Dated offers'!$A$7:$A$305,0))</x:f>
        <x:v>46307.47807267361</x:v>
      </x:c>
      <x:c r="X265" s="2" t="b">
        <x:f>INDEX('Dated offers'!$N$7:$N$305,MATCH($Z265,'Dated offers'!$A$7:$A$305,0))</x:f>
        <x:v>0</x:v>
      </x:c>
      <x:c r="Y265" s="2" t="str">
        <x:f>INDEX('Dated offers'!$O$7:$O$305,MATCH($Z265,'Dated offers'!$A$7:$A$305,0))</x:f>
        <x:v>Unreserved inventory snapshot</x:v>
      </x:c>
      <x:c r="Z265" s="17" t="str">
        <x:v>OF0103</x:v>
      </x:c>
      <x:c r="AA265" s="2"/>
      <x:c r="AB265" s="2" t="str">
        <x:f>INDEX('Dated offers'!$Q$7:$Q$305,MATCH($Z265,'Dated offers'!$A$7:$A$305,0))</x:f>
        <x:v>https://www.digikey.com/en/products/detail/yageo/RT0603BRD07140KL/1072246</x:v>
      </x:c>
    </x:row>
    <x:row r="266" ht="24" customHeight="1">
      <x:c r="A266" s="2" t="str">
        <x:v>25 boards / 2% planning</x:v>
      </x:c>
      <x:c r="B266" s="17" t="str">
        <x:v>RT0603BRD0727KL</x:v>
      </x:c>
      <x:c r="C266" s="18" t="n">
        <x:v>25</x:v>
      </x:c>
      <x:c r="D266" s="27" t="n">
        <x:v>0.02</x:v>
      </x:c>
      <x:c r="E266" s="18" t="n">
        <x:f>INDEX('Assembly BOM'!$C$7:$C$162,MATCH($B266,'Assembly BOM'!$A$7:$A$162,0))</x:f>
        <x:v>1</x:v>
      </x:c>
      <x:c r="F266" s="18" t="n">
        <x:f>C266*E266</x:f>
        <x:v>25</x:v>
      </x:c>
      <x:c r="G266" s="18" t="n">
        <x:f>ROUNDUP(F266*(1+D266),0)</x:f>
        <x:v>26</x:v>
      </x:c>
      <x:c r="H266" s="18" t="n">
        <x:f>INDEX('Dated offers'!$F$7:$F$305,MATCH($Z266,'Dated offers'!$A$7:$A$305,0))</x:f>
        <x:v>1</x:v>
      </x:c>
      <x:c r="I266" s="18" t="n">
        <x:f>INDEX('Dated offers'!$G$7:$G$305,MATCH($Z266,'Dated offers'!$A$7:$A$305,0))</x:f>
        <x:v>1</x:v>
      </x:c>
      <x:c r="J266" s="18" t="n">
        <x:f>CEILING(MAX(G266,H266),I266)</x:f>
        <x:v>26</x:v>
      </x:c>
      <x:c r="K266" s="18" t="n">
        <x:v>26</x:v>
      </x:c>
      <x:c r="L266" s="18" t="n">
        <x:f>INDEX('Dated offers'!$I$7:$I$305,MATCH($Z266,'Dated offers'!$A$7:$A$305,0))</x:f>
        <x:v>10</x:v>
      </x:c>
      <x:c r="M266" s="25" t="n">
        <x:f>INDEX('Dated offers'!$J$7:$J$305,MATCH($Z266,'Dated offers'!$A$7:$A$305,0))</x:f>
        <x:v>0.07</x:v>
      </x:c>
      <x:c r="N266" s="25" t="n">
        <x:f>INDEX('Dated offers'!$K$7:$K$305,MATCH($Z266,'Dated offers'!$A$7:$A$305,0))</x:f>
        <x:v>0</x:v>
      </x:c>
      <x:c r="O266" s="25" t="n">
        <x:f>F266*M266</x:f>
        <x:v>1.7500000000000002</x:v>
      </x:c>
      <x:c r="P266" s="25" t="n">
        <x:f>G266*M266</x:f>
        <x:v>1.8200000000000003</x:v>
      </x:c>
      <x:c r="Q266" s="25" t="n">
        <x:f>K266*M266+N266</x:f>
        <x:v>1.8200000000000003</x:v>
      </x:c>
      <x:c r="R266" s="18" t="n">
        <x:f>K266-G266</x:f>
        <x:v>0</x:v>
      </x:c>
      <x:c r="S266" s="18" t="n">
        <x:f>INDEX('Dated offers'!$H$7:$H$305,MATCH($Z266,'Dated offers'!$A$7:$A$305,0))</x:f>
        <x:v>17245</x:v>
      </x:c>
      <x:c r="T266" s="2" t="str">
        <x:f>IF(K266&lt;G266,"Order below requirement",IF(K266&lt;L266,"Below price tier",IF(ISNUMBER(S266),IF(K266&gt;S266,"Quantity exceeds snapshot","Within quantity snapshot"),"Stock not stated")))</x:f>
        <x:v>Within quantity snapshot</x:v>
      </x:c>
      <x:c r="U266" s="2" t="str">
        <x:f>INDEX('Dated offers'!$C$7:$C$305,MATCH($Z266,'Dated offers'!$A$7:$A$305,0))</x:f>
        <x:v>DigiKey</x:v>
      </x:c>
      <x:c r="V266" s="2" t="str">
        <x:f>INDEX('Dated offers'!$D$7:$D$305,MATCH($Z266,'Dated offers'!$A$7:$A$305,0))</x:f>
        <x:v>Not stated</x:v>
      </x:c>
      <x:c r="W266" s="24" t="n">
        <x:f>INDEX('Dated offers'!$E$7:$E$305,MATCH($Z266,'Dated offers'!$A$7:$A$305,0))</x:f>
        <x:v>46307.4780725463</x:v>
      </x:c>
      <x:c r="X266" s="2" t="b">
        <x:f>INDEX('Dated offers'!$N$7:$N$305,MATCH($Z266,'Dated offers'!$A$7:$A$305,0))</x:f>
        <x:v>0</x:v>
      </x:c>
      <x:c r="Y266" s="2" t="str">
        <x:f>INDEX('Dated offers'!$O$7:$O$305,MATCH($Z266,'Dated offers'!$A$7:$A$305,0))</x:f>
        <x:v>Unreserved inventory snapshot</x:v>
      </x:c>
      <x:c r="Z266" s="17" t="str">
        <x:v>OF0104</x:v>
      </x:c>
      <x:c r="AA266" s="2"/>
      <x:c r="AB266" s="2" t="str">
        <x:f>INDEX('Dated offers'!$Q$7:$Q$305,MATCH($Z266,'Dated offers'!$A$7:$A$305,0))</x:f>
        <x:v>https://www.digikey.com/en/products/detail/yageo/RT0603BRD0727KL/1072410</x:v>
      </x:c>
    </x:row>
    <x:row r="267" ht="24" customHeight="1">
      <x:c r="A267" s="2" t="str">
        <x:v>25 boards / 2% planning</x:v>
      </x:c>
      <x:c r="B267" s="17" t="str">
        <x:v>RT0603BRD072K26L</x:v>
      </x:c>
      <x:c r="C267" s="18" t="n">
        <x:v>25</x:v>
      </x:c>
      <x:c r="D267" s="27" t="n">
        <x:v>0.02</x:v>
      </x:c>
      <x:c r="E267" s="18" t="n">
        <x:f>INDEX('Assembly BOM'!$C$7:$C$162,MATCH($B267,'Assembly BOM'!$A$7:$A$162,0))</x:f>
        <x:v>1</x:v>
      </x:c>
      <x:c r="F267" s="18" t="n">
        <x:f>C267*E267</x:f>
        <x:v>25</x:v>
      </x:c>
      <x:c r="G267" s="18" t="n">
        <x:f>ROUNDUP(F267*(1+D267),0)</x:f>
        <x:v>26</x:v>
      </x:c>
      <x:c r="H267" s="18" t="n">
        <x:f>INDEX('Dated offers'!$F$7:$F$305,MATCH($Z267,'Dated offers'!$A$7:$A$305,0))</x:f>
        <x:v>1</x:v>
      </x:c>
      <x:c r="I267" s="18" t="n">
        <x:f>INDEX('Dated offers'!$G$7:$G$305,MATCH($Z267,'Dated offers'!$A$7:$A$305,0))</x:f>
        <x:v>1</x:v>
      </x:c>
      <x:c r="J267" s="18" t="n">
        <x:f>CEILING(MAX(G267,H267),I267)</x:f>
        <x:v>26</x:v>
      </x:c>
      <x:c r="K267" s="18" t="n">
        <x:v>26</x:v>
      </x:c>
      <x:c r="L267" s="18" t="n">
        <x:f>INDEX('Dated offers'!$I$7:$I$305,MATCH($Z267,'Dated offers'!$A$7:$A$305,0))</x:f>
        <x:v>10</x:v>
      </x:c>
      <x:c r="M267" s="25" t="n">
        <x:f>INDEX('Dated offers'!$J$7:$J$305,MATCH($Z267,'Dated offers'!$A$7:$A$305,0))</x:f>
        <x:v>0.074</x:v>
      </x:c>
      <x:c r="N267" s="25" t="n">
        <x:f>INDEX('Dated offers'!$K$7:$K$305,MATCH($Z267,'Dated offers'!$A$7:$A$305,0))</x:f>
        <x:v>0</x:v>
      </x:c>
      <x:c r="O267" s="25" t="n">
        <x:f>F267*M267</x:f>
        <x:v>1.8499999999999999</x:v>
      </x:c>
      <x:c r="P267" s="25" t="n">
        <x:f>G267*M267</x:f>
        <x:v>1.924</x:v>
      </x:c>
      <x:c r="Q267" s="25" t="n">
        <x:f>K267*M267+N267</x:f>
        <x:v>1.924</x:v>
      </x:c>
      <x:c r="R267" s="18" t="n">
        <x:f>K267-G267</x:f>
        <x:v>0</x:v>
      </x:c>
      <x:c r="S267" s="18" t="n">
        <x:f>INDEX('Dated offers'!$H$7:$H$305,MATCH($Z267,'Dated offers'!$A$7:$A$305,0))</x:f>
        <x:v>12101</x:v>
      </x:c>
      <x:c r="T267" s="2" t="str">
        <x:f>IF(K267&lt;G267,"Order below requirement",IF(K267&lt;L267,"Below price tier",IF(ISNUMBER(S267),IF(K267&gt;S267,"Quantity exceeds snapshot","Within quantity snapshot"),"Stock not stated")))</x:f>
        <x:v>Within quantity snapshot</x:v>
      </x:c>
      <x:c r="U267" s="2" t="str">
        <x:f>INDEX('Dated offers'!$C$7:$C$305,MATCH($Z267,'Dated offers'!$A$7:$A$305,0))</x:f>
        <x:v>DigiKey</x:v>
      </x:c>
      <x:c r="V267" s="2" t="str">
        <x:f>INDEX('Dated offers'!$D$7:$D$305,MATCH($Z267,'Dated offers'!$A$7:$A$305,0))</x:f>
        <x:v>Not stated</x:v>
      </x:c>
      <x:c r="W267" s="24" t="n">
        <x:f>INDEX('Dated offers'!$E$7:$E$305,MATCH($Z267,'Dated offers'!$A$7:$A$305,0))</x:f>
        <x:v>46307.47807267361</x:v>
      </x:c>
      <x:c r="X267" s="2" t="b">
        <x:f>INDEX('Dated offers'!$N$7:$N$305,MATCH($Z267,'Dated offers'!$A$7:$A$305,0))</x:f>
        <x:v>0</x:v>
      </x:c>
      <x:c r="Y267" s="2" t="str">
        <x:f>INDEX('Dated offers'!$O$7:$O$305,MATCH($Z267,'Dated offers'!$A$7:$A$305,0))</x:f>
        <x:v>Unreserved inventory snapshot</x:v>
      </x:c>
      <x:c r="Z267" s="17" t="str">
        <x:v>OF0105</x:v>
      </x:c>
      <x:c r="AA267" s="2"/>
      <x:c r="AB267" s="2" t="str">
        <x:f>INDEX('Dated offers'!$Q$7:$Q$305,MATCH($Z267,'Dated offers'!$A$7:$A$305,0))</x:f>
        <x:v>https://www.digikey.com/en/products/detail/yageo/RT0603BRD072K26L/5139063</x:v>
      </x:c>
    </x:row>
    <x:row r="268" ht="24" customHeight="1">
      <x:c r="A268" s="2" t="str">
        <x:v>25 boards / 2% planning</x:v>
      </x:c>
      <x:c r="B268" s="17" t="str">
        <x:v>RT0603BRD0732K4L</x:v>
      </x:c>
      <x:c r="C268" s="18" t="n">
        <x:v>25</x:v>
      </x:c>
      <x:c r="D268" s="27" t="n">
        <x:v>0.02</x:v>
      </x:c>
      <x:c r="E268" s="18" t="n">
        <x:f>INDEX('Assembly BOM'!$C$7:$C$162,MATCH($B268,'Assembly BOM'!$A$7:$A$162,0))</x:f>
        <x:v>2</x:v>
      </x:c>
      <x:c r="F268" s="18" t="n">
        <x:f>C268*E268</x:f>
        <x:v>50</x:v>
      </x:c>
      <x:c r="G268" s="18" t="n">
        <x:f>ROUNDUP(F268*(1+D268),0)</x:f>
        <x:v>51</x:v>
      </x:c>
      <x:c r="H268" s="18" t="n">
        <x:f>INDEX('Dated offers'!$F$7:$F$305,MATCH($Z268,'Dated offers'!$A$7:$A$305,0))</x:f>
        <x:v>20</x:v>
      </x:c>
      <x:c r="I268" s="18" t="n">
        <x:f>INDEX('Dated offers'!$G$7:$G$305,MATCH($Z268,'Dated offers'!$A$7:$A$305,0))</x:f>
        <x:v>20</x:v>
      </x:c>
      <x:c r="J268" s="18" t="n">
        <x:f>CEILING(MAX(G268,H268),I268)</x:f>
        <x:v>60</x:v>
      </x:c>
      <x:c r="K268" s="18" t="n">
        <x:v>60</x:v>
      </x:c>
      <x:c r="L268" s="18" t="n">
        <x:f>INDEX('Dated offers'!$I$7:$I$305,MATCH($Z268,'Dated offers'!$A$7:$A$305,0))</x:f>
        <x:v>20</x:v>
      </x:c>
      <x:c r="M268" s="25" t="n">
        <x:f>INDEX('Dated offers'!$J$7:$J$305,MATCH($Z268,'Dated offers'!$A$7:$A$305,0))</x:f>
        <x:v>0.0421</x:v>
      </x:c>
      <x:c r="N268" s="25" t="n">
        <x:f>INDEX('Dated offers'!$K$7:$K$305,MATCH($Z268,'Dated offers'!$A$7:$A$305,0))</x:f>
        <x:v>0</x:v>
      </x:c>
      <x:c r="O268" s="25" t="n">
        <x:f>F268*M268</x:f>
        <x:v>2.105</x:v>
      </x:c>
      <x:c r="P268" s="25" t="n">
        <x:f>G268*M268</x:f>
        <x:v>2.1471</x:v>
      </x:c>
      <x:c r="Q268" s="25" t="n">
        <x:f>K268*M268+N268</x:f>
        <x:v>2.526</x:v>
      </x:c>
      <x:c r="R268" s="18" t="n">
        <x:f>K268-G268</x:f>
        <x:v>9</x:v>
      </x:c>
      <x:c r="S268" s="18" t="n">
        <x:f>INDEX('Dated offers'!$H$7:$H$305,MATCH($Z268,'Dated offers'!$A$7:$A$305,0))</x:f>
        <x:v>18400</x:v>
      </x:c>
      <x:c r="T268" s="2" t="str">
        <x:f>IF(K268&lt;G268,"Order below requirement",IF(K268&lt;L268,"Below price tier",IF(ISNUMBER(S268),IF(K268&gt;S268,"Quantity exceeds snapshot","Within quantity snapshot"),"Stock not stated")))</x:f>
        <x:v>Within quantity snapshot</x:v>
      </x:c>
      <x:c r="U268" s="2" t="str">
        <x:f>INDEX('Dated offers'!$C$7:$C$305,MATCH($Z268,'Dated offers'!$A$7:$A$305,0))</x:f>
        <x:v>LCSC</x:v>
      </x:c>
      <x:c r="V268" s="2" t="str">
        <x:f>INDEX('Dated offers'!$D$7:$D$305,MATCH($Z268,'Dated offers'!$A$7:$A$305,0))</x:f>
        <x:v>C861323</x:v>
      </x:c>
      <x:c r="W268" s="24" t="n">
        <x:f>INDEX('Dated offers'!$E$7:$E$305,MATCH($Z268,'Dated offers'!$A$7:$A$305,0))</x:f>
        <x:v>46307.44746376157</x:v>
      </x:c>
      <x:c r="X268" s="2" t="b">
        <x:f>INDEX('Dated offers'!$N$7:$N$305,MATCH($Z268,'Dated offers'!$A$7:$A$305,0))</x:f>
        <x:v>0</x:v>
      </x:c>
      <x:c r="Y268" s="2" t="str">
        <x:f>INDEX('Dated offers'!$O$7:$O$305,MATCH($Z268,'Dated offers'!$A$7:$A$305,0))</x:f>
        <x:v>Unreserved inventory snapshot</x:v>
      </x:c>
      <x:c r="Z268" s="17" t="str">
        <x:v>OF0106</x:v>
      </x:c>
      <x:c r="AA268" s="2"/>
      <x:c r="AB268" s="2" t="str">
        <x:f>INDEX('Dated offers'!$Q$7:$Q$305,MATCH($Z268,'Dated offers'!$A$7:$A$305,0))</x:f>
        <x:v>https://www.lcsc.com/product-detail/C861323.html</x:v>
      </x:c>
    </x:row>
    <x:row r="269" ht="24" customHeight="1">
      <x:c r="A269" s="2" t="str">
        <x:v>25 boards / 2% planning</x:v>
      </x:c>
      <x:c r="B269" s="17" t="str">
        <x:v>RT0603BRD074K99L</x:v>
      </x:c>
      <x:c r="C269" s="18" t="n">
        <x:v>25</x:v>
      </x:c>
      <x:c r="D269" s="27" t="n">
        <x:v>0.02</x:v>
      </x:c>
      <x:c r="E269" s="18" t="n">
        <x:f>INDEX('Assembly BOM'!$C$7:$C$162,MATCH($B269,'Assembly BOM'!$A$7:$A$162,0))</x:f>
        <x:v>1</x:v>
      </x:c>
      <x:c r="F269" s="18" t="n">
        <x:f>C269*E269</x:f>
        <x:v>25</x:v>
      </x:c>
      <x:c r="G269" s="18" t="n">
        <x:f>ROUNDUP(F269*(1+D269),0)</x:f>
        <x:v>26</x:v>
      </x:c>
      <x:c r="H269" s="18" t="n">
        <x:f>INDEX('Dated offers'!$F$7:$F$305,MATCH($Z269,'Dated offers'!$A$7:$A$305,0))</x:f>
        <x:v>1</x:v>
      </x:c>
      <x:c r="I269" s="18" t="n">
        <x:f>INDEX('Dated offers'!$G$7:$G$305,MATCH($Z269,'Dated offers'!$A$7:$A$305,0))</x:f>
        <x:v>1</x:v>
      </x:c>
      <x:c r="J269" s="18" t="n">
        <x:f>CEILING(MAX(G269,H269),I269)</x:f>
        <x:v>26</x:v>
      </x:c>
      <x:c r="K269" s="18" t="n">
        <x:v>26</x:v>
      </x:c>
      <x:c r="L269" s="18" t="n">
        <x:f>INDEX('Dated offers'!$I$7:$I$305,MATCH($Z269,'Dated offers'!$A$7:$A$305,0))</x:f>
        <x:v>10</x:v>
      </x:c>
      <x:c r="M269" s="25" t="n">
        <x:f>INDEX('Dated offers'!$J$7:$J$305,MATCH($Z269,'Dated offers'!$A$7:$A$305,0))</x:f>
        <x:v>0.07</x:v>
      </x:c>
      <x:c r="N269" s="25" t="n">
        <x:f>INDEX('Dated offers'!$K$7:$K$305,MATCH($Z269,'Dated offers'!$A$7:$A$305,0))</x:f>
        <x:v>0</x:v>
      </x:c>
      <x:c r="O269" s="25" t="n">
        <x:f>F269*M269</x:f>
        <x:v>1.7500000000000002</x:v>
      </x:c>
      <x:c r="P269" s="25" t="n">
        <x:f>G269*M269</x:f>
        <x:v>1.8200000000000003</x:v>
      </x:c>
      <x:c r="Q269" s="25" t="n">
        <x:f>K269*M269+N269</x:f>
        <x:v>1.8200000000000003</x:v>
      </x:c>
      <x:c r="R269" s="18" t="n">
        <x:f>K269-G269</x:f>
        <x:v>0</x:v>
      </x:c>
      <x:c r="S269" s="18" t="n">
        <x:f>INDEX('Dated offers'!$H$7:$H$305,MATCH($Z269,'Dated offers'!$A$7:$A$305,0))</x:f>
        <x:v>42019</x:v>
      </x:c>
      <x:c r="T269" s="2" t="str">
        <x:f>IF(K269&lt;G269,"Order below requirement",IF(K269&lt;L269,"Below price tier",IF(ISNUMBER(S269),IF(K269&gt;S269,"Quantity exceeds snapshot","Within quantity snapshot"),"Stock not stated")))</x:f>
        <x:v>Within quantity snapshot</x:v>
      </x:c>
      <x:c r="U269" s="2" t="str">
        <x:f>INDEX('Dated offers'!$C$7:$C$305,MATCH($Z269,'Dated offers'!$A$7:$A$305,0))</x:f>
        <x:v>DigiKey</x:v>
      </x:c>
      <x:c r="V269" s="2" t="str">
        <x:f>INDEX('Dated offers'!$D$7:$D$305,MATCH($Z269,'Dated offers'!$A$7:$A$305,0))</x:f>
        <x:v>Not stated</x:v>
      </x:c>
      <x:c r="W269" s="24" t="n">
        <x:f>INDEX('Dated offers'!$E$7:$E$305,MATCH($Z269,'Dated offers'!$A$7:$A$305,0))</x:f>
        <x:v>46307.47807267361</x:v>
      </x:c>
      <x:c r="X269" s="2" t="b">
        <x:f>INDEX('Dated offers'!$N$7:$N$305,MATCH($Z269,'Dated offers'!$A$7:$A$305,0))</x:f>
        <x:v>0</x:v>
      </x:c>
      <x:c r="Y269" s="2" t="str">
        <x:f>INDEX('Dated offers'!$O$7:$O$305,MATCH($Z269,'Dated offers'!$A$7:$A$305,0))</x:f>
        <x:v>Unreserved inventory snapshot</x:v>
      </x:c>
      <x:c r="Z269" s="17" t="str">
        <x:v>OF0107</x:v>
      </x:c>
      <x:c r="AA269" s="2"/>
      <x:c r="AB269" s="2" t="str">
        <x:f>INDEX('Dated offers'!$Q$7:$Q$305,MATCH($Z269,'Dated offers'!$A$7:$A$305,0))</x:f>
        <x:v>https://www.digikey.com/en/products/detail/yageo/RT0603BRD074K99L/1072563</x:v>
      </x:c>
    </x:row>
    <x:row r="270" ht="24" customHeight="1">
      <x:c r="A270" s="2" t="str">
        <x:v>25 boards / 2% planning</x:v>
      </x:c>
      <x:c r="B270" s="17" t="str">
        <x:v>RT0603BRD0768KL</x:v>
      </x:c>
      <x:c r="C270" s="18" t="n">
        <x:v>25</x:v>
      </x:c>
      <x:c r="D270" s="27" t="n">
        <x:v>0.02</x:v>
      </x:c>
      <x:c r="E270" s="18" t="n">
        <x:f>INDEX('Assembly BOM'!$C$7:$C$162,MATCH($B270,'Assembly BOM'!$A$7:$A$162,0))</x:f>
        <x:v>1</x:v>
      </x:c>
      <x:c r="F270" s="18" t="n">
        <x:f>C270*E270</x:f>
        <x:v>25</x:v>
      </x:c>
      <x:c r="G270" s="18" t="n">
        <x:f>ROUNDUP(F270*(1+D270),0)</x:f>
        <x:v>26</x:v>
      </x:c>
      <x:c r="H270" s="18" t="n">
        <x:f>INDEX('Dated offers'!$F$7:$F$305,MATCH($Z270,'Dated offers'!$A$7:$A$305,0))</x:f>
        <x:v>1</x:v>
      </x:c>
      <x:c r="I270" s="18" t="n">
        <x:f>INDEX('Dated offers'!$G$7:$G$305,MATCH($Z270,'Dated offers'!$A$7:$A$305,0))</x:f>
        <x:v>1</x:v>
      </x:c>
      <x:c r="J270" s="18" t="n">
        <x:f>CEILING(MAX(G270,H270),I270)</x:f>
        <x:v>26</x:v>
      </x:c>
      <x:c r="K270" s="18" t="n">
        <x:v>26</x:v>
      </x:c>
      <x:c r="L270" s="18" t="n">
        <x:f>INDEX('Dated offers'!$I$7:$I$305,MATCH($Z270,'Dated offers'!$A$7:$A$305,0))</x:f>
        <x:v>10</x:v>
      </x:c>
      <x:c r="M270" s="25" t="n">
        <x:f>INDEX('Dated offers'!$J$7:$J$305,MATCH($Z270,'Dated offers'!$A$7:$A$305,0))</x:f>
        <x:v>0.074</x:v>
      </x:c>
      <x:c r="N270" s="25" t="n">
        <x:f>INDEX('Dated offers'!$K$7:$K$305,MATCH($Z270,'Dated offers'!$A$7:$A$305,0))</x:f>
        <x:v>0</x:v>
      </x:c>
      <x:c r="O270" s="25" t="n">
        <x:f>F270*M270</x:f>
        <x:v>1.8499999999999999</x:v>
      </x:c>
      <x:c r="P270" s="25" t="n">
        <x:f>G270*M270</x:f>
        <x:v>1.924</x:v>
      </x:c>
      <x:c r="Q270" s="25" t="n">
        <x:f>K270*M270+N270</x:f>
        <x:v>1.924</x:v>
      </x:c>
      <x:c r="R270" s="18" t="n">
        <x:f>K270-G270</x:f>
        <x:v>0</x:v>
      </x:c>
      <x:c r="S270" s="18" t="n">
        <x:f>INDEX('Dated offers'!$H$7:$H$305,MATCH($Z270,'Dated offers'!$A$7:$A$305,0))</x:f>
        <x:v>21008</x:v>
      </x:c>
      <x:c r="T270" s="2" t="str">
        <x:f>IF(K270&lt;G270,"Order below requirement",IF(K270&lt;L270,"Below price tier",IF(ISNUMBER(S270),IF(K270&gt;S270,"Quantity exceeds snapshot","Within quantity snapshot"),"Stock not stated")))</x:f>
        <x:v>Within quantity snapshot</x:v>
      </x:c>
      <x:c r="U270" s="2" t="str">
        <x:f>INDEX('Dated offers'!$C$7:$C$305,MATCH($Z270,'Dated offers'!$A$7:$A$305,0))</x:f>
        <x:v>DigiKey</x:v>
      </x:c>
      <x:c r="V270" s="2" t="str">
        <x:f>INDEX('Dated offers'!$D$7:$D$305,MATCH($Z270,'Dated offers'!$A$7:$A$305,0))</x:f>
        <x:v>Not stated</x:v>
      </x:c>
      <x:c r="W270" s="24" t="n">
        <x:f>INDEX('Dated offers'!$E$7:$E$305,MATCH($Z270,'Dated offers'!$A$7:$A$305,0))</x:f>
        <x:v>46307.4780725463</x:v>
      </x:c>
      <x:c r="X270" s="2" t="b">
        <x:f>INDEX('Dated offers'!$N$7:$N$305,MATCH($Z270,'Dated offers'!$A$7:$A$305,0))</x:f>
        <x:v>0</x:v>
      </x:c>
      <x:c r="Y270" s="2" t="str">
        <x:f>INDEX('Dated offers'!$O$7:$O$305,MATCH($Z270,'Dated offers'!$A$7:$A$305,0))</x:f>
        <x:v>Unreserved inventory snapshot</x:v>
      </x:c>
      <x:c r="Z270" s="17" t="str">
        <x:v>OF0108</x:v>
      </x:c>
      <x:c r="AA270" s="2"/>
      <x:c r="AB270" s="2" t="str">
        <x:f>INDEX('Dated offers'!$Q$7:$Q$305,MATCH($Z270,'Dated offers'!$A$7:$A$305,0))</x:f>
        <x:v>https://www.digikey.com/en/products/detail/yageo/RT0603BRD0768KL/6616742</x:v>
      </x:c>
    </x:row>
    <x:row r="271" ht="24" customHeight="1">
      <x:c r="A271" s="2" t="str">
        <x:v>25 boards / 2% planning</x:v>
      </x:c>
      <x:c r="B271" s="17" t="str">
        <x:v>RT0603BRD0793K1L</x:v>
      </x:c>
      <x:c r="C271" s="18" t="n">
        <x:v>25</x:v>
      </x:c>
      <x:c r="D271" s="27" t="n">
        <x:v>0.02</x:v>
      </x:c>
      <x:c r="E271" s="18" t="n">
        <x:f>INDEX('Assembly BOM'!$C$7:$C$162,MATCH($B271,'Assembly BOM'!$A$7:$A$162,0))</x:f>
        <x:v>1</x:v>
      </x:c>
      <x:c r="F271" s="18" t="n">
        <x:f>C271*E271</x:f>
        <x:v>25</x:v>
      </x:c>
      <x:c r="G271" s="18" t="n">
        <x:f>ROUNDUP(F271*(1+D271),0)</x:f>
        <x:v>26</x:v>
      </x:c>
      <x:c r="H271" s="18" t="n">
        <x:f>INDEX('Dated offers'!$F$7:$F$305,MATCH($Z271,'Dated offers'!$A$7:$A$305,0))</x:f>
        <x:v>1</x:v>
      </x:c>
      <x:c r="I271" s="18" t="n">
        <x:f>INDEX('Dated offers'!$G$7:$G$305,MATCH($Z271,'Dated offers'!$A$7:$A$305,0))</x:f>
        <x:v>1</x:v>
      </x:c>
      <x:c r="J271" s="18" t="n">
        <x:f>CEILING(MAX(G271,H271),I271)</x:f>
        <x:v>26</x:v>
      </x:c>
      <x:c r="K271" s="18" t="n">
        <x:v>26</x:v>
      </x:c>
      <x:c r="L271" s="18" t="n">
        <x:f>INDEX('Dated offers'!$I$7:$I$305,MATCH($Z271,'Dated offers'!$A$7:$A$305,0))</x:f>
        <x:v>10</x:v>
      </x:c>
      <x:c r="M271" s="25" t="n">
        <x:f>INDEX('Dated offers'!$J$7:$J$305,MATCH($Z271,'Dated offers'!$A$7:$A$305,0))</x:f>
        <x:v>0.074</x:v>
      </x:c>
      <x:c r="N271" s="25" t="n">
        <x:f>INDEX('Dated offers'!$K$7:$K$305,MATCH($Z271,'Dated offers'!$A$7:$A$305,0))</x:f>
        <x:v>0</x:v>
      </x:c>
      <x:c r="O271" s="25" t="n">
        <x:f>F271*M271</x:f>
        <x:v>1.8499999999999999</x:v>
      </x:c>
      <x:c r="P271" s="25" t="n">
        <x:f>G271*M271</x:f>
        <x:v>1.924</x:v>
      </x:c>
      <x:c r="Q271" s="25" t="n">
        <x:f>K271*M271+N271</x:f>
        <x:v>1.924</x:v>
      </x:c>
      <x:c r="R271" s="18" t="n">
        <x:f>K271-G271</x:f>
        <x:v>0</x:v>
      </x:c>
      <x:c r="S271" s="18" t="n">
        <x:f>INDEX('Dated offers'!$H$7:$H$305,MATCH($Z271,'Dated offers'!$A$7:$A$305,0))</x:f>
        <x:v>66948</x:v>
      </x:c>
      <x:c r="T271" s="2" t="str">
        <x:f>IF(K271&lt;G271,"Order below requirement",IF(K271&lt;L271,"Below price tier",IF(ISNUMBER(S271),IF(K271&gt;S271,"Quantity exceeds snapshot","Within quantity snapshot"),"Stock not stated")))</x:f>
        <x:v>Within quantity snapshot</x:v>
      </x:c>
      <x:c r="U271" s="2" t="str">
        <x:f>INDEX('Dated offers'!$C$7:$C$305,MATCH($Z271,'Dated offers'!$A$7:$A$305,0))</x:f>
        <x:v>DigiKey</x:v>
      </x:c>
      <x:c r="V271" s="2" t="str">
        <x:f>INDEX('Dated offers'!$D$7:$D$305,MATCH($Z271,'Dated offers'!$A$7:$A$305,0))</x:f>
        <x:v>Not stated</x:v>
      </x:c>
      <x:c r="W271" s="24" t="n">
        <x:f>INDEX('Dated offers'!$E$7:$E$305,MATCH($Z271,'Dated offers'!$A$7:$A$305,0))</x:f>
        <x:v>46307.47807267361</x:v>
      </x:c>
      <x:c r="X271" s="2" t="b">
        <x:f>INDEX('Dated offers'!$N$7:$N$305,MATCH($Z271,'Dated offers'!$A$7:$A$305,0))</x:f>
        <x:v>0</x:v>
      </x:c>
      <x:c r="Y271" s="2" t="str">
        <x:f>INDEX('Dated offers'!$O$7:$O$305,MATCH($Z271,'Dated offers'!$A$7:$A$305,0))</x:f>
        <x:v>Unreserved inventory snapshot</x:v>
      </x:c>
      <x:c r="Z271" s="17" t="str">
        <x:v>OF0109</x:v>
      </x:c>
      <x:c r="AA271" s="2"/>
      <x:c r="AB271" s="2" t="str">
        <x:f>INDEX('Dated offers'!$Q$7:$Q$305,MATCH($Z271,'Dated offers'!$A$7:$A$305,0))</x:f>
        <x:v>https://www.digikey.com/en/products/detail/yageo/RT0603BRD0793K1L/5139200</x:v>
      </x:c>
    </x:row>
    <x:row r="272" ht="24" customHeight="1">
      <x:c r="A272" s="2" t="str">
        <x:v>25 boards / 2% planning</x:v>
      </x:c>
      <x:c r="B272" s="17" t="str">
        <x:v>RT0603BRD07953RL</x:v>
      </x:c>
      <x:c r="C272" s="18" t="n">
        <x:v>25</x:v>
      </x:c>
      <x:c r="D272" s="27" t="n">
        <x:v>0.02</x:v>
      </x:c>
      <x:c r="E272" s="18" t="n">
        <x:f>INDEX('Assembly BOM'!$C$7:$C$162,MATCH($B272,'Assembly BOM'!$A$7:$A$162,0))</x:f>
        <x:v>2</x:v>
      </x:c>
      <x:c r="F272" s="18" t="n">
        <x:f>C272*E272</x:f>
        <x:v>50</x:v>
      </x:c>
      <x:c r="G272" s="18" t="n">
        <x:f>ROUNDUP(F272*(1+D272),0)</x:f>
        <x:v>51</x:v>
      </x:c>
      <x:c r="H272" s="18" t="n">
        <x:f>INDEX('Dated offers'!$F$7:$F$305,MATCH($Z272,'Dated offers'!$A$7:$A$305,0))</x:f>
        <x:v>1</x:v>
      </x:c>
      <x:c r="I272" s="18" t="n">
        <x:f>INDEX('Dated offers'!$G$7:$G$305,MATCH($Z272,'Dated offers'!$A$7:$A$305,0))</x:f>
        <x:v>1</x:v>
      </x:c>
      <x:c r="J272" s="18" t="n">
        <x:f>CEILING(MAX(G272,H272),I272)</x:f>
        <x:v>51</x:v>
      </x:c>
      <x:c r="K272" s="18" t="n">
        <x:v>51</x:v>
      </x:c>
      <x:c r="L272" s="18" t="n">
        <x:f>INDEX('Dated offers'!$I$7:$I$305,MATCH($Z272,'Dated offers'!$A$7:$A$305,0))</x:f>
        <x:v>50</x:v>
      </x:c>
      <x:c r="M272" s="25" t="n">
        <x:f>INDEX('Dated offers'!$J$7:$J$305,MATCH($Z272,'Dated offers'!$A$7:$A$305,0))</x:f>
        <x:v>0.0614</x:v>
      </x:c>
      <x:c r="N272" s="25" t="n">
        <x:f>INDEX('Dated offers'!$K$7:$K$305,MATCH($Z272,'Dated offers'!$A$7:$A$305,0))</x:f>
        <x:v>0</x:v>
      </x:c>
      <x:c r="O272" s="25" t="n">
        <x:f>F272*M272</x:f>
        <x:v>3.0700000000000003</x:v>
      </x:c>
      <x:c r="P272" s="25" t="n">
        <x:f>G272*M272</x:f>
        <x:v>3.1314</x:v>
      </x:c>
      <x:c r="Q272" s="25" t="n">
        <x:f>K272*M272+N272</x:f>
        <x:v>3.1314</x:v>
      </x:c>
      <x:c r="R272" s="18" t="n">
        <x:f>K272-G272</x:f>
        <x:v>0</x:v>
      </x:c>
      <x:c r="S272" s="18" t="n">
        <x:f>INDEX('Dated offers'!$H$7:$H$305,MATCH($Z272,'Dated offers'!$A$7:$A$305,0))</x:f>
        <x:v>5255</x:v>
      </x:c>
      <x:c r="T272" s="2" t="str">
        <x:f>IF(K272&lt;G272,"Order below requirement",IF(K272&lt;L272,"Below price tier",IF(ISNUMBER(S272),IF(K272&gt;S272,"Quantity exceeds snapshot","Within quantity snapshot"),"Stock not stated")))</x:f>
        <x:v>Within quantity snapshot</x:v>
      </x:c>
      <x:c r="U272" s="2" t="str">
        <x:f>INDEX('Dated offers'!$C$7:$C$305,MATCH($Z272,'Dated offers'!$A$7:$A$305,0))</x:f>
        <x:v>DigiKey</x:v>
      </x:c>
      <x:c r="V272" s="2" t="str">
        <x:f>INDEX('Dated offers'!$D$7:$D$305,MATCH($Z272,'Dated offers'!$A$7:$A$305,0))</x:f>
        <x:v>Not stated</x:v>
      </x:c>
      <x:c r="W272" s="24" t="n">
        <x:f>INDEX('Dated offers'!$E$7:$E$305,MATCH($Z272,'Dated offers'!$A$7:$A$305,0))</x:f>
        <x:v>46307.47807256944</x:v>
      </x:c>
      <x:c r="X272" s="2" t="b">
        <x:f>INDEX('Dated offers'!$N$7:$N$305,MATCH($Z272,'Dated offers'!$A$7:$A$305,0))</x:f>
        <x:v>0</x:v>
      </x:c>
      <x:c r="Y272" s="2" t="str">
        <x:f>INDEX('Dated offers'!$O$7:$O$305,MATCH($Z272,'Dated offers'!$A$7:$A$305,0))</x:f>
        <x:v>Unreserved inventory snapshot</x:v>
      </x:c>
      <x:c r="Z272" s="17" t="str">
        <x:v>OF0110</x:v>
      </x:c>
      <x:c r="AA272" s="2"/>
      <x:c r="AB272" s="2" t="str">
        <x:f>INDEX('Dated offers'!$Q$7:$Q$305,MATCH($Z272,'Dated offers'!$A$7:$A$305,0))</x:f>
        <x:v>https://www.digikey.com/en/products/detail/yageo/RT0603BRD07953RL/1072685</x:v>
      </x:c>
    </x:row>
    <x:row r="273" ht="24" customHeight="1">
      <x:c r="A273" s="2" t="str">
        <x:v>25 boards / 2% planning</x:v>
      </x:c>
      <x:c r="B273" s="17" t="str">
        <x:v>RTL8125BG-CG</x:v>
      </x:c>
      <x:c r="C273" s="18" t="n">
        <x:v>25</x:v>
      </x:c>
      <x:c r="D273" s="27" t="n">
        <x:v>0.02</x:v>
      </x:c>
      <x:c r="E273" s="18" t="n">
        <x:f>INDEX('Assembly BOM'!$C$7:$C$162,MATCH($B273,'Assembly BOM'!$A$7:$A$162,0))</x:f>
        <x:v>1</x:v>
      </x:c>
      <x:c r="F273" s="18" t="n">
        <x:f>C273*E273</x:f>
        <x:v>25</x:v>
      </x:c>
      <x:c r="G273" s="18" t="n">
        <x:f>ROUNDUP(F273*(1+D273),0)</x:f>
        <x:v>26</x:v>
      </x:c>
      <x:c r="H273" s="18" t="n">
        <x:f>INDEX('Dated offers'!$F$7:$F$305,MATCH($Z273,'Dated offers'!$A$7:$A$305,0))</x:f>
        <x:v>1</x:v>
      </x:c>
      <x:c r="I273" s="18" t="n">
        <x:f>INDEX('Dated offers'!$G$7:$G$305,MATCH($Z273,'Dated offers'!$A$7:$A$305,0))</x:f>
        <x:v>1</x:v>
      </x:c>
      <x:c r="J273" s="18" t="n">
        <x:f>CEILING(MAX(G273,H273),I273)</x:f>
        <x:v>26</x:v>
      </x:c>
      <x:c r="K273" s="18" t="n">
        <x:v>26</x:v>
      </x:c>
      <x:c r="L273" s="18" t="n">
        <x:f>INDEX('Dated offers'!$I$7:$I$305,MATCH($Z273,'Dated offers'!$A$7:$A$305,0))</x:f>
        <x:v>10</x:v>
      </x:c>
      <x:c r="M273" s="25" t="n">
        <x:f>INDEX('Dated offers'!$J$7:$J$305,MATCH($Z273,'Dated offers'!$A$7:$A$305,0))</x:f>
        <x:v>3.7323</x:v>
      </x:c>
      <x:c r="N273" s="25" t="n">
        <x:f>INDEX('Dated offers'!$K$7:$K$305,MATCH($Z273,'Dated offers'!$A$7:$A$305,0))</x:f>
        <x:v>0</x:v>
      </x:c>
      <x:c r="O273" s="25" t="n">
        <x:f>F273*M273</x:f>
        <x:v>93.3075</x:v>
      </x:c>
      <x:c r="P273" s="25" t="n">
        <x:f>G273*M273</x:f>
        <x:v>97.0398</x:v>
      </x:c>
      <x:c r="Q273" s="25" t="n">
        <x:f>K273*M273+N273</x:f>
        <x:v>97.0398</x:v>
      </x:c>
      <x:c r="R273" s="18" t="n">
        <x:f>K273-G273</x:f>
        <x:v>0</x:v>
      </x:c>
      <x:c r="S273" s="18" t="n">
        <x:f>INDEX('Dated offers'!$H$7:$H$305,MATCH($Z273,'Dated offers'!$A$7:$A$305,0))</x:f>
        <x:v>310</x:v>
      </x:c>
      <x:c r="T273" s="2" t="str">
        <x:f>IF(K273&lt;G273,"Order below requirement",IF(K273&lt;L273,"Below price tier",IF(ISNUMBER(S273),IF(K273&gt;S273,"Quantity exceeds snapshot","Within quantity snapshot"),"Stock not stated")))</x:f>
        <x:v>Within quantity snapshot</x:v>
      </x:c>
      <x:c r="U273" s="2" t="str">
        <x:f>INDEX('Dated offers'!$C$7:$C$305,MATCH($Z273,'Dated offers'!$A$7:$A$305,0))</x:f>
        <x:v>LCSC</x:v>
      </x:c>
      <x:c r="V273" s="2" t="str">
        <x:f>INDEX('Dated offers'!$D$7:$D$305,MATCH($Z273,'Dated offers'!$A$7:$A$305,0))</x:f>
        <x:v>C3013605</x:v>
      </x:c>
      <x:c r="W273" s="24" t="n">
        <x:f>INDEX('Dated offers'!$E$7:$E$305,MATCH($Z273,'Dated offers'!$A$7:$A$305,0))</x:f>
        <x:v>46307.447465219906</x:v>
      </x:c>
      <x:c r="X273" s="2" t="b">
        <x:f>INDEX('Dated offers'!$N$7:$N$305,MATCH($Z273,'Dated offers'!$A$7:$A$305,0))</x:f>
        <x:v>0</x:v>
      </x:c>
      <x:c r="Y273" s="2" t="str">
        <x:f>INDEX('Dated offers'!$O$7:$O$305,MATCH($Z273,'Dated offers'!$A$7:$A$305,0))</x:f>
        <x:v>Unreserved inventory snapshot</x:v>
      </x:c>
      <x:c r="Z273" s="17" t="str">
        <x:v>OF0111</x:v>
      </x:c>
      <x:c r="AA273" s="2"/>
      <x:c r="AB273" s="2" t="str">
        <x:f>INDEX('Dated offers'!$Q$7:$Q$305,MATCH($Z273,'Dated offers'!$A$7:$A$305,0))</x:f>
        <x:v>https://www.lcsc.com/product-detail/C3013605.html</x:v>
      </x:c>
    </x:row>
    <x:row r="274" ht="24" customHeight="1">
      <x:c r="A274" s="2" t="str">
        <x:v>25 boards / 2% planning</x:v>
      </x:c>
      <x:c r="B274" s="17" t="str">
        <x:v>S1B-13-F</x:v>
      </x:c>
      <x:c r="C274" s="18" t="n">
        <x:v>25</x:v>
      </x:c>
      <x:c r="D274" s="27" t="n">
        <x:v>0.02</x:v>
      </x:c>
      <x:c r="E274" s="18" t="n">
        <x:f>INDEX('Assembly BOM'!$C$7:$C$162,MATCH($B274,'Assembly BOM'!$A$7:$A$162,0))</x:f>
        <x:v>1</x:v>
      </x:c>
      <x:c r="F274" s="18" t="n">
        <x:f>C274*E274</x:f>
        <x:v>25</x:v>
      </x:c>
      <x:c r="G274" s="18" t="n">
        <x:f>ROUNDUP(F274*(1+D274),0)</x:f>
        <x:v>26</x:v>
      </x:c>
      <x:c r="H274" s="18" t="n">
        <x:f>INDEX('Dated offers'!$F$7:$F$305,MATCH($Z274,'Dated offers'!$A$7:$A$305,0))</x:f>
        <x:v>1</x:v>
      </x:c>
      <x:c r="I274" s="18" t="n">
        <x:f>INDEX('Dated offers'!$G$7:$G$305,MATCH($Z274,'Dated offers'!$A$7:$A$305,0))</x:f>
        <x:v>1</x:v>
      </x:c>
      <x:c r="J274" s="18" t="n">
        <x:f>CEILING(MAX(G274,H274),I274)</x:f>
        <x:v>26</x:v>
      </x:c>
      <x:c r="K274" s="18" t="n">
        <x:v>26</x:v>
      </x:c>
      <x:c r="L274" s="18" t="n">
        <x:f>INDEX('Dated offers'!$I$7:$I$305,MATCH($Z274,'Dated offers'!$A$7:$A$305,0))</x:f>
        <x:v>25</x:v>
      </x:c>
      <x:c r="M274" s="25" t="n">
        <x:f>INDEX('Dated offers'!$J$7:$J$305,MATCH($Z274,'Dated offers'!$A$7:$A$305,0))</x:f>
        <x:v>0.1336</x:v>
      </x:c>
      <x:c r="N274" s="25" t="n">
        <x:f>INDEX('Dated offers'!$K$7:$K$305,MATCH($Z274,'Dated offers'!$A$7:$A$305,0))</x:f>
        <x:v>0</x:v>
      </x:c>
      <x:c r="O274" s="25" t="n">
        <x:f>F274*M274</x:f>
        <x:v>3.34</x:v>
      </x:c>
      <x:c r="P274" s="25" t="n">
        <x:f>G274*M274</x:f>
        <x:v>3.4736</x:v>
      </x:c>
      <x:c r="Q274" s="25" t="n">
        <x:f>K274*M274+N274</x:f>
        <x:v>3.4736</x:v>
      </x:c>
      <x:c r="R274" s="18" t="n">
        <x:f>K274-G274</x:f>
        <x:v>0</x:v>
      </x:c>
      <x:c r="S274" s="18" t="n">
        <x:f>INDEX('Dated offers'!$H$7:$H$305,MATCH($Z274,'Dated offers'!$A$7:$A$305,0))</x:f>
        <x:v>716497</x:v>
      </x:c>
      <x:c r="T274" s="2" t="str">
        <x:f>IF(K274&lt;G274,"Order below requirement",IF(K274&lt;L274,"Below price tier",IF(ISNUMBER(S274),IF(K274&gt;S274,"Quantity exceeds snapshot","Within quantity snapshot"),"Stock not stated")))</x:f>
        <x:v>Within quantity snapshot</x:v>
      </x:c>
      <x:c r="U274" s="2" t="str">
        <x:f>INDEX('Dated offers'!$C$7:$C$305,MATCH($Z274,'Dated offers'!$A$7:$A$305,0))</x:f>
        <x:v>DigiKey</x:v>
      </x:c>
      <x:c r="V274" s="2" t="str">
        <x:f>INDEX('Dated offers'!$D$7:$D$305,MATCH($Z274,'Dated offers'!$A$7:$A$305,0))</x:f>
        <x:v>Not stated</x:v>
      </x:c>
      <x:c r="W274" s="24" t="n">
        <x:f>INDEX('Dated offers'!$E$7:$E$305,MATCH($Z274,'Dated offers'!$A$7:$A$305,0))</x:f>
        <x:v>46307.47807256944</x:v>
      </x:c>
      <x:c r="X274" s="2" t="b">
        <x:f>INDEX('Dated offers'!$N$7:$N$305,MATCH($Z274,'Dated offers'!$A$7:$A$305,0))</x:f>
        <x:v>0</x:v>
      </x:c>
      <x:c r="Y274" s="2" t="str">
        <x:f>INDEX('Dated offers'!$O$7:$O$305,MATCH($Z274,'Dated offers'!$A$7:$A$305,0))</x:f>
        <x:v>Unreserved inventory snapshot</x:v>
      </x:c>
      <x:c r="Z274" s="17" t="str">
        <x:v>OF0112</x:v>
      </x:c>
      <x:c r="AA274" s="2"/>
      <x:c r="AB274" s="2" t="str">
        <x:f>INDEX('Dated offers'!$Q$7:$Q$305,MATCH($Z274,'Dated offers'!$A$7:$A$305,0))</x:f>
        <x:v>https://www.digikey.com/en/products/detail/diodes-incorporated/S1B-13-F/725026</x:v>
      </x:c>
    </x:row>
    <x:row r="275" ht="24" customHeight="1">
      <x:c r="A275" s="2" t="str">
        <x:v>25 boards / 2% planning</x:v>
      </x:c>
      <x:c r="B275" s="17" t="str">
        <x:v>SIM8066-6-1-14-01-A</x:v>
      </x:c>
      <x:c r="C275" s="18" t="n">
        <x:v>25</x:v>
      </x:c>
      <x:c r="D275" s="27" t="n">
        <x:v>0.02</x:v>
      </x:c>
      <x:c r="E275" s="18" t="n">
        <x:f>INDEX('Assembly BOM'!$C$7:$C$162,MATCH($B275,'Assembly BOM'!$A$7:$A$162,0))</x:f>
        <x:v>1</x:v>
      </x:c>
      <x:c r="F275" s="18" t="n">
        <x:f>C275*E275</x:f>
        <x:v>25</x:v>
      </x:c>
      <x:c r="G275" s="18" t="n">
        <x:f>ROUNDUP(F275*(1+D275),0)</x:f>
        <x:v>26</x:v>
      </x:c>
      <x:c r="H275" s="18" t="n">
        <x:f>INDEX('Dated offers'!$F$7:$F$305,MATCH($Z275,'Dated offers'!$A$7:$A$305,0))</x:f>
        <x:v>1</x:v>
      </x:c>
      <x:c r="I275" s="18" t="n">
        <x:f>INDEX('Dated offers'!$G$7:$G$305,MATCH($Z275,'Dated offers'!$A$7:$A$305,0))</x:f>
        <x:v>1</x:v>
      </x:c>
      <x:c r="J275" s="18" t="n">
        <x:f>CEILING(MAX(G275,H275),I275)</x:f>
        <x:v>26</x:v>
      </x:c>
      <x:c r="K275" s="18" t="n">
        <x:v>26</x:v>
      </x:c>
      <x:c r="L275" s="18" t="n">
        <x:f>INDEX('Dated offers'!$I$7:$I$305,MATCH($Z275,'Dated offers'!$A$7:$A$305,0))</x:f>
        <x:v>10</x:v>
      </x:c>
      <x:c r="M275" s="25" t="n">
        <x:f>INDEX('Dated offers'!$J$7:$J$305,MATCH($Z275,'Dated offers'!$A$7:$A$305,0))</x:f>
        <x:v>1.4045</x:v>
      </x:c>
      <x:c r="N275" s="25" t="n">
        <x:f>INDEX('Dated offers'!$K$7:$K$305,MATCH($Z275,'Dated offers'!$A$7:$A$305,0))</x:f>
        <x:v>0</x:v>
      </x:c>
      <x:c r="O275" s="25" t="n">
        <x:f>F275*M275</x:f>
        <x:v>35.112500000000004</x:v>
      </x:c>
      <x:c r="P275" s="25" t="n">
        <x:f>G275*M275</x:f>
        <x:v>36.517</x:v>
      </x:c>
      <x:c r="Q275" s="25" t="n">
        <x:f>K275*M275+N275</x:f>
        <x:v>36.517</x:v>
      </x:c>
      <x:c r="R275" s="18" t="n">
        <x:f>K275-G275</x:f>
        <x:v>0</x:v>
      </x:c>
      <x:c r="S275" s="18" t="n">
        <x:f>INDEX('Dated offers'!$H$7:$H$305,MATCH($Z275,'Dated offers'!$A$7:$A$305,0))</x:f>
        <x:v>1893</x:v>
      </x:c>
      <x:c r="T275" s="2" t="str">
        <x:f>IF(K275&lt;G275,"Order below requirement",IF(K275&lt;L275,"Below price tier",IF(ISNUMBER(S275),IF(K275&gt;S275,"Quantity exceeds snapshot","Within quantity snapshot"),"Stock not stated")))</x:f>
        <x:v>Within quantity snapshot</x:v>
      </x:c>
      <x:c r="U275" s="2" t="str">
        <x:f>INDEX('Dated offers'!$C$7:$C$305,MATCH($Z275,'Dated offers'!$A$7:$A$305,0))</x:f>
        <x:v>LCSC</x:v>
      </x:c>
      <x:c r="V275" s="2" t="str">
        <x:f>INDEX('Dated offers'!$D$7:$D$305,MATCH($Z275,'Dated offers'!$A$7:$A$305,0))</x:f>
        <x:v>C3032925</x:v>
      </x:c>
      <x:c r="W275" s="24" t="n">
        <x:f>INDEX('Dated offers'!$E$7:$E$305,MATCH($Z275,'Dated offers'!$A$7:$A$305,0))</x:f>
        <x:v>46307.447466805555</x:v>
      </x:c>
      <x:c r="X275" s="2" t="b">
        <x:f>INDEX('Dated offers'!$N$7:$N$305,MATCH($Z275,'Dated offers'!$A$7:$A$305,0))</x:f>
        <x:v>0</x:v>
      </x:c>
      <x:c r="Y275" s="2" t="str">
        <x:f>INDEX('Dated offers'!$O$7:$O$305,MATCH($Z275,'Dated offers'!$A$7:$A$305,0))</x:f>
        <x:v>Unreserved inventory snapshot</x:v>
      </x:c>
      <x:c r="Z275" s="17" t="str">
        <x:v>OF0113</x:v>
      </x:c>
      <x:c r="AA275" s="2"/>
      <x:c r="AB275" s="2" t="str">
        <x:f>INDEX('Dated offers'!$Q$7:$Q$305,MATCH($Z275,'Dated offers'!$A$7:$A$305,0))</x:f>
        <x:v>https://www.lcsc.com/product-detail/C3032925.html</x:v>
      </x:c>
    </x:row>
    <x:row r="276" ht="24" customHeight="1">
      <x:c r="A276" s="2" t="str">
        <x:v>25 boards / 2% planning</x:v>
      </x:c>
      <x:c r="B276" s="17" t="str">
        <x:v>SMBJ13A</x:v>
      </x:c>
      <x:c r="C276" s="18" t="n">
        <x:v>25</x:v>
      </x:c>
      <x:c r="D276" s="27" t="n">
        <x:v>0.02</x:v>
      </x:c>
      <x:c r="E276" s="18" t="n">
        <x:f>INDEX('Assembly BOM'!$C$7:$C$162,MATCH($B276,'Assembly BOM'!$A$7:$A$162,0))</x:f>
        <x:v>1</x:v>
      </x:c>
      <x:c r="F276" s="18" t="n">
        <x:f>C276*E276</x:f>
        <x:v>25</x:v>
      </x:c>
      <x:c r="G276" s="18" t="n">
        <x:f>ROUNDUP(F276*(1+D276),0)</x:f>
        <x:v>26</x:v>
      </x:c>
      <x:c r="H276" s="18" t="n">
        <x:f>INDEX('Dated offers'!$F$7:$F$305,MATCH($Z276,'Dated offers'!$A$7:$A$305,0))</x:f>
        <x:v>1</x:v>
      </x:c>
      <x:c r="I276" s="18" t="n">
        <x:f>INDEX('Dated offers'!$G$7:$G$305,MATCH($Z276,'Dated offers'!$A$7:$A$305,0))</x:f>
        <x:v>1</x:v>
      </x:c>
      <x:c r="J276" s="18" t="n">
        <x:f>CEILING(MAX(G276,H276),I276)</x:f>
        <x:v>26</x:v>
      </x:c>
      <x:c r="K276" s="18" t="n">
        <x:v>26</x:v>
      </x:c>
      <x:c r="L276" s="18" t="n">
        <x:f>INDEX('Dated offers'!$I$7:$I$305,MATCH($Z276,'Dated offers'!$A$7:$A$305,0))</x:f>
        <x:v>10</x:v>
      </x:c>
      <x:c r="M276" s="25" t="n">
        <x:f>INDEX('Dated offers'!$J$7:$J$305,MATCH($Z276,'Dated offers'!$A$7:$A$305,0))</x:f>
        <x:v>0.328</x:v>
      </x:c>
      <x:c r="N276" s="25" t="n">
        <x:f>INDEX('Dated offers'!$K$7:$K$305,MATCH($Z276,'Dated offers'!$A$7:$A$305,0))</x:f>
        <x:v>0</x:v>
      </x:c>
      <x:c r="O276" s="25" t="n">
        <x:f>F276*M276</x:f>
        <x:v>8.200000000000001</x:v>
      </x:c>
      <x:c r="P276" s="25" t="n">
        <x:f>G276*M276</x:f>
        <x:v>8.528</x:v>
      </x:c>
      <x:c r="Q276" s="25" t="n">
        <x:f>K276*M276+N276</x:f>
        <x:v>8.528</x:v>
      </x:c>
      <x:c r="R276" s="18" t="n">
        <x:f>K276-G276</x:f>
        <x:v>0</x:v>
      </x:c>
      <x:c r="S276" s="18" t="n">
        <x:f>INDEX('Dated offers'!$H$7:$H$305,MATCH($Z276,'Dated offers'!$A$7:$A$305,0))</x:f>
        <x:v>1346</x:v>
      </x:c>
      <x:c r="T276" s="2" t="str">
        <x:f>IF(K276&lt;G276,"Order below requirement",IF(K276&lt;L276,"Below price tier",IF(ISNUMBER(S276),IF(K276&gt;S276,"Quantity exceeds snapshot","Within quantity snapshot"),"Stock not stated")))</x:f>
        <x:v>Within quantity snapshot</x:v>
      </x:c>
      <x:c r="U276" s="2" t="str">
        <x:f>INDEX('Dated offers'!$C$7:$C$305,MATCH($Z276,'Dated offers'!$A$7:$A$305,0))</x:f>
        <x:v>DigiKey</x:v>
      </x:c>
      <x:c r="V276" s="2" t="str">
        <x:f>INDEX('Dated offers'!$D$7:$D$305,MATCH($Z276,'Dated offers'!$A$7:$A$305,0))</x:f>
        <x:v>Not stated</x:v>
      </x:c>
      <x:c r="W276" s="24" t="n">
        <x:f>INDEX('Dated offers'!$E$7:$E$305,MATCH($Z276,'Dated offers'!$A$7:$A$305,0))</x:f>
        <x:v>46307.47807256944</x:v>
      </x:c>
      <x:c r="X276" s="2" t="b">
        <x:f>INDEX('Dated offers'!$N$7:$N$305,MATCH($Z276,'Dated offers'!$A$7:$A$305,0))</x:f>
        <x:v>0</x:v>
      </x:c>
      <x:c r="Y276" s="2" t="str">
        <x:f>INDEX('Dated offers'!$O$7:$O$305,MATCH($Z276,'Dated offers'!$A$7:$A$305,0))</x:f>
        <x:v>Unreserved inventory snapshot</x:v>
      </x:c>
      <x:c r="Z276" s="17" t="str">
        <x:v>OF0114</x:v>
      </x:c>
      <x:c r="AA276" s="2"/>
      <x:c r="AB276" s="2" t="str">
        <x:f>INDEX('Dated offers'!$Q$7:$Q$305,MATCH($Z276,'Dated offers'!$A$7:$A$305,0))</x:f>
        <x:v>https://www.digikey.com/en/products/detail/littelfuse-inc/SMBJ13A/285974</x:v>
      </x:c>
    </x:row>
    <x:row r="277" ht="24" customHeight="1">
      <x:c r="A277" s="2" t="str">
        <x:v>25 boards / 2% planning</x:v>
      </x:c>
      <x:c r="B277" s="17" t="str">
        <x:v>SMCJ51A-E3/57T</x:v>
      </x:c>
      <x:c r="C277" s="18" t="n">
        <x:v>25</x:v>
      </x:c>
      <x:c r="D277" s="27" t="n">
        <x:v>0.02</x:v>
      </x:c>
      <x:c r="E277" s="18" t="n">
        <x:f>INDEX('Assembly BOM'!$C$7:$C$162,MATCH($B277,'Assembly BOM'!$A$7:$A$162,0))</x:f>
        <x:v>2</x:v>
      </x:c>
      <x:c r="F277" s="18" t="n">
        <x:f>C277*E277</x:f>
        <x:v>50</x:v>
      </x:c>
      <x:c r="G277" s="18" t="n">
        <x:f>ROUNDUP(F277*(1+D277),0)</x:f>
        <x:v>51</x:v>
      </x:c>
      <x:c r="H277" s="18" t="n">
        <x:f>INDEX('Dated offers'!$F$7:$F$305,MATCH($Z277,'Dated offers'!$A$7:$A$305,0))</x:f>
        <x:v>1</x:v>
      </x:c>
      <x:c r="I277" s="18" t="n">
        <x:f>INDEX('Dated offers'!$G$7:$G$305,MATCH($Z277,'Dated offers'!$A$7:$A$305,0))</x:f>
        <x:v>1</x:v>
      </x:c>
      <x:c r="J277" s="18" t="n">
        <x:f>CEILING(MAX(G277,H277),I277)</x:f>
        <x:v>51</x:v>
      </x:c>
      <x:c r="K277" s="18" t="n">
        <x:v>51</x:v>
      </x:c>
      <x:c r="L277" s="18" t="n">
        <x:f>INDEX('Dated offers'!$I$7:$I$305,MATCH($Z277,'Dated offers'!$A$7:$A$305,0))</x:f>
        <x:v>50</x:v>
      </x:c>
      <x:c r="M277" s="25" t="n">
        <x:f>INDEX('Dated offers'!$J$7:$J$305,MATCH($Z277,'Dated offers'!$A$7:$A$305,0))</x:f>
        <x:v>0.4978</x:v>
      </x:c>
      <x:c r="N277" s="25" t="n">
        <x:f>INDEX('Dated offers'!$K$7:$K$305,MATCH($Z277,'Dated offers'!$A$7:$A$305,0))</x:f>
        <x:v>0</x:v>
      </x:c>
      <x:c r="O277" s="25" t="n">
        <x:f>F277*M277</x:f>
        <x:v>24.89</x:v>
      </x:c>
      <x:c r="P277" s="25" t="n">
        <x:f>G277*M277</x:f>
        <x:v>25.387800000000002</x:v>
      </x:c>
      <x:c r="Q277" s="25" t="n">
        <x:f>K277*M277+N277</x:f>
        <x:v>25.387800000000002</x:v>
      </x:c>
      <x:c r="R277" s="18" t="n">
        <x:f>K277-G277</x:f>
        <x:v>0</x:v>
      </x:c>
      <x:c r="S277" s="18" t="n">
        <x:f>INDEX('Dated offers'!$H$7:$H$305,MATCH($Z277,'Dated offers'!$A$7:$A$305,0))</x:f>
        <x:v>214</x:v>
      </x:c>
      <x:c r="T277" s="2" t="str">
        <x:f>IF(K277&lt;G277,"Order below requirement",IF(K277&lt;L277,"Below price tier",IF(ISNUMBER(S277),IF(K277&gt;S277,"Quantity exceeds snapshot","Within quantity snapshot"),"Stock not stated")))</x:f>
        <x:v>Within quantity snapshot</x:v>
      </x:c>
      <x:c r="U277" s="2" t="str">
        <x:f>INDEX('Dated offers'!$C$7:$C$305,MATCH($Z277,'Dated offers'!$A$7:$A$305,0))</x:f>
        <x:v>DigiKey</x:v>
      </x:c>
      <x:c r="V277" s="2" t="str">
        <x:f>INDEX('Dated offers'!$D$7:$D$305,MATCH($Z277,'Dated offers'!$A$7:$A$305,0))</x:f>
        <x:v>Not stated</x:v>
      </x:c>
      <x:c r="W277" s="24" t="n">
        <x:f>INDEX('Dated offers'!$E$7:$E$305,MATCH($Z277,'Dated offers'!$A$7:$A$305,0))</x:f>
        <x:v>46307.47807258102</x:v>
      </x:c>
      <x:c r="X277" s="2" t="b">
        <x:f>INDEX('Dated offers'!$N$7:$N$305,MATCH($Z277,'Dated offers'!$A$7:$A$305,0))</x:f>
        <x:v>0</x:v>
      </x:c>
      <x:c r="Y277" s="2" t="str">
        <x:f>INDEX('Dated offers'!$O$7:$O$305,MATCH($Z277,'Dated offers'!$A$7:$A$305,0))</x:f>
        <x:v>Unreserved inventory snapshot</x:v>
      </x:c>
      <x:c r="Z277" s="17" t="str">
        <x:v>OF0115</x:v>
      </x:c>
      <x:c r="AA277" s="2"/>
      <x:c r="AB277" s="2" t="str">
        <x:f>INDEX('Dated offers'!$Q$7:$Q$305,MATCH($Z277,'Dated offers'!$A$7:$A$305,0))</x:f>
        <x:v>https://www.digikey.com/en/products/detail/vishay-general-semiconductor-diodes-division/SMCJ51A-E3-57T/2413463</x:v>
      </x:c>
    </x:row>
    <x:row r="278" ht="24" customHeight="1">
      <x:c r="A278" s="2" t="str">
        <x:v>25 boards / 2% planning</x:v>
      </x:c>
      <x:c r="B278" s="17" t="str">
        <x:v>SN74AUP1G17DBVR</x:v>
      </x:c>
      <x:c r="C278" s="18" t="n">
        <x:v>25</x:v>
      </x:c>
      <x:c r="D278" s="27" t="n">
        <x:v>0.02</x:v>
      </x:c>
      <x:c r="E278" s="18" t="n">
        <x:f>INDEX('Assembly BOM'!$C$7:$C$162,MATCH($B278,'Assembly BOM'!$A$7:$A$162,0))</x:f>
        <x:v>1</x:v>
      </x:c>
      <x:c r="F278" s="18" t="n">
        <x:f>C278*E278</x:f>
        <x:v>25</x:v>
      </x:c>
      <x:c r="G278" s="18" t="n">
        <x:f>ROUNDUP(F278*(1+D278),0)</x:f>
        <x:v>26</x:v>
      </x:c>
      <x:c r="H278" s="18" t="n">
        <x:f>INDEX('Dated offers'!$F$7:$F$305,MATCH($Z278,'Dated offers'!$A$7:$A$305,0))</x:f>
        <x:v>1</x:v>
      </x:c>
      <x:c r="I278" s="18" t="n">
        <x:f>INDEX('Dated offers'!$G$7:$G$305,MATCH($Z278,'Dated offers'!$A$7:$A$305,0))</x:f>
        <x:v>1</x:v>
      </x:c>
      <x:c r="J278" s="18" t="n">
        <x:f>CEILING(MAX(G278,H278),I278)</x:f>
        <x:v>26</x:v>
      </x:c>
      <x:c r="K278" s="18" t="n">
        <x:v>26</x:v>
      </x:c>
      <x:c r="L278" s="18" t="n">
        <x:f>INDEX('Dated offers'!$I$7:$I$305,MATCH($Z278,'Dated offers'!$A$7:$A$305,0))</x:f>
        <x:v>25</x:v>
      </x:c>
      <x:c r="M278" s="25" t="n">
        <x:f>INDEX('Dated offers'!$J$7:$J$305,MATCH($Z278,'Dated offers'!$A$7:$A$305,0))</x:f>
        <x:v>0.2496</x:v>
      </x:c>
      <x:c r="N278" s="25" t="n">
        <x:f>INDEX('Dated offers'!$K$7:$K$305,MATCH($Z278,'Dated offers'!$A$7:$A$305,0))</x:f>
        <x:v>0</x:v>
      </x:c>
      <x:c r="O278" s="25" t="n">
        <x:f>F278*M278</x:f>
        <x:v>6.239999999999999</x:v>
      </x:c>
      <x:c r="P278" s="25" t="n">
        <x:f>G278*M278</x:f>
        <x:v>6.489599999999999</x:v>
      </x:c>
      <x:c r="Q278" s="25" t="n">
        <x:f>K278*M278+N278</x:f>
        <x:v>6.489599999999999</x:v>
      </x:c>
      <x:c r="R278" s="18" t="n">
        <x:f>K278-G278</x:f>
        <x:v>0</x:v>
      </x:c>
      <x:c r="S278" s="18" t="n">
        <x:f>INDEX('Dated offers'!$H$7:$H$305,MATCH($Z278,'Dated offers'!$A$7:$A$305,0))</x:f>
        <x:v>7107</x:v>
      </x:c>
      <x:c r="T278" s="2" t="str">
        <x:f>IF(K278&lt;G278,"Order below requirement",IF(K278&lt;L278,"Below price tier",IF(ISNUMBER(S278),IF(K278&gt;S278,"Quantity exceeds snapshot","Within quantity snapshot"),"Stock not stated")))</x:f>
        <x:v>Within quantity snapshot</x:v>
      </x:c>
      <x:c r="U278" s="2" t="str">
        <x:f>INDEX('Dated offers'!$C$7:$C$305,MATCH($Z278,'Dated offers'!$A$7:$A$305,0))</x:f>
        <x:v>DigiKey</x:v>
      </x:c>
      <x:c r="V278" s="2" t="str">
        <x:f>INDEX('Dated offers'!$D$7:$D$305,MATCH($Z278,'Dated offers'!$A$7:$A$305,0))</x:f>
        <x:v>Not stated</x:v>
      </x:c>
      <x:c r="W278" s="24" t="n">
        <x:f>INDEX('Dated offers'!$E$7:$E$305,MATCH($Z278,'Dated offers'!$A$7:$A$305,0))</x:f>
        <x:v>46307.478072708334</x:v>
      </x:c>
      <x:c r="X278" s="2" t="b">
        <x:f>INDEX('Dated offers'!$N$7:$N$305,MATCH($Z278,'Dated offers'!$A$7:$A$305,0))</x:f>
        <x:v>0</x:v>
      </x:c>
      <x:c r="Y278" s="2" t="str">
        <x:f>INDEX('Dated offers'!$O$7:$O$305,MATCH($Z278,'Dated offers'!$A$7:$A$305,0))</x:f>
        <x:v>Unreserved inventory snapshot</x:v>
      </x:c>
      <x:c r="Z278" s="17" t="str">
        <x:v>OF0116</x:v>
      </x:c>
      <x:c r="AA278" s="2"/>
      <x:c r="AB278" s="2" t="str">
        <x:f>INDEX('Dated offers'!$Q$7:$Q$305,MATCH($Z278,'Dated offers'!$A$7:$A$305,0))</x:f>
        <x:v>https://www.digikey.com/en/products/detail/texas-instruments/SN74AUP1G17DBVR/864081</x:v>
      </x:c>
    </x:row>
    <x:row r="279" ht="24" customHeight="1">
      <x:c r="A279" s="2" t="str">
        <x:v>25 boards / 2% planning</x:v>
      </x:c>
      <x:c r="B279" s="17" t="str">
        <x:v>SN74AXC8T245PWR</x:v>
      </x:c>
      <x:c r="C279" s="18" t="n">
        <x:v>25</x:v>
      </x:c>
      <x:c r="D279" s="27" t="n">
        <x:v>0.02</x:v>
      </x:c>
      <x:c r="E279" s="18" t="n">
        <x:f>INDEX('Assembly BOM'!$C$7:$C$162,MATCH($B279,'Assembly BOM'!$A$7:$A$162,0))</x:f>
        <x:v>1</x:v>
      </x:c>
      <x:c r="F279" s="18" t="n">
        <x:f>C279*E279</x:f>
        <x:v>25</x:v>
      </x:c>
      <x:c r="G279" s="18" t="n">
        <x:f>ROUNDUP(F279*(1+D279),0)</x:f>
        <x:v>26</x:v>
      </x:c>
      <x:c r="H279" s="18" t="n">
        <x:f>INDEX('Dated offers'!$F$7:$F$305,MATCH($Z279,'Dated offers'!$A$7:$A$305,0))</x:f>
        <x:v>1</x:v>
      </x:c>
      <x:c r="I279" s="18" t="n">
        <x:f>INDEX('Dated offers'!$G$7:$G$305,MATCH($Z279,'Dated offers'!$A$7:$A$305,0))</x:f>
        <x:v>1</x:v>
      </x:c>
      <x:c r="J279" s="18" t="n">
        <x:f>CEILING(MAX(G279,H279),I279)</x:f>
        <x:v>26</x:v>
      </x:c>
      <x:c r="K279" s="18" t="n">
        <x:v>26</x:v>
      </x:c>
      <x:c r="L279" s="18" t="n">
        <x:f>INDEX('Dated offers'!$I$7:$I$305,MATCH($Z279,'Dated offers'!$A$7:$A$305,0))</x:f>
        <x:v>10</x:v>
      </x:c>
      <x:c r="M279" s="25" t="n">
        <x:f>INDEX('Dated offers'!$J$7:$J$305,MATCH($Z279,'Dated offers'!$A$7:$A$305,0))</x:f>
        <x:v>0.9272</x:v>
      </x:c>
      <x:c r="N279" s="25" t="n">
        <x:f>INDEX('Dated offers'!$K$7:$K$305,MATCH($Z279,'Dated offers'!$A$7:$A$305,0))</x:f>
        <x:v>0</x:v>
      </x:c>
      <x:c r="O279" s="25" t="n">
        <x:f>F279*M279</x:f>
        <x:v>23.18</x:v>
      </x:c>
      <x:c r="P279" s="25" t="n">
        <x:f>G279*M279</x:f>
        <x:v>24.1072</x:v>
      </x:c>
      <x:c r="Q279" s="25" t="n">
        <x:f>K279*M279+N279</x:f>
        <x:v>24.1072</x:v>
      </x:c>
      <x:c r="R279" s="18" t="n">
        <x:f>K279-G279</x:f>
        <x:v>0</x:v>
      </x:c>
      <x:c r="S279" s="18" t="n">
        <x:f>INDEX('Dated offers'!$H$7:$H$305,MATCH($Z279,'Dated offers'!$A$7:$A$305,0))</x:f>
        <x:v>9132</x:v>
      </x:c>
      <x:c r="T279" s="2" t="str">
        <x:f>IF(K279&lt;G279,"Order below requirement",IF(K279&lt;L279,"Below price tier",IF(ISNUMBER(S279),IF(K279&gt;S279,"Quantity exceeds snapshot","Within quantity snapshot"),"Stock not stated")))</x:f>
        <x:v>Within quantity snapshot</x:v>
      </x:c>
      <x:c r="U279" s="2" t="str">
        <x:f>INDEX('Dated offers'!$C$7:$C$305,MATCH($Z279,'Dated offers'!$A$7:$A$305,0))</x:f>
        <x:v>LCSC</x:v>
      </x:c>
      <x:c r="V279" s="2" t="str">
        <x:f>INDEX('Dated offers'!$D$7:$D$305,MATCH($Z279,'Dated offers'!$A$7:$A$305,0))</x:f>
        <x:v>C882718</x:v>
      </x:c>
      <x:c r="W279" s="24" t="n">
        <x:f>INDEX('Dated offers'!$E$7:$E$305,MATCH($Z279,'Dated offers'!$A$7:$A$305,0))</x:f>
        <x:v>46307.447469618055</x:v>
      </x:c>
      <x:c r="X279" s="2" t="b">
        <x:f>INDEX('Dated offers'!$N$7:$N$305,MATCH($Z279,'Dated offers'!$A$7:$A$305,0))</x:f>
        <x:v>0</x:v>
      </x:c>
      <x:c r="Y279" s="2" t="str">
        <x:f>INDEX('Dated offers'!$O$7:$O$305,MATCH($Z279,'Dated offers'!$A$7:$A$305,0))</x:f>
        <x:v>Unreserved inventory snapshot</x:v>
      </x:c>
      <x:c r="Z279" s="17" t="str">
        <x:v>OF0117</x:v>
      </x:c>
      <x:c r="AA279" s="2"/>
      <x:c r="AB279" s="2" t="str">
        <x:f>INDEX('Dated offers'!$Q$7:$Q$305,MATCH($Z279,'Dated offers'!$A$7:$A$305,0))</x:f>
        <x:v>https://www.lcsc.com/product-detail/C882718.html</x:v>
      </x:c>
    </x:row>
    <x:row r="280" ht="24" customHeight="1">
      <x:c r="A280" s="2" t="str">
        <x:v>25 boards / 2% planning</x:v>
      </x:c>
      <x:c r="B280" s="17" t="str">
        <x:v>SN74LVC1G00DBVR</x:v>
      </x:c>
      <x:c r="C280" s="18" t="n">
        <x:v>25</x:v>
      </x:c>
      <x:c r="D280" s="27" t="n">
        <x:v>0.02</x:v>
      </x:c>
      <x:c r="E280" s="18" t="n">
        <x:f>INDEX('Assembly BOM'!$C$7:$C$162,MATCH($B280,'Assembly BOM'!$A$7:$A$162,0))</x:f>
        <x:v>2</x:v>
      </x:c>
      <x:c r="F280" s="18" t="n">
        <x:f>C280*E280</x:f>
        <x:v>50</x:v>
      </x:c>
      <x:c r="G280" s="18" t="n">
        <x:f>ROUNDUP(F280*(1+D280),0)</x:f>
        <x:v>51</x:v>
      </x:c>
      <x:c r="H280" s="18" t="n">
        <x:f>INDEX('Dated offers'!$F$7:$F$305,MATCH($Z280,'Dated offers'!$A$7:$A$305,0))</x:f>
        <x:v>5</x:v>
      </x:c>
      <x:c r="I280" s="18" t="n">
        <x:f>INDEX('Dated offers'!$G$7:$G$305,MATCH($Z280,'Dated offers'!$A$7:$A$305,0))</x:f>
        <x:v>5</x:v>
      </x:c>
      <x:c r="J280" s="18" t="n">
        <x:f>CEILING(MAX(G280,H280),I280)</x:f>
        <x:v>55</x:v>
      </x:c>
      <x:c r="K280" s="18" t="n">
        <x:v>55</x:v>
      </x:c>
      <x:c r="L280" s="18" t="n">
        <x:f>INDEX('Dated offers'!$I$7:$I$305,MATCH($Z280,'Dated offers'!$A$7:$A$305,0))</x:f>
        <x:v>50</x:v>
      </x:c>
      <x:c r="M280" s="25" t="n">
        <x:f>INDEX('Dated offers'!$J$7:$J$305,MATCH($Z280,'Dated offers'!$A$7:$A$305,0))</x:f>
        <x:v>0.103</x:v>
      </x:c>
      <x:c r="N280" s="25" t="n">
        <x:f>INDEX('Dated offers'!$K$7:$K$305,MATCH($Z280,'Dated offers'!$A$7:$A$305,0))</x:f>
        <x:v>0</x:v>
      </x:c>
      <x:c r="O280" s="25" t="n">
        <x:f>F280*M280</x:f>
        <x:v>5.1499999999999995</x:v>
      </x:c>
      <x:c r="P280" s="25" t="n">
        <x:f>G280*M280</x:f>
        <x:v>5.253</x:v>
      </x:c>
      <x:c r="Q280" s="25" t="n">
        <x:f>K280*M280+N280</x:f>
        <x:v>5.665</x:v>
      </x:c>
      <x:c r="R280" s="18" t="n">
        <x:f>K280-G280</x:f>
        <x:v>4</x:v>
      </x:c>
      <x:c r="S280" s="18" t="n">
        <x:f>INDEX('Dated offers'!$H$7:$H$305,MATCH($Z280,'Dated offers'!$A$7:$A$305,0))</x:f>
        <x:v>4575</x:v>
      </x:c>
      <x:c r="T280" s="2" t="str">
        <x:f>IF(K280&lt;G280,"Order below requirement",IF(K280&lt;L280,"Below price tier",IF(ISNUMBER(S280),IF(K280&gt;S280,"Quantity exceeds snapshot","Within quantity snapshot"),"Stock not stated")))</x:f>
        <x:v>Within quantity snapshot</x:v>
      </x:c>
      <x:c r="U280" s="2" t="str">
        <x:f>INDEX('Dated offers'!$C$7:$C$305,MATCH($Z280,'Dated offers'!$A$7:$A$305,0))</x:f>
        <x:v>LCSC</x:v>
      </x:c>
      <x:c r="V280" s="2" t="str">
        <x:f>INDEX('Dated offers'!$D$7:$D$305,MATCH($Z280,'Dated offers'!$A$7:$A$305,0))</x:f>
        <x:v>C7826</x:v>
      </x:c>
      <x:c r="W280" s="24" t="n">
        <x:f>INDEX('Dated offers'!$E$7:$E$305,MATCH($Z280,'Dated offers'!$A$7:$A$305,0))</x:f>
        <x:v>46307.447470416664</x:v>
      </x:c>
      <x:c r="X280" s="2" t="b">
        <x:f>INDEX('Dated offers'!$N$7:$N$305,MATCH($Z280,'Dated offers'!$A$7:$A$305,0))</x:f>
        <x:v>0</x:v>
      </x:c>
      <x:c r="Y280" s="2" t="str">
        <x:f>INDEX('Dated offers'!$O$7:$O$305,MATCH($Z280,'Dated offers'!$A$7:$A$305,0))</x:f>
        <x:v>Unreserved inventory snapshot</x:v>
      </x:c>
      <x:c r="Z280" s="17" t="str">
        <x:v>OF0118</x:v>
      </x:c>
      <x:c r="AA280" s="2"/>
      <x:c r="AB280" s="2" t="str">
        <x:f>INDEX('Dated offers'!$Q$7:$Q$305,MATCH($Z280,'Dated offers'!$A$7:$A$305,0))</x:f>
        <x:v>https://www.lcsc.com/product-detail/C7826.html</x:v>
      </x:c>
    </x:row>
    <x:row r="281" ht="24" customHeight="1">
      <x:c r="A281" s="2" t="str">
        <x:v>25 boards / 2% planning</x:v>
      </x:c>
      <x:c r="B281" s="17" t="str">
        <x:v>SN74LVC1G04DBVR</x:v>
      </x:c>
      <x:c r="C281" s="18" t="n">
        <x:v>25</x:v>
      </x:c>
      <x:c r="D281" s="27" t="n">
        <x:v>0.02</x:v>
      </x:c>
      <x:c r="E281" s="18" t="n">
        <x:f>INDEX('Assembly BOM'!$C$7:$C$162,MATCH($B281,'Assembly BOM'!$A$7:$A$162,0))</x:f>
        <x:v>1</x:v>
      </x:c>
      <x:c r="F281" s="18" t="n">
        <x:f>C281*E281</x:f>
        <x:v>25</x:v>
      </x:c>
      <x:c r="G281" s="18" t="n">
        <x:f>ROUNDUP(F281*(1+D281),0)</x:f>
        <x:v>26</x:v>
      </x:c>
      <x:c r="H281" s="18" t="n">
        <x:f>INDEX('Dated offers'!$F$7:$F$305,MATCH($Z281,'Dated offers'!$A$7:$A$305,0))</x:f>
        <x:v>1</x:v>
      </x:c>
      <x:c r="I281" s="18" t="n">
        <x:f>INDEX('Dated offers'!$G$7:$G$305,MATCH($Z281,'Dated offers'!$A$7:$A$305,0))</x:f>
        <x:v>1</x:v>
      </x:c>
      <x:c r="J281" s="18" t="n">
        <x:f>CEILING(MAX(G281,H281),I281)</x:f>
        <x:v>26</x:v>
      </x:c>
      <x:c r="K281" s="18" t="n">
        <x:v>26</x:v>
      </x:c>
      <x:c r="L281" s="18" t="n">
        <x:f>INDEX('Dated offers'!$I$7:$I$305,MATCH($Z281,'Dated offers'!$A$7:$A$305,0))</x:f>
        <x:v>25</x:v>
      </x:c>
      <x:c r="M281" s="25" t="n">
        <x:f>INDEX('Dated offers'!$J$7:$J$305,MATCH($Z281,'Dated offers'!$A$7:$A$305,0))</x:f>
        <x:v>0.0868</x:v>
      </x:c>
      <x:c r="N281" s="25" t="n">
        <x:f>INDEX('Dated offers'!$K$7:$K$305,MATCH($Z281,'Dated offers'!$A$7:$A$305,0))</x:f>
        <x:v>0</x:v>
      </x:c>
      <x:c r="O281" s="25" t="n">
        <x:f>F281*M281</x:f>
        <x:v>2.17</x:v>
      </x:c>
      <x:c r="P281" s="25" t="n">
        <x:f>G281*M281</x:f>
        <x:v>2.2568</x:v>
      </x:c>
      <x:c r="Q281" s="25" t="n">
        <x:f>K281*M281+N281</x:f>
        <x:v>2.2568</x:v>
      </x:c>
      <x:c r="R281" s="18" t="n">
        <x:f>K281-G281</x:f>
        <x:v>0</x:v>
      </x:c>
      <x:c r="S281" s="18" t="n">
        <x:f>INDEX('Dated offers'!$H$7:$H$305,MATCH($Z281,'Dated offers'!$A$7:$A$305,0))</x:f>
        <x:v>353596</x:v>
      </x:c>
      <x:c r="T281" s="2" t="str">
        <x:f>IF(K281&lt;G281,"Order below requirement",IF(K281&lt;L281,"Below price tier",IF(ISNUMBER(S281),IF(K281&gt;S281,"Quantity exceeds snapshot","Within quantity snapshot"),"Stock not stated")))</x:f>
        <x:v>Within quantity snapshot</x:v>
      </x:c>
      <x:c r="U281" s="2" t="str">
        <x:f>INDEX('Dated offers'!$C$7:$C$305,MATCH($Z281,'Dated offers'!$A$7:$A$305,0))</x:f>
        <x:v>DigiKey</x:v>
      </x:c>
      <x:c r="V281" s="2" t="str">
        <x:f>INDEX('Dated offers'!$D$7:$D$305,MATCH($Z281,'Dated offers'!$A$7:$A$305,0))</x:f>
        <x:v>Not stated</x:v>
      </x:c>
      <x:c r="W281" s="24" t="n">
        <x:f>INDEX('Dated offers'!$E$7:$E$305,MATCH($Z281,'Dated offers'!$A$7:$A$305,0))</x:f>
        <x:v>46307.478072708334</x:v>
      </x:c>
      <x:c r="X281" s="2" t="b">
        <x:f>INDEX('Dated offers'!$N$7:$N$305,MATCH($Z281,'Dated offers'!$A$7:$A$305,0))</x:f>
        <x:v>0</x:v>
      </x:c>
      <x:c r="Y281" s="2" t="str">
        <x:f>INDEX('Dated offers'!$O$7:$O$305,MATCH($Z281,'Dated offers'!$A$7:$A$305,0))</x:f>
        <x:v>Unreserved inventory snapshot</x:v>
      </x:c>
      <x:c r="Z281" s="17" t="str">
        <x:v>OF0119</x:v>
      </x:c>
      <x:c r="AA281" s="2"/>
      <x:c r="AB281" s="2" t="str">
        <x:f>INDEX('Dated offers'!$Q$7:$Q$305,MATCH($Z281,'Dated offers'!$A$7:$A$305,0))</x:f>
        <x:v>https://www.digikey.com/en/products/detail/texas-instruments/SN74LVC1G04DBVR/385716</x:v>
      </x:c>
    </x:row>
    <x:row r="282" ht="24" customHeight="1">
      <x:c r="A282" s="2" t="str">
        <x:v>25 boards / 2% planning</x:v>
      </x:c>
      <x:c r="B282" s="17" t="str">
        <x:v>SN74LVC1G08DBVR</x:v>
      </x:c>
      <x:c r="C282" s="18" t="n">
        <x:v>25</x:v>
      </x:c>
      <x:c r="D282" s="27" t="n">
        <x:v>0.02</x:v>
      </x:c>
      <x:c r="E282" s="18" t="n">
        <x:f>INDEX('Assembly BOM'!$C$7:$C$162,MATCH($B282,'Assembly BOM'!$A$7:$A$162,0))</x:f>
        <x:v>2</x:v>
      </x:c>
      <x:c r="F282" s="18" t="n">
        <x:f>C282*E282</x:f>
        <x:v>50</x:v>
      </x:c>
      <x:c r="G282" s="18" t="n">
        <x:f>ROUNDUP(F282*(1+D282),0)</x:f>
        <x:v>51</x:v>
      </x:c>
      <x:c r="H282" s="18" t="n">
        <x:f>INDEX('Dated offers'!$F$7:$F$305,MATCH($Z282,'Dated offers'!$A$7:$A$305,0))</x:f>
        <x:v>1</x:v>
      </x:c>
      <x:c r="I282" s="18" t="n">
        <x:f>INDEX('Dated offers'!$G$7:$G$305,MATCH($Z282,'Dated offers'!$A$7:$A$305,0))</x:f>
        <x:v>1</x:v>
      </x:c>
      <x:c r="J282" s="18" t="n">
        <x:f>CEILING(MAX(G282,H282),I282)</x:f>
        <x:v>51</x:v>
      </x:c>
      <x:c r="K282" s="18" t="n">
        <x:v>51</x:v>
      </x:c>
      <x:c r="L282" s="18" t="n">
        <x:f>INDEX('Dated offers'!$I$7:$I$305,MATCH($Z282,'Dated offers'!$A$7:$A$305,0))</x:f>
        <x:v>25</x:v>
      </x:c>
      <x:c r="M282" s="25" t="n">
        <x:f>INDEX('Dated offers'!$J$7:$J$305,MATCH($Z282,'Dated offers'!$A$7:$A$305,0))</x:f>
        <x:v>0.0712</x:v>
      </x:c>
      <x:c r="N282" s="25" t="n">
        <x:f>INDEX('Dated offers'!$K$7:$K$305,MATCH($Z282,'Dated offers'!$A$7:$A$305,0))</x:f>
        <x:v>0</x:v>
      </x:c>
      <x:c r="O282" s="25" t="n">
        <x:f>F282*M282</x:f>
        <x:v>3.56</x:v>
      </x:c>
      <x:c r="P282" s="25" t="n">
        <x:f>G282*M282</x:f>
        <x:v>3.6311999999999998</x:v>
      </x:c>
      <x:c r="Q282" s="25" t="n">
        <x:f>K282*M282+N282</x:f>
        <x:v>3.6311999999999998</x:v>
      </x:c>
      <x:c r="R282" s="18" t="n">
        <x:f>K282-G282</x:f>
        <x:v>0</x:v>
      </x:c>
      <x:c r="S282" s="18" t="n">
        <x:f>INDEX('Dated offers'!$H$7:$H$305,MATCH($Z282,'Dated offers'!$A$7:$A$305,0))</x:f>
        <x:v>112885</x:v>
      </x:c>
      <x:c r="T282" s="2" t="str">
        <x:f>IF(K282&lt;G282,"Order below requirement",IF(K282&lt;L282,"Below price tier",IF(ISNUMBER(S282),IF(K282&gt;S282,"Quantity exceeds snapshot","Within quantity snapshot"),"Stock not stated")))</x:f>
        <x:v>Within quantity snapshot</x:v>
      </x:c>
      <x:c r="U282" s="2" t="str">
        <x:f>INDEX('Dated offers'!$C$7:$C$305,MATCH($Z282,'Dated offers'!$A$7:$A$305,0))</x:f>
        <x:v>DigiKey</x:v>
      </x:c>
      <x:c r="V282" s="2" t="str">
        <x:f>INDEX('Dated offers'!$D$7:$D$305,MATCH($Z282,'Dated offers'!$A$7:$A$305,0))</x:f>
        <x:v>Not stated</x:v>
      </x:c>
      <x:c r="W282" s="24" t="n">
        <x:f>INDEX('Dated offers'!$E$7:$E$305,MATCH($Z282,'Dated offers'!$A$7:$A$305,0))</x:f>
        <x:v>46307.47807271991</x:v>
      </x:c>
      <x:c r="X282" s="2" t="b">
        <x:f>INDEX('Dated offers'!$N$7:$N$305,MATCH($Z282,'Dated offers'!$A$7:$A$305,0))</x:f>
        <x:v>0</x:v>
      </x:c>
      <x:c r="Y282" s="2" t="str">
        <x:f>INDEX('Dated offers'!$O$7:$O$305,MATCH($Z282,'Dated offers'!$A$7:$A$305,0))</x:f>
        <x:v>Unreserved inventory snapshot</x:v>
      </x:c>
      <x:c r="Z282" s="17" t="str">
        <x:v>OF0120</x:v>
      </x:c>
      <x:c r="AA282" s="2"/>
      <x:c r="AB282" s="2" t="str">
        <x:f>INDEX('Dated offers'!$Q$7:$Q$305,MATCH($Z282,'Dated offers'!$A$7:$A$305,0))</x:f>
        <x:v>https://www.digikey.com/en/products/detail/texas-instruments/SN74LVC1G08DBVR/385718</x:v>
      </x:c>
    </x:row>
    <x:row r="283" ht="24" customHeight="1">
      <x:c r="A283" s="2" t="str">
        <x:v>25 boards / 2% planning</x:v>
      </x:c>
      <x:c r="B283" s="17" t="str">
        <x:v>SN74LVC1G11DBVR</x:v>
      </x:c>
      <x:c r="C283" s="18" t="n">
        <x:v>25</x:v>
      </x:c>
      <x:c r="D283" s="27" t="n">
        <x:v>0.02</x:v>
      </x:c>
      <x:c r="E283" s="18" t="n">
        <x:f>INDEX('Assembly BOM'!$C$7:$C$162,MATCH($B283,'Assembly BOM'!$A$7:$A$162,0))</x:f>
        <x:v>3</x:v>
      </x:c>
      <x:c r="F283" s="18" t="n">
        <x:f>C283*E283</x:f>
        <x:v>75</x:v>
      </x:c>
      <x:c r="G283" s="18" t="n">
        <x:f>ROUNDUP(F283*(1+D283),0)</x:f>
        <x:v>77</x:v>
      </x:c>
      <x:c r="H283" s="18" t="n">
        <x:f>INDEX('Dated offers'!$F$7:$F$305,MATCH($Z283,'Dated offers'!$A$7:$A$305,0))</x:f>
        <x:v>1</x:v>
      </x:c>
      <x:c r="I283" s="18" t="n">
        <x:f>INDEX('Dated offers'!$G$7:$G$305,MATCH($Z283,'Dated offers'!$A$7:$A$305,0))</x:f>
        <x:v>1</x:v>
      </x:c>
      <x:c r="J283" s="18" t="n">
        <x:f>CEILING(MAX(G283,H283),I283)</x:f>
        <x:v>77</x:v>
      </x:c>
      <x:c r="K283" s="18" t="n">
        <x:v>77</x:v>
      </x:c>
      <x:c r="L283" s="18" t="n">
        <x:f>INDEX('Dated offers'!$I$7:$I$305,MATCH($Z283,'Dated offers'!$A$7:$A$305,0))</x:f>
        <x:v>25</x:v>
      </x:c>
      <x:c r="M283" s="25" t="n">
        <x:f>INDEX('Dated offers'!$J$7:$J$305,MATCH($Z283,'Dated offers'!$A$7:$A$305,0))</x:f>
        <x:v>0.234</x:v>
      </x:c>
      <x:c r="N283" s="25" t="n">
        <x:f>INDEX('Dated offers'!$K$7:$K$305,MATCH($Z283,'Dated offers'!$A$7:$A$305,0))</x:f>
        <x:v>0</x:v>
      </x:c>
      <x:c r="O283" s="25" t="n">
        <x:f>F283*M283</x:f>
        <x:v>17.55</x:v>
      </x:c>
      <x:c r="P283" s="25" t="n">
        <x:f>G283*M283</x:f>
        <x:v>18.018</x:v>
      </x:c>
      <x:c r="Q283" s="25" t="n">
        <x:f>K283*M283+N283</x:f>
        <x:v>18.018</x:v>
      </x:c>
      <x:c r="R283" s="18" t="n">
        <x:f>K283-G283</x:f>
        <x:v>0</x:v>
      </x:c>
      <x:c r="S283" s="18" t="n">
        <x:f>INDEX('Dated offers'!$H$7:$H$305,MATCH($Z283,'Dated offers'!$A$7:$A$305,0))</x:f>
        <x:v>90366</x:v>
      </x:c>
      <x:c r="T283" s="2" t="str">
        <x:f>IF(K283&lt;G283,"Order below requirement",IF(K283&lt;L283,"Below price tier",IF(ISNUMBER(S283),IF(K283&gt;S283,"Quantity exceeds snapshot","Within quantity snapshot"),"Stock not stated")))</x:f>
        <x:v>Within quantity snapshot</x:v>
      </x:c>
      <x:c r="U283" s="2" t="str">
        <x:f>INDEX('Dated offers'!$C$7:$C$305,MATCH($Z283,'Dated offers'!$A$7:$A$305,0))</x:f>
        <x:v>DigiKey</x:v>
      </x:c>
      <x:c r="V283" s="2" t="str">
        <x:f>INDEX('Dated offers'!$D$7:$D$305,MATCH($Z283,'Dated offers'!$A$7:$A$305,0))</x:f>
        <x:v>Not stated</x:v>
      </x:c>
      <x:c r="W283" s="24" t="n">
        <x:f>INDEX('Dated offers'!$E$7:$E$305,MATCH($Z283,'Dated offers'!$A$7:$A$305,0))</x:f>
        <x:v>46307.478072708334</x:v>
      </x:c>
      <x:c r="X283" s="2" t="b">
        <x:f>INDEX('Dated offers'!$N$7:$N$305,MATCH($Z283,'Dated offers'!$A$7:$A$305,0))</x:f>
        <x:v>0</x:v>
      </x:c>
      <x:c r="Y283" s="2" t="str">
        <x:f>INDEX('Dated offers'!$O$7:$O$305,MATCH($Z283,'Dated offers'!$A$7:$A$305,0))</x:f>
        <x:v>Unreserved inventory snapshot</x:v>
      </x:c>
      <x:c r="Z283" s="17" t="str">
        <x:v>OF0121</x:v>
      </x:c>
      <x:c r="AA283" s="2"/>
      <x:c r="AB283" s="2" t="str">
        <x:f>INDEX('Dated offers'!$Q$7:$Q$305,MATCH($Z283,'Dated offers'!$A$7:$A$305,0))</x:f>
        <x:v>https://www.digikey.com/en/products/detail/texas-instruments/SN74LVC1G11DBVR/637182</x:v>
      </x:c>
    </x:row>
    <x:row r="284" ht="24" customHeight="1">
      <x:c r="A284" s="2" t="str">
        <x:v>25 boards / 2% planning</x:v>
      </x:c>
      <x:c r="B284" s="17" t="str">
        <x:v>SN74LVC1G32DBVR</x:v>
      </x:c>
      <x:c r="C284" s="18" t="n">
        <x:v>25</x:v>
      </x:c>
      <x:c r="D284" s="27" t="n">
        <x:v>0.02</x:v>
      </x:c>
      <x:c r="E284" s="18" t="n">
        <x:f>INDEX('Assembly BOM'!$C$7:$C$162,MATCH($B284,'Assembly BOM'!$A$7:$A$162,0))</x:f>
        <x:v>1</x:v>
      </x:c>
      <x:c r="F284" s="18" t="n">
        <x:f>C284*E284</x:f>
        <x:v>25</x:v>
      </x:c>
      <x:c r="G284" s="18" t="n">
        <x:f>ROUNDUP(F284*(1+D284),0)</x:f>
        <x:v>26</x:v>
      </x:c>
      <x:c r="H284" s="18" t="n">
        <x:f>INDEX('Dated offers'!$F$7:$F$305,MATCH($Z284,'Dated offers'!$A$7:$A$305,0))</x:f>
        <x:v>10</x:v>
      </x:c>
      <x:c r="I284" s="18" t="n">
        <x:f>INDEX('Dated offers'!$G$7:$G$305,MATCH($Z284,'Dated offers'!$A$7:$A$305,0))</x:f>
        <x:v>10</x:v>
      </x:c>
      <x:c r="J284" s="18" t="n">
        <x:f>CEILING(MAX(G284,H284),I284)</x:f>
        <x:v>30</x:v>
      </x:c>
      <x:c r="K284" s="18" t="n">
        <x:v>30</x:v>
      </x:c>
      <x:c r="L284" s="18" t="n">
        <x:f>INDEX('Dated offers'!$I$7:$I$305,MATCH($Z284,'Dated offers'!$A$7:$A$305,0))</x:f>
        <x:v>10</x:v>
      </x:c>
      <x:c r="M284" s="25" t="n">
        <x:f>INDEX('Dated offers'!$J$7:$J$305,MATCH($Z284,'Dated offers'!$A$7:$A$305,0))</x:f>
        <x:v>0.0715</x:v>
      </x:c>
      <x:c r="N284" s="25" t="n">
        <x:f>INDEX('Dated offers'!$K$7:$K$305,MATCH($Z284,'Dated offers'!$A$7:$A$305,0))</x:f>
        <x:v>0</x:v>
      </x:c>
      <x:c r="O284" s="25" t="n">
        <x:f>F284*M284</x:f>
        <x:v>1.7874999999999999</x:v>
      </x:c>
      <x:c r="P284" s="25" t="n">
        <x:f>G284*M284</x:f>
        <x:v>1.8589999999999998</x:v>
      </x:c>
      <x:c r="Q284" s="25" t="n">
        <x:f>K284*M284+N284</x:f>
        <x:v>2.145</x:v>
      </x:c>
      <x:c r="R284" s="18" t="n">
        <x:f>K284-G284</x:f>
        <x:v>4</x:v>
      </x:c>
      <x:c r="S284" s="18" t="n">
        <x:f>INDEX('Dated offers'!$H$7:$H$305,MATCH($Z284,'Dated offers'!$A$7:$A$305,0))</x:f>
        <x:v>108990</x:v>
      </x:c>
      <x:c r="T284" s="2" t="str">
        <x:f>IF(K284&lt;G284,"Order below requirement",IF(K284&lt;L284,"Below price tier",IF(ISNUMBER(S284),IF(K284&gt;S284,"Quantity exceeds snapshot","Within quantity snapshot"),"Stock not stated")))</x:f>
        <x:v>Within quantity snapshot</x:v>
      </x:c>
      <x:c r="U284" s="2" t="str">
        <x:f>INDEX('Dated offers'!$C$7:$C$305,MATCH($Z284,'Dated offers'!$A$7:$A$305,0))</x:f>
        <x:v>LCSC</x:v>
      </x:c>
      <x:c r="V284" s="2" t="str">
        <x:f>INDEX('Dated offers'!$D$7:$D$305,MATCH($Z284,'Dated offers'!$A$7:$A$305,0))</x:f>
        <x:v>C10096</x:v>
      </x:c>
      <x:c r="W284" s="24" t="n">
        <x:f>INDEX('Dated offers'!$E$7:$E$305,MATCH($Z284,'Dated offers'!$A$7:$A$305,0))</x:f>
        <x:v>46307.447472025466</x:v>
      </x:c>
      <x:c r="X284" s="2" t="b">
        <x:f>INDEX('Dated offers'!$N$7:$N$305,MATCH($Z284,'Dated offers'!$A$7:$A$305,0))</x:f>
        <x:v>0</x:v>
      </x:c>
      <x:c r="Y284" s="2" t="str">
        <x:f>INDEX('Dated offers'!$O$7:$O$305,MATCH($Z284,'Dated offers'!$A$7:$A$305,0))</x:f>
        <x:v>Unreserved inventory snapshot</x:v>
      </x:c>
      <x:c r="Z284" s="17" t="str">
        <x:v>OF0122</x:v>
      </x:c>
      <x:c r="AA284" s="2"/>
      <x:c r="AB284" s="2" t="str">
        <x:f>INDEX('Dated offers'!$Q$7:$Q$305,MATCH($Z284,'Dated offers'!$A$7:$A$305,0))</x:f>
        <x:v>https://www.lcsc.com/product-detail/C10096.html</x:v>
      </x:c>
    </x:row>
    <x:row r="285" ht="24" customHeight="1">
      <x:c r="A285" s="2" t="str">
        <x:v>25 boards / 2% planning</x:v>
      </x:c>
      <x:c r="B285" s="17" t="str">
        <x:v>SN74LVC1G97DBVR</x:v>
      </x:c>
      <x:c r="C285" s="18" t="n">
        <x:v>25</x:v>
      </x:c>
      <x:c r="D285" s="27" t="n">
        <x:v>0.02</x:v>
      </x:c>
      <x:c r="E285" s="18" t="n">
        <x:f>INDEX('Assembly BOM'!$C$7:$C$162,MATCH($B285,'Assembly BOM'!$A$7:$A$162,0))</x:f>
        <x:v>3</x:v>
      </x:c>
      <x:c r="F285" s="18" t="n">
        <x:f>C285*E285</x:f>
        <x:v>75</x:v>
      </x:c>
      <x:c r="G285" s="18" t="n">
        <x:f>ROUNDUP(F285*(1+D285),0)</x:f>
        <x:v>77</x:v>
      </x:c>
      <x:c r="H285" s="18" t="n">
        <x:f>INDEX('Dated offers'!$F$7:$F$305,MATCH($Z285,'Dated offers'!$A$7:$A$305,0))</x:f>
        <x:v>1</x:v>
      </x:c>
      <x:c r="I285" s="18" t="n">
        <x:f>INDEX('Dated offers'!$G$7:$G$305,MATCH($Z285,'Dated offers'!$A$7:$A$305,0))</x:f>
        <x:v>1</x:v>
      </x:c>
      <x:c r="J285" s="18" t="n">
        <x:f>CEILING(MAX(G285,H285),I285)</x:f>
        <x:v>77</x:v>
      </x:c>
      <x:c r="K285" s="18" t="n">
        <x:v>77</x:v>
      </x:c>
      <x:c r="L285" s="18" t="n">
        <x:f>INDEX('Dated offers'!$I$7:$I$305,MATCH($Z285,'Dated offers'!$A$7:$A$305,0))</x:f>
        <x:v>25</x:v>
      </x:c>
      <x:c r="M285" s="25" t="n">
        <x:f>INDEX('Dated offers'!$J$7:$J$305,MATCH($Z285,'Dated offers'!$A$7:$A$305,0))</x:f>
        <x:v>0.142</x:v>
      </x:c>
      <x:c r="N285" s="25" t="n">
        <x:f>INDEX('Dated offers'!$K$7:$K$305,MATCH($Z285,'Dated offers'!$A$7:$A$305,0))</x:f>
        <x:v>0</x:v>
      </x:c>
      <x:c r="O285" s="25" t="n">
        <x:f>F285*M285</x:f>
        <x:v>10.649999999999999</x:v>
      </x:c>
      <x:c r="P285" s="25" t="n">
        <x:f>G285*M285</x:f>
        <x:v>10.934</x:v>
      </x:c>
      <x:c r="Q285" s="25" t="n">
        <x:f>K285*M285+N285</x:f>
        <x:v>10.934</x:v>
      </x:c>
      <x:c r="R285" s="18" t="n">
        <x:f>K285-G285</x:f>
        <x:v>0</x:v>
      </x:c>
      <x:c r="S285" s="18" t="n">
        <x:f>INDEX('Dated offers'!$H$7:$H$305,MATCH($Z285,'Dated offers'!$A$7:$A$305,0))</x:f>
        <x:v>24044</x:v>
      </x:c>
      <x:c r="T285" s="2" t="str">
        <x:f>IF(K285&lt;G285,"Order below requirement",IF(K285&lt;L285,"Below price tier",IF(ISNUMBER(S285),IF(K285&gt;S285,"Quantity exceeds snapshot","Within quantity snapshot"),"Stock not stated")))</x:f>
        <x:v>Within quantity snapshot</x:v>
      </x:c>
      <x:c r="U285" s="2" t="str">
        <x:f>INDEX('Dated offers'!$C$7:$C$305,MATCH($Z285,'Dated offers'!$A$7:$A$305,0))</x:f>
        <x:v>DigiKey</x:v>
      </x:c>
      <x:c r="V285" s="2" t="str">
        <x:f>INDEX('Dated offers'!$D$7:$D$305,MATCH($Z285,'Dated offers'!$A$7:$A$305,0))</x:f>
        <x:v>Not stated</x:v>
      </x:c>
      <x:c r="W285" s="24" t="n">
        <x:f>INDEX('Dated offers'!$E$7:$E$305,MATCH($Z285,'Dated offers'!$A$7:$A$305,0))</x:f>
        <x:v>46307.47807267361</x:v>
      </x:c>
      <x:c r="X285" s="2" t="b">
        <x:f>INDEX('Dated offers'!$N$7:$N$305,MATCH($Z285,'Dated offers'!$A$7:$A$305,0))</x:f>
        <x:v>0</x:v>
      </x:c>
      <x:c r="Y285" s="2" t="str">
        <x:f>INDEX('Dated offers'!$O$7:$O$305,MATCH($Z285,'Dated offers'!$A$7:$A$305,0))</x:f>
        <x:v>Unreserved inventory snapshot</x:v>
      </x:c>
      <x:c r="Z285" s="17" t="str">
        <x:v>OF0123</x:v>
      </x:c>
      <x:c r="AA285" s="2"/>
      <x:c r="AB285" s="2" t="str">
        <x:f>INDEX('Dated offers'!$Q$7:$Q$305,MATCH($Z285,'Dated offers'!$A$7:$A$305,0))</x:f>
        <x:v>https://www.digikey.com/en/products/detail/texas-instruments/SN74LVC1G97DBVR/571196</x:v>
      </x:c>
    </x:row>
    <x:row r="286" ht="24" customHeight="1">
      <x:c r="A286" s="2" t="str">
        <x:v>25 boards / 2% planning</x:v>
      </x:c>
      <x:c r="B286" s="17" t="str">
        <x:v>SN74LVC2G125DCUR</x:v>
      </x:c>
      <x:c r="C286" s="18" t="n">
        <x:v>25</x:v>
      </x:c>
      <x:c r="D286" s="27" t="n">
        <x:v>0.02</x:v>
      </x:c>
      <x:c r="E286" s="18" t="n">
        <x:f>INDEX('Assembly BOM'!$C$7:$C$162,MATCH($B286,'Assembly BOM'!$A$7:$A$162,0))</x:f>
        <x:v>1</x:v>
      </x:c>
      <x:c r="F286" s="18" t="n">
        <x:f>C286*E286</x:f>
        <x:v>25</x:v>
      </x:c>
      <x:c r="G286" s="18" t="n">
        <x:f>ROUNDUP(F286*(1+D286),0)</x:f>
        <x:v>26</x:v>
      </x:c>
      <x:c r="H286" s="18" t="n">
        <x:f>INDEX('Dated offers'!$F$7:$F$305,MATCH($Z286,'Dated offers'!$A$7:$A$305,0))</x:f>
        <x:v>5</x:v>
      </x:c>
      <x:c r="I286" s="18" t="n">
        <x:f>INDEX('Dated offers'!$G$7:$G$305,MATCH($Z286,'Dated offers'!$A$7:$A$305,0))</x:f>
        <x:v>5</x:v>
      </x:c>
      <x:c r="J286" s="18" t="n">
        <x:f>CEILING(MAX(G286,H286),I286)</x:f>
        <x:v>30</x:v>
      </x:c>
      <x:c r="K286" s="18" t="n">
        <x:v>30</x:v>
      </x:c>
      <x:c r="L286" s="18" t="n">
        <x:f>INDEX('Dated offers'!$I$7:$I$305,MATCH($Z286,'Dated offers'!$A$7:$A$305,0))</x:f>
        <x:v>5</x:v>
      </x:c>
      <x:c r="M286" s="25" t="n">
        <x:f>INDEX('Dated offers'!$J$7:$J$305,MATCH($Z286,'Dated offers'!$A$7:$A$305,0))</x:f>
        <x:v>0.2091</x:v>
      </x:c>
      <x:c r="N286" s="25" t="n">
        <x:f>INDEX('Dated offers'!$K$7:$K$305,MATCH($Z286,'Dated offers'!$A$7:$A$305,0))</x:f>
        <x:v>0</x:v>
      </x:c>
      <x:c r="O286" s="25" t="n">
        <x:f>F286*M286</x:f>
        <x:v>5.2275</x:v>
      </x:c>
      <x:c r="P286" s="25" t="n">
        <x:f>G286*M286</x:f>
        <x:v>5.4366</x:v>
      </x:c>
      <x:c r="Q286" s="25" t="n">
        <x:f>K286*M286+N286</x:f>
        <x:v>6.273000000000001</x:v>
      </x:c>
      <x:c r="R286" s="18" t="n">
        <x:f>K286-G286</x:f>
        <x:v>4</x:v>
      </x:c>
      <x:c r="S286" s="18" t="n">
        <x:f>INDEX('Dated offers'!$H$7:$H$305,MATCH($Z286,'Dated offers'!$A$7:$A$305,0))</x:f>
        <x:v>255</x:v>
      </x:c>
      <x:c r="T286" s="2" t="str">
        <x:f>IF(K286&lt;G286,"Order below requirement",IF(K286&lt;L286,"Below price tier",IF(ISNUMBER(S286),IF(K286&gt;S286,"Quantity exceeds snapshot","Within quantity snapshot"),"Stock not stated")))</x:f>
        <x:v>Within quantity snapshot</x:v>
      </x:c>
      <x:c r="U286" s="2" t="str">
        <x:f>INDEX('Dated offers'!$C$7:$C$305,MATCH($Z286,'Dated offers'!$A$7:$A$305,0))</x:f>
        <x:v>LCSC</x:v>
      </x:c>
      <x:c r="V286" s="2" t="str">
        <x:f>INDEX('Dated offers'!$D$7:$D$305,MATCH($Z286,'Dated offers'!$A$7:$A$305,0))</x:f>
        <x:v>C21404</x:v>
      </x:c>
      <x:c r="W286" s="24" t="n">
        <x:f>INDEX('Dated offers'!$E$7:$E$305,MATCH($Z286,'Dated offers'!$A$7:$A$305,0))</x:f>
        <x:v>46307.44747895833</x:v>
      </x:c>
      <x:c r="X286" s="2" t="b">
        <x:f>INDEX('Dated offers'!$N$7:$N$305,MATCH($Z286,'Dated offers'!$A$7:$A$305,0))</x:f>
        <x:v>0</x:v>
      </x:c>
      <x:c r="Y286" s="2" t="str">
        <x:f>INDEX('Dated offers'!$O$7:$O$305,MATCH($Z286,'Dated offers'!$A$7:$A$305,0))</x:f>
        <x:v>Unreserved inventory snapshot</x:v>
      </x:c>
      <x:c r="Z286" s="17" t="str">
        <x:v>OF0124</x:v>
      </x:c>
      <x:c r="AA286" s="2"/>
      <x:c r="AB286" s="2" t="str">
        <x:f>INDEX('Dated offers'!$Q$7:$Q$305,MATCH($Z286,'Dated offers'!$A$7:$A$305,0))</x:f>
        <x:v>https://www.lcsc.com/product-detail/C21404.html</x:v>
      </x:c>
    </x:row>
    <x:row r="287" ht="24" customHeight="1">
      <x:c r="A287" s="2" t="str">
        <x:v>25 boards / 2% planning</x:v>
      </x:c>
      <x:c r="B287" s="17" t="str">
        <x:v>SN74LVC3G17DCUR</x:v>
      </x:c>
      <x:c r="C287" s="18" t="n">
        <x:v>25</x:v>
      </x:c>
      <x:c r="D287" s="27" t="n">
        <x:v>0.02</x:v>
      </x:c>
      <x:c r="E287" s="18" t="n">
        <x:f>INDEX('Assembly BOM'!$C$7:$C$162,MATCH($B287,'Assembly BOM'!$A$7:$A$162,0))</x:f>
        <x:v>1</x:v>
      </x:c>
      <x:c r="F287" s="18" t="n">
        <x:f>C287*E287</x:f>
        <x:v>25</x:v>
      </x:c>
      <x:c r="G287" s="18" t="n">
        <x:f>ROUNDUP(F287*(1+D287),0)</x:f>
        <x:v>26</x:v>
      </x:c>
      <x:c r="H287" s="18" t="n">
        <x:f>INDEX('Dated offers'!$F$7:$F$305,MATCH($Z287,'Dated offers'!$A$7:$A$305,0))</x:f>
        <x:v>1</x:v>
      </x:c>
      <x:c r="I287" s="18" t="n">
        <x:f>INDEX('Dated offers'!$G$7:$G$305,MATCH($Z287,'Dated offers'!$A$7:$A$305,0))</x:f>
        <x:v>1</x:v>
      </x:c>
      <x:c r="J287" s="18" t="n">
        <x:f>CEILING(MAX(G287,H287),I287)</x:f>
        <x:v>26</x:v>
      </x:c>
      <x:c r="K287" s="18" t="n">
        <x:v>26</x:v>
      </x:c>
      <x:c r="L287" s="18" t="n">
        <x:f>INDEX('Dated offers'!$I$7:$I$305,MATCH($Z287,'Dated offers'!$A$7:$A$305,0))</x:f>
        <x:v>25</x:v>
      </x:c>
      <x:c r="M287" s="25" t="n">
        <x:f>INDEX('Dated offers'!$J$7:$J$305,MATCH($Z287,'Dated offers'!$A$7:$A$305,0))</x:f>
        <x:v>0.286</x:v>
      </x:c>
      <x:c r="N287" s="25" t="n">
        <x:f>INDEX('Dated offers'!$K$7:$K$305,MATCH($Z287,'Dated offers'!$A$7:$A$305,0))</x:f>
        <x:v>0</x:v>
      </x:c>
      <x:c r="O287" s="25" t="n">
        <x:f>F287*M287</x:f>
        <x:v>7.1499999999999995</x:v>
      </x:c>
      <x:c r="P287" s="25" t="n">
        <x:f>G287*M287</x:f>
        <x:v>7.435999999999999</x:v>
      </x:c>
      <x:c r="Q287" s="25" t="n">
        <x:f>K287*M287+N287</x:f>
        <x:v>7.435999999999999</x:v>
      </x:c>
      <x:c r="R287" s="18" t="n">
        <x:f>K287-G287</x:f>
        <x:v>0</x:v>
      </x:c>
      <x:c r="S287" s="18" t="n">
        <x:f>INDEX('Dated offers'!$H$7:$H$305,MATCH($Z287,'Dated offers'!$A$7:$A$305,0))</x:f>
        <x:v>7399</x:v>
      </x:c>
      <x:c r="T287" s="2" t="str">
        <x:f>IF(K287&lt;G287,"Order below requirement",IF(K287&lt;L287,"Below price tier",IF(ISNUMBER(S287),IF(K287&gt;S287,"Quantity exceeds snapshot","Within quantity snapshot"),"Stock not stated")))</x:f>
        <x:v>Within quantity snapshot</x:v>
      </x:c>
      <x:c r="U287" s="2" t="str">
        <x:f>INDEX('Dated offers'!$C$7:$C$305,MATCH($Z287,'Dated offers'!$A$7:$A$305,0))</x:f>
        <x:v>DigiKey</x:v>
      </x:c>
      <x:c r="V287" s="2" t="str">
        <x:f>INDEX('Dated offers'!$D$7:$D$305,MATCH($Z287,'Dated offers'!$A$7:$A$305,0))</x:f>
        <x:v>Not stated</x:v>
      </x:c>
      <x:c r="W287" s="24" t="n">
        <x:f>INDEX('Dated offers'!$E$7:$E$305,MATCH($Z287,'Dated offers'!$A$7:$A$305,0))</x:f>
        <x:v>46307.47807267361</x:v>
      </x:c>
      <x:c r="X287" s="2" t="b">
        <x:f>INDEX('Dated offers'!$N$7:$N$305,MATCH($Z287,'Dated offers'!$A$7:$A$305,0))</x:f>
        <x:v>0</x:v>
      </x:c>
      <x:c r="Y287" s="2" t="str">
        <x:f>INDEX('Dated offers'!$O$7:$O$305,MATCH($Z287,'Dated offers'!$A$7:$A$305,0))</x:f>
        <x:v>Unreserved inventory snapshot</x:v>
      </x:c>
      <x:c r="Z287" s="17" t="str">
        <x:v>OF0125</x:v>
      </x:c>
      <x:c r="AA287" s="2"/>
      <x:c r="AB287" s="2" t="str">
        <x:f>INDEX('Dated offers'!$Q$7:$Q$305,MATCH($Z287,'Dated offers'!$A$7:$A$305,0))</x:f>
        <x:v>https://www.digikey.com/en/products/detail/texas-instruments/SN74LVC3G17DCUR/863652</x:v>
      </x:c>
    </x:row>
    <x:row r="288" ht="24" customHeight="1">
      <x:c r="A288" s="2" t="str">
        <x:v>25 boards / 2% planning</x:v>
      </x:c>
      <x:c r="B288" s="17" t="str">
        <x:v>SRP1265A-220M</x:v>
      </x:c>
      <x:c r="C288" s="18" t="n">
        <x:v>25</x:v>
      </x:c>
      <x:c r="D288" s="27" t="n">
        <x:v>0.02</x:v>
      </x:c>
      <x:c r="E288" s="18" t="n">
        <x:f>INDEX('Assembly BOM'!$C$7:$C$162,MATCH($B288,'Assembly BOM'!$A$7:$A$162,0))</x:f>
        <x:v>1</x:v>
      </x:c>
      <x:c r="F288" s="18" t="n">
        <x:f>C288*E288</x:f>
        <x:v>25</x:v>
      </x:c>
      <x:c r="G288" s="18" t="n">
        <x:f>ROUNDUP(F288*(1+D288),0)</x:f>
        <x:v>26</x:v>
      </x:c>
      <x:c r="H288" s="18" t="n">
        <x:f>INDEX('Dated offers'!$F$7:$F$305,MATCH($Z288,'Dated offers'!$A$7:$A$305,0))</x:f>
        <x:v>1</x:v>
      </x:c>
      <x:c r="I288" s="18" t="n">
        <x:f>INDEX('Dated offers'!$G$7:$G$305,MATCH($Z288,'Dated offers'!$A$7:$A$305,0))</x:f>
        <x:v>1</x:v>
      </x:c>
      <x:c r="J288" s="18" t="n">
        <x:f>CEILING(MAX(G288,H288),I288)</x:f>
        <x:v>26</x:v>
      </x:c>
      <x:c r="K288" s="18" t="n">
        <x:v>26</x:v>
      </x:c>
      <x:c r="L288" s="18" t="n">
        <x:f>INDEX('Dated offers'!$I$7:$I$305,MATCH($Z288,'Dated offers'!$A$7:$A$305,0))</x:f>
        <x:v>25</x:v>
      </x:c>
      <x:c r="M288" s="25" t="n">
        <x:f>INDEX('Dated offers'!$J$7:$J$305,MATCH($Z288,'Dated offers'!$A$7:$A$305,0))</x:f>
        <x:v>1.27</x:v>
      </x:c>
      <x:c r="N288" s="25" t="n">
        <x:f>INDEX('Dated offers'!$K$7:$K$305,MATCH($Z288,'Dated offers'!$A$7:$A$305,0))</x:f>
        <x:v>0</x:v>
      </x:c>
      <x:c r="O288" s="25" t="n">
        <x:f>F288*M288</x:f>
        <x:v>31.75</x:v>
      </x:c>
      <x:c r="P288" s="25" t="n">
        <x:f>G288*M288</x:f>
        <x:v>33.02</x:v>
      </x:c>
      <x:c r="Q288" s="25" t="n">
        <x:f>K288*M288+N288</x:f>
        <x:v>33.02</x:v>
      </x:c>
      <x:c r="R288" s="18" t="n">
        <x:f>K288-G288</x:f>
        <x:v>0</x:v>
      </x:c>
      <x:c r="S288" s="18" t="n">
        <x:f>INDEX('Dated offers'!$H$7:$H$305,MATCH($Z288,'Dated offers'!$A$7:$A$305,0))</x:f>
        <x:v>5520</x:v>
      </x:c>
      <x:c r="T288" s="2" t="str">
        <x:f>IF(K288&lt;G288,"Order below requirement",IF(K288&lt;L288,"Below price tier",IF(ISNUMBER(S288),IF(K288&gt;S288,"Quantity exceeds snapshot","Within quantity snapshot"),"Stock not stated")))</x:f>
        <x:v>Within quantity snapshot</x:v>
      </x:c>
      <x:c r="U288" s="2" t="str">
        <x:f>INDEX('Dated offers'!$C$7:$C$305,MATCH($Z288,'Dated offers'!$A$7:$A$305,0))</x:f>
        <x:v>DigiKey</x:v>
      </x:c>
      <x:c r="V288" s="2" t="str">
        <x:f>INDEX('Dated offers'!$D$7:$D$305,MATCH($Z288,'Dated offers'!$A$7:$A$305,0))</x:f>
        <x:v>Not stated</x:v>
      </x:c>
      <x:c r="W288" s="24" t="n">
        <x:f>INDEX('Dated offers'!$E$7:$E$305,MATCH($Z288,'Dated offers'!$A$7:$A$305,0))</x:f>
        <x:v>46307.47807266204</x:v>
      </x:c>
      <x:c r="X288" s="2" t="b">
        <x:f>INDEX('Dated offers'!$N$7:$N$305,MATCH($Z288,'Dated offers'!$A$7:$A$305,0))</x:f>
        <x:v>0</x:v>
      </x:c>
      <x:c r="Y288" s="2" t="str">
        <x:f>INDEX('Dated offers'!$O$7:$O$305,MATCH($Z288,'Dated offers'!$A$7:$A$305,0))</x:f>
        <x:v>Unreserved inventory snapshot</x:v>
      </x:c>
      <x:c r="Z288" s="17" t="str">
        <x:v>OF0126</x:v>
      </x:c>
      <x:c r="AA288" s="2"/>
      <x:c r="AB288" s="2" t="str">
        <x:f>INDEX('Dated offers'!$Q$7:$Q$305,MATCH($Z288,'Dated offers'!$A$7:$A$305,0))</x:f>
        <x:v>https://www.digikey.com/en/products/detail/bourns-inc/SRP1265A-220M/4876624</x:v>
      </x:c>
    </x:row>
    <x:row r="289" ht="24" customHeight="1">
      <x:c r="A289" s="2" t="str">
        <x:v>25 boards / 2% planning</x:v>
      </x:c>
      <x:c r="B289" s="17" t="str">
        <x:v>SRP5030TA-2R2M</x:v>
      </x:c>
      <x:c r="C289" s="18" t="n">
        <x:v>25</x:v>
      </x:c>
      <x:c r="D289" s="27" t="n">
        <x:v>0.02</x:v>
      </x:c>
      <x:c r="E289" s="18" t="n">
        <x:f>INDEX('Assembly BOM'!$C$7:$C$162,MATCH($B289,'Assembly BOM'!$A$7:$A$162,0))</x:f>
        <x:v>4</x:v>
      </x:c>
      <x:c r="F289" s="18" t="n">
        <x:f>C289*E289</x:f>
        <x:v>100</x:v>
      </x:c>
      <x:c r="G289" s="18" t="n">
        <x:f>ROUNDUP(F289*(1+D289),0)</x:f>
        <x:v>102</x:v>
      </x:c>
      <x:c r="H289" s="18" t="n">
        <x:f>INDEX('Dated offers'!$F$7:$F$305,MATCH($Z289,'Dated offers'!$A$7:$A$305,0))</x:f>
        <x:v>1</x:v>
      </x:c>
      <x:c r="I289" s="18" t="n">
        <x:f>INDEX('Dated offers'!$G$7:$G$305,MATCH($Z289,'Dated offers'!$A$7:$A$305,0))</x:f>
        <x:v>1</x:v>
      </x:c>
      <x:c r="J289" s="18" t="n">
        <x:f>CEILING(MAX(G289,H289),I289)</x:f>
        <x:v>102</x:v>
      </x:c>
      <x:c r="K289" s="18" t="n">
        <x:v>102</x:v>
      </x:c>
      <x:c r="L289" s="18" t="n">
        <x:f>INDEX('Dated offers'!$I$7:$I$305,MATCH($Z289,'Dated offers'!$A$7:$A$305,0))</x:f>
        <x:v>100</x:v>
      </x:c>
      <x:c r="M289" s="25" t="n">
        <x:f>INDEX('Dated offers'!$J$7:$J$305,MATCH($Z289,'Dated offers'!$A$7:$A$305,0))</x:f>
        <x:v>0.7012</x:v>
      </x:c>
      <x:c r="N289" s="25" t="n">
        <x:f>INDEX('Dated offers'!$K$7:$K$305,MATCH($Z289,'Dated offers'!$A$7:$A$305,0))</x:f>
        <x:v>0</x:v>
      </x:c>
      <x:c r="O289" s="25" t="n">
        <x:f>F289*M289</x:f>
        <x:v>70.12</x:v>
      </x:c>
      <x:c r="P289" s="25" t="n">
        <x:f>G289*M289</x:f>
        <x:v>71.5224</x:v>
      </x:c>
      <x:c r="Q289" s="25" t="n">
        <x:f>K289*M289+N289</x:f>
        <x:v>71.5224</x:v>
      </x:c>
      <x:c r="R289" s="18" t="n">
        <x:f>K289-G289</x:f>
        <x:v>0</x:v>
      </x:c>
      <x:c r="S289" s="18" t="n">
        <x:f>INDEX('Dated offers'!$H$7:$H$305,MATCH($Z289,'Dated offers'!$A$7:$A$305,0))</x:f>
        <x:v>7030</x:v>
      </x:c>
      <x:c r="T289" s="2" t="str">
        <x:f>IF(K289&lt;G289,"Order below requirement",IF(K289&lt;L289,"Below price tier",IF(ISNUMBER(S289),IF(K289&gt;S289,"Quantity exceeds snapshot","Within quantity snapshot"),"Stock not stated")))</x:f>
        <x:v>Within quantity snapshot</x:v>
      </x:c>
      <x:c r="U289" s="2" t="str">
        <x:f>INDEX('Dated offers'!$C$7:$C$305,MATCH($Z289,'Dated offers'!$A$7:$A$305,0))</x:f>
        <x:v>DigiKey</x:v>
      </x:c>
      <x:c r="V289" s="2" t="str">
        <x:f>INDEX('Dated offers'!$D$7:$D$305,MATCH($Z289,'Dated offers'!$A$7:$A$305,0))</x:f>
        <x:v>Not stated</x:v>
      </x:c>
      <x:c r="W289" s="24" t="n">
        <x:f>INDEX('Dated offers'!$E$7:$E$305,MATCH($Z289,'Dated offers'!$A$7:$A$305,0))</x:f>
        <x:v>46307.47807266204</x:v>
      </x:c>
      <x:c r="X289" s="2" t="b">
        <x:f>INDEX('Dated offers'!$N$7:$N$305,MATCH($Z289,'Dated offers'!$A$7:$A$305,0))</x:f>
        <x:v>0</x:v>
      </x:c>
      <x:c r="Y289" s="2" t="str">
        <x:f>INDEX('Dated offers'!$O$7:$O$305,MATCH($Z289,'Dated offers'!$A$7:$A$305,0))</x:f>
        <x:v>Unreserved inventory snapshot</x:v>
      </x:c>
      <x:c r="Z289" s="17" t="str">
        <x:v>OF0127</x:v>
      </x:c>
      <x:c r="AA289" s="2"/>
      <x:c r="AB289" s="2" t="str">
        <x:f>INDEX('Dated offers'!$Q$7:$Q$305,MATCH($Z289,'Dated offers'!$A$7:$A$305,0))</x:f>
        <x:v>https://www.digikey.com/en/products/detail/bourns-inc/SRP5030TA-2R2M/5429671</x:v>
      </x:c>
    </x:row>
    <x:row r="290" ht="24" customHeight="1">
      <x:c r="A290" s="2" t="str">
        <x:v>25 boards / 2% planning</x:v>
      </x:c>
      <x:c r="B290" s="17" t="str">
        <x:v>SRP6030CA-2R2M</x:v>
      </x:c>
      <x:c r="C290" s="18" t="n">
        <x:v>25</x:v>
      </x:c>
      <x:c r="D290" s="27" t="n">
        <x:v>0.02</x:v>
      </x:c>
      <x:c r="E290" s="18" t="n">
        <x:f>INDEX('Assembly BOM'!$C$7:$C$162,MATCH($B290,'Assembly BOM'!$A$7:$A$162,0))</x:f>
        <x:v>1</x:v>
      </x:c>
      <x:c r="F290" s="18" t="n">
        <x:f>C290*E290</x:f>
        <x:v>25</x:v>
      </x:c>
      <x:c r="G290" s="18" t="n">
        <x:f>ROUNDUP(F290*(1+D290),0)</x:f>
        <x:v>26</x:v>
      </x:c>
      <x:c r="H290" s="18" t="n">
        <x:f>INDEX('Dated offers'!$F$7:$F$305,MATCH($Z290,'Dated offers'!$A$7:$A$305,0))</x:f>
        <x:v>1</x:v>
      </x:c>
      <x:c r="I290" s="18" t="n">
        <x:f>INDEX('Dated offers'!$G$7:$G$305,MATCH($Z290,'Dated offers'!$A$7:$A$305,0))</x:f>
        <x:v>1</x:v>
      </x:c>
      <x:c r="J290" s="18" t="n">
        <x:f>CEILING(MAX(G290,H290),I290)</x:f>
        <x:v>26</x:v>
      </x:c>
      <x:c r="K290" s="18" t="n">
        <x:v>26</x:v>
      </x:c>
      <x:c r="L290" s="18" t="n">
        <x:f>INDEX('Dated offers'!$I$7:$I$305,MATCH($Z290,'Dated offers'!$A$7:$A$305,0))</x:f>
        <x:v>25</x:v>
      </x:c>
      <x:c r="M290" s="25" t="n">
        <x:f>INDEX('Dated offers'!$J$7:$J$305,MATCH($Z290,'Dated offers'!$A$7:$A$305,0))</x:f>
        <x:v>1.204</x:v>
      </x:c>
      <x:c r="N290" s="25" t="n">
        <x:f>INDEX('Dated offers'!$K$7:$K$305,MATCH($Z290,'Dated offers'!$A$7:$A$305,0))</x:f>
        <x:v>0</x:v>
      </x:c>
      <x:c r="O290" s="25" t="n">
        <x:f>F290*M290</x:f>
        <x:v>30.099999999999998</x:v>
      </x:c>
      <x:c r="P290" s="25" t="n">
        <x:f>G290*M290</x:f>
        <x:v>31.304</x:v>
      </x:c>
      <x:c r="Q290" s="25" t="n">
        <x:f>K290*M290+N290</x:f>
        <x:v>31.304</x:v>
      </x:c>
      <x:c r="R290" s="18" t="n">
        <x:f>K290-G290</x:f>
        <x:v>0</x:v>
      </x:c>
      <x:c r="S290" s="18" t="n">
        <x:f>INDEX('Dated offers'!$H$7:$H$305,MATCH($Z290,'Dated offers'!$A$7:$A$305,0))</x:f>
        <x:v>5195</x:v>
      </x:c>
      <x:c r="T290" s="2" t="str">
        <x:f>IF(K290&lt;G290,"Order below requirement",IF(K290&lt;L290,"Below price tier",IF(ISNUMBER(S290),IF(K290&gt;S290,"Quantity exceeds snapshot","Within quantity snapshot"),"Stock not stated")))</x:f>
        <x:v>Within quantity snapshot</x:v>
      </x:c>
      <x:c r="U290" s="2" t="str">
        <x:f>INDEX('Dated offers'!$C$7:$C$305,MATCH($Z290,'Dated offers'!$A$7:$A$305,0))</x:f>
        <x:v>DigiKey</x:v>
      </x:c>
      <x:c r="V290" s="2" t="str">
        <x:f>INDEX('Dated offers'!$D$7:$D$305,MATCH($Z290,'Dated offers'!$A$7:$A$305,0))</x:f>
        <x:v>Not stated</x:v>
      </x:c>
      <x:c r="W290" s="24" t="n">
        <x:f>INDEX('Dated offers'!$E$7:$E$305,MATCH($Z290,'Dated offers'!$A$7:$A$305,0))</x:f>
        <x:v>46307.47807255787</x:v>
      </x:c>
      <x:c r="X290" s="2" t="b">
        <x:f>INDEX('Dated offers'!$N$7:$N$305,MATCH($Z290,'Dated offers'!$A$7:$A$305,0))</x:f>
        <x:v>0</x:v>
      </x:c>
      <x:c r="Y290" s="2" t="str">
        <x:f>INDEX('Dated offers'!$O$7:$O$305,MATCH($Z290,'Dated offers'!$A$7:$A$305,0))</x:f>
        <x:v>Unreserved inventory snapshot</x:v>
      </x:c>
      <x:c r="Z290" s="17" t="str">
        <x:v>OF0128</x:v>
      </x:c>
      <x:c r="AA290" s="2"/>
      <x:c r="AB290" s="2" t="str">
        <x:f>INDEX('Dated offers'!$Q$7:$Q$305,MATCH($Z290,'Dated offers'!$A$7:$A$305,0))</x:f>
        <x:v>https://www.digikey.com/en/products/detail/bourns-inc/SRP6030CA-2R2M/9351038</x:v>
      </x:c>
    </x:row>
    <x:row r="291" ht="24" customHeight="1">
      <x:c r="A291" s="2" t="str">
        <x:v>25 boards / 2% planning</x:v>
      </x:c>
      <x:c r="B291" s="17" t="str">
        <x:v>SS-7188S-A-NF</x:v>
      </x:c>
      <x:c r="C291" s="18" t="n">
        <x:v>25</x:v>
      </x:c>
      <x:c r="D291" s="27" t="n">
        <x:v>0.02</x:v>
      </x:c>
      <x:c r="E291" s="18" t="n">
        <x:f>INDEX('Assembly BOM'!$C$7:$C$162,MATCH($B291,'Assembly BOM'!$A$7:$A$162,0))</x:f>
        <x:v>1</x:v>
      </x:c>
      <x:c r="F291" s="18" t="n">
        <x:f>C291*E291</x:f>
        <x:v>25</x:v>
      </x:c>
      <x:c r="G291" s="18" t="n">
        <x:f>ROUNDUP(F291*(1+D291),0)</x:f>
        <x:v>26</x:v>
      </x:c>
      <x:c r="H291" s="18" t="n">
        <x:f>INDEX('Dated offers'!$F$7:$F$305,MATCH($Z291,'Dated offers'!$A$7:$A$305,0))</x:f>
        <x:v>1</x:v>
      </x:c>
      <x:c r="I291" s="18" t="n">
        <x:f>INDEX('Dated offers'!$G$7:$G$305,MATCH($Z291,'Dated offers'!$A$7:$A$305,0))</x:f>
        <x:v>1</x:v>
      </x:c>
      <x:c r="J291" s="18" t="n">
        <x:f>CEILING(MAX(G291,H291),I291)</x:f>
        <x:v>26</x:v>
      </x:c>
      <x:c r="K291" s="18" t="n">
        <x:v>26</x:v>
      </x:c>
      <x:c r="L291" s="18" t="n">
        <x:f>INDEX('Dated offers'!$I$7:$I$305,MATCH($Z291,'Dated offers'!$A$7:$A$305,0))</x:f>
        <x:v>10</x:v>
      </x:c>
      <x:c r="M291" s="25" t="n">
        <x:f>INDEX('Dated offers'!$J$7:$J$305,MATCH($Z291,'Dated offers'!$A$7:$A$305,0))</x:f>
        <x:v>2.36</x:v>
      </x:c>
      <x:c r="N291" s="25" t="n">
        <x:f>INDEX('Dated offers'!$K$7:$K$305,MATCH($Z291,'Dated offers'!$A$7:$A$305,0))</x:f>
        <x:v>0</x:v>
      </x:c>
      <x:c r="O291" s="25" t="n">
        <x:f>F291*M291</x:f>
        <x:v>59</x:v>
      </x:c>
      <x:c r="P291" s="25" t="n">
        <x:f>G291*M291</x:f>
        <x:v>61.36</x:v>
      </x:c>
      <x:c r="Q291" s="25" t="n">
        <x:f>K291*M291+N291</x:f>
        <x:v>61.36</x:v>
      </x:c>
      <x:c r="R291" s="18" t="n">
        <x:f>K291-G291</x:f>
        <x:v>0</x:v>
      </x:c>
      <x:c r="S291" s="18" t="n">
        <x:f>INDEX('Dated offers'!$H$7:$H$305,MATCH($Z291,'Dated offers'!$A$7:$A$305,0))</x:f>
        <x:v>5038</x:v>
      </x:c>
      <x:c r="T291" s="2" t="str">
        <x:f>IF(K291&lt;G291,"Order below requirement",IF(K291&lt;L291,"Below price tier",IF(ISNUMBER(S291),IF(K291&gt;S291,"Quantity exceeds snapshot","Within quantity snapshot"),"Stock not stated")))</x:f>
        <x:v>Within quantity snapshot</x:v>
      </x:c>
      <x:c r="U291" s="2" t="str">
        <x:f>INDEX('Dated offers'!$C$7:$C$305,MATCH($Z291,'Dated offers'!$A$7:$A$305,0))</x:f>
        <x:v>DigiKey</x:v>
      </x:c>
      <x:c r="V291" s="2" t="str">
        <x:f>INDEX('Dated offers'!$D$7:$D$305,MATCH($Z291,'Dated offers'!$A$7:$A$305,0))</x:f>
        <x:v>Not stated</x:v>
      </x:c>
      <x:c r="W291" s="24" t="n">
        <x:f>INDEX('Dated offers'!$E$7:$E$305,MATCH($Z291,'Dated offers'!$A$7:$A$305,0))</x:f>
        <x:v>46307.478072592596</x:v>
      </x:c>
      <x:c r="X291" s="2" t="b">
        <x:f>INDEX('Dated offers'!$N$7:$N$305,MATCH($Z291,'Dated offers'!$A$7:$A$305,0))</x:f>
        <x:v>0</x:v>
      </x:c>
      <x:c r="Y291" s="2" t="str">
        <x:f>INDEX('Dated offers'!$O$7:$O$305,MATCH($Z291,'Dated offers'!$A$7:$A$305,0))</x:f>
        <x:v>Unreserved inventory snapshot</x:v>
      </x:c>
      <x:c r="Z291" s="17" t="str">
        <x:v>OF0129</x:v>
      </x:c>
      <x:c r="AA291" s="2"/>
      <x:c r="AB291" s="2" t="str">
        <x:f>INDEX('Dated offers'!$Q$7:$Q$305,MATCH($Z291,'Dated offers'!$A$7:$A$305,0))</x:f>
        <x:v>https://www.digikey.com/en/products/detail/stewart-connector/SS-7188S-A-NF/388309</x:v>
      </x:c>
    </x:row>
    <x:row r="292" ht="24" customHeight="1">
      <x:c r="A292" s="2" t="str">
        <x:v>25 boards / 2% planning</x:v>
      </x:c>
      <x:c r="B292" s="17" t="str">
        <x:v>ST4SI3M004600HFW</x:v>
      </x:c>
      <x:c r="C292" s="18" t="n">
        <x:v>25</x:v>
      </x:c>
      <x:c r="D292" s="27" t="n">
        <x:v>0.02</x:v>
      </x:c>
      <x:c r="E292" s="18" t="n">
        <x:f>INDEX('Assembly BOM'!$C$7:$C$162,MATCH($B292,'Assembly BOM'!$A$7:$A$162,0))</x:f>
        <x:v>1</x:v>
      </x:c>
      <x:c r="F292" s="18" t="n">
        <x:f>C292*E292</x:f>
        <x:v>25</x:v>
      </x:c>
      <x:c r="G292" s="18" t="n">
        <x:f>ROUNDUP(F292*(1+D292),0)</x:f>
        <x:v>26</x:v>
      </x:c>
      <x:c r="H292" s="18" t="n">
        <x:f>INDEX('Dated offers'!$F$7:$F$305,MATCH($Z292,'Dated offers'!$A$7:$A$305,0))</x:f>
        <x:v>1</x:v>
      </x:c>
      <x:c r="I292" s="18" t="n">
        <x:f>INDEX('Dated offers'!$G$7:$G$305,MATCH($Z292,'Dated offers'!$A$7:$A$305,0))</x:f>
        <x:v>1</x:v>
      </x:c>
      <x:c r="J292" s="18" t="n">
        <x:f>CEILING(MAX(G292,H292),I292)</x:f>
        <x:v>26</x:v>
      </x:c>
      <x:c r="K292" s="18" t="n">
        <x:v>26</x:v>
      </x:c>
      <x:c r="L292" s="18" t="n">
        <x:f>INDEX('Dated offers'!$I$7:$I$305,MATCH($Z292,'Dated offers'!$A$7:$A$305,0))</x:f>
        <x:v>25</x:v>
      </x:c>
      <x:c r="M292" s="25" t="n">
        <x:f>INDEX('Dated offers'!$J$7:$J$305,MATCH($Z292,'Dated offers'!$A$7:$A$305,0))</x:f>
        <x:v>3.2436</x:v>
      </x:c>
      <x:c r="N292" s="25" t="n">
        <x:f>INDEX('Dated offers'!$K$7:$K$305,MATCH($Z292,'Dated offers'!$A$7:$A$305,0))</x:f>
        <x:v>0</x:v>
      </x:c>
      <x:c r="O292" s="25" t="n">
        <x:f>F292*M292</x:f>
        <x:v>81.08999999999999</x:v>
      </x:c>
      <x:c r="P292" s="25" t="n">
        <x:f>G292*M292</x:f>
        <x:v>84.33359999999999</x:v>
      </x:c>
      <x:c r="Q292" s="25" t="n">
        <x:f>K292*M292+N292</x:f>
        <x:v>84.33359999999999</x:v>
      </x:c>
      <x:c r="R292" s="18" t="n">
        <x:f>K292-G292</x:f>
        <x:v>0</x:v>
      </x:c>
      <x:c r="S292" s="18" t="n">
        <x:f>INDEX('Dated offers'!$H$7:$H$305,MATCH($Z292,'Dated offers'!$A$7:$A$305,0))</x:f>
        <x:v>978</x:v>
      </x:c>
      <x:c r="T292" s="2" t="str">
        <x:f>IF(K292&lt;G292,"Order below requirement",IF(K292&lt;L292,"Below price tier",IF(ISNUMBER(S292),IF(K292&gt;S292,"Quantity exceeds snapshot","Within quantity snapshot"),"Stock not stated")))</x:f>
        <x:v>Within quantity snapshot</x:v>
      </x:c>
      <x:c r="U292" s="2" t="str">
        <x:f>INDEX('Dated offers'!$C$7:$C$305,MATCH($Z292,'Dated offers'!$A$7:$A$305,0))</x:f>
        <x:v>DigiKey</x:v>
      </x:c>
      <x:c r="V292" s="2" t="str">
        <x:f>INDEX('Dated offers'!$D$7:$D$305,MATCH($Z292,'Dated offers'!$A$7:$A$305,0))</x:f>
        <x:v>Not stated</x:v>
      </x:c>
      <x:c r="W292" s="24" t="n">
        <x:f>INDEX('Dated offers'!$E$7:$E$305,MATCH($Z292,'Dated offers'!$A$7:$A$305,0))</x:f>
        <x:v>46307.478072592596</x:v>
      </x:c>
      <x:c r="X292" s="2" t="b">
        <x:f>INDEX('Dated offers'!$N$7:$N$305,MATCH($Z292,'Dated offers'!$A$7:$A$305,0))</x:f>
        <x:v>0</x:v>
      </x:c>
      <x:c r="Y292" s="2" t="str">
        <x:f>INDEX('Dated offers'!$O$7:$O$305,MATCH($Z292,'Dated offers'!$A$7:$A$305,0))</x:f>
        <x:v>Unreserved inventory snapshot</x:v>
      </x:c>
      <x:c r="Z292" s="17" t="str">
        <x:v>OF0130</x:v>
      </x:c>
      <x:c r="AA292" s="2"/>
      <x:c r="AB292" s="2" t="str">
        <x:f>INDEX('Dated offers'!$Q$7:$Q$305,MATCH($Z292,'Dated offers'!$A$7:$A$305,0))</x:f>
        <x:v>https://www.digikey.com/en/products/detail/stmicroelectronics/ST4SI3M004600HFW/27684322</x:v>
      </x:c>
    </x:row>
    <x:row r="293" ht="24" customHeight="1">
      <x:c r="A293" s="2" t="str">
        <x:v>25 boards / 2% planning</x:v>
      </x:c>
      <x:c r="B293" s="17" t="str">
        <x:v>TLV7011DBVR</x:v>
      </x:c>
      <x:c r="C293" s="18" t="n">
        <x:v>25</x:v>
      </x:c>
      <x:c r="D293" s="27" t="n">
        <x:v>0.02</x:v>
      </x:c>
      <x:c r="E293" s="18" t="n">
        <x:f>INDEX('Assembly BOM'!$C$7:$C$162,MATCH($B293,'Assembly BOM'!$A$7:$A$162,0))</x:f>
        <x:v>1</x:v>
      </x:c>
      <x:c r="F293" s="18" t="n">
        <x:f>C293*E293</x:f>
        <x:v>25</x:v>
      </x:c>
      <x:c r="G293" s="18" t="n">
        <x:f>ROUNDUP(F293*(1+D293),0)</x:f>
        <x:v>26</x:v>
      </x:c>
      <x:c r="H293" s="18" t="n">
        <x:f>INDEX('Dated offers'!$F$7:$F$305,MATCH($Z293,'Dated offers'!$A$7:$A$305,0))</x:f>
        <x:v>1</x:v>
      </x:c>
      <x:c r="I293" s="18" t="n">
        <x:f>INDEX('Dated offers'!$G$7:$G$305,MATCH($Z293,'Dated offers'!$A$7:$A$305,0))</x:f>
        <x:v>1</x:v>
      </x:c>
      <x:c r="J293" s="18" t="n">
        <x:f>CEILING(MAX(G293,H293),I293)</x:f>
        <x:v>26</x:v>
      </x:c>
      <x:c r="K293" s="18" t="n">
        <x:v>26</x:v>
      </x:c>
      <x:c r="L293" s="18" t="n">
        <x:f>INDEX('Dated offers'!$I$7:$I$305,MATCH($Z293,'Dated offers'!$A$7:$A$305,0))</x:f>
        <x:v>10</x:v>
      </x:c>
      <x:c r="M293" s="25" t="n">
        <x:f>INDEX('Dated offers'!$J$7:$J$305,MATCH($Z293,'Dated offers'!$A$7:$A$305,0))</x:f>
        <x:v>0.4402</x:v>
      </x:c>
      <x:c r="N293" s="25" t="n">
        <x:f>INDEX('Dated offers'!$K$7:$K$305,MATCH($Z293,'Dated offers'!$A$7:$A$305,0))</x:f>
        <x:v>0</x:v>
      </x:c>
      <x:c r="O293" s="25" t="n">
        <x:f>F293*M293</x:f>
        <x:v>11.004999999999999</x:v>
      </x:c>
      <x:c r="P293" s="25" t="n">
        <x:f>G293*M293</x:f>
        <x:v>11.4452</x:v>
      </x:c>
      <x:c r="Q293" s="25" t="n">
        <x:f>K293*M293+N293</x:f>
        <x:v>11.4452</x:v>
      </x:c>
      <x:c r="R293" s="18" t="n">
        <x:f>K293-G293</x:f>
        <x:v>0</x:v>
      </x:c>
      <x:c r="S293" s="18" t="n">
        <x:f>INDEX('Dated offers'!$H$7:$H$305,MATCH($Z293,'Dated offers'!$A$7:$A$305,0))</x:f>
        <x:v>7083</x:v>
      </x:c>
      <x:c r="T293" s="2" t="str">
        <x:f>IF(K293&lt;G293,"Order below requirement",IF(K293&lt;L293,"Below price tier",IF(ISNUMBER(S293),IF(K293&gt;S293,"Quantity exceeds snapshot","Within quantity snapshot"),"Stock not stated")))</x:f>
        <x:v>Within quantity snapshot</x:v>
      </x:c>
      <x:c r="U293" s="2" t="str">
        <x:f>INDEX('Dated offers'!$C$7:$C$305,MATCH($Z293,'Dated offers'!$A$7:$A$305,0))</x:f>
        <x:v>LCSC</x:v>
      </x:c>
      <x:c r="V293" s="2" t="str">
        <x:f>INDEX('Dated offers'!$D$7:$D$305,MATCH($Z293,'Dated offers'!$A$7:$A$305,0))</x:f>
        <x:v>C702117</x:v>
      </x:c>
      <x:c r="W293" s="24" t="n">
        <x:f>INDEX('Dated offers'!$E$7:$E$305,MATCH($Z293,'Dated offers'!$A$7:$A$305,0))</x:f>
        <x:v>46307.44747554398</x:v>
      </x:c>
      <x:c r="X293" s="2" t="b">
        <x:f>INDEX('Dated offers'!$N$7:$N$305,MATCH($Z293,'Dated offers'!$A$7:$A$305,0))</x:f>
        <x:v>0</x:v>
      </x:c>
      <x:c r="Y293" s="2" t="str">
        <x:f>INDEX('Dated offers'!$O$7:$O$305,MATCH($Z293,'Dated offers'!$A$7:$A$305,0))</x:f>
        <x:v>Unreserved inventory snapshot</x:v>
      </x:c>
      <x:c r="Z293" s="17" t="str">
        <x:v>OF0131</x:v>
      </x:c>
      <x:c r="AA293" s="2"/>
      <x:c r="AB293" s="2" t="str">
        <x:f>INDEX('Dated offers'!$Q$7:$Q$305,MATCH($Z293,'Dated offers'!$A$7:$A$305,0))</x:f>
        <x:v>https://www.lcsc.com/product-detail/C702117.html</x:v>
      </x:c>
    </x:row>
    <x:row r="294" ht="24" customHeight="1">
      <x:c r="A294" s="2" t="str">
        <x:v>25 boards / 2% planning</x:v>
      </x:c>
      <x:c r="B294" s="17" t="str">
        <x:v>TMP102AIDRLR</x:v>
      </x:c>
      <x:c r="C294" s="18" t="n">
        <x:v>25</x:v>
      </x:c>
      <x:c r="D294" s="27" t="n">
        <x:v>0.02</x:v>
      </x:c>
      <x:c r="E294" s="18" t="n">
        <x:f>INDEX('Assembly BOM'!$C$7:$C$162,MATCH($B294,'Assembly BOM'!$A$7:$A$162,0))</x:f>
        <x:v>1</x:v>
      </x:c>
      <x:c r="F294" s="18" t="n">
        <x:f>C294*E294</x:f>
        <x:v>25</x:v>
      </x:c>
      <x:c r="G294" s="18" t="n">
        <x:f>ROUNDUP(F294*(1+D294),0)</x:f>
        <x:v>26</x:v>
      </x:c>
      <x:c r="H294" s="18" t="n">
        <x:f>INDEX('Dated offers'!$F$7:$F$305,MATCH($Z294,'Dated offers'!$A$7:$A$305,0))</x:f>
        <x:v>1</x:v>
      </x:c>
      <x:c r="I294" s="18" t="n">
        <x:f>INDEX('Dated offers'!$G$7:$G$305,MATCH($Z294,'Dated offers'!$A$7:$A$305,0))</x:f>
        <x:v>1</x:v>
      </x:c>
      <x:c r="J294" s="18" t="n">
        <x:f>CEILING(MAX(G294,H294),I294)</x:f>
        <x:v>26</x:v>
      </x:c>
      <x:c r="K294" s="18" t="n">
        <x:v>30</x:v>
      </x:c>
      <x:c r="L294" s="18" t="n">
        <x:f>INDEX('Dated offers'!$I$7:$I$305,MATCH($Z294,'Dated offers'!$A$7:$A$305,0))</x:f>
        <x:v>30</x:v>
      </x:c>
      <x:c r="M294" s="25" t="n">
        <x:f>INDEX('Dated offers'!$J$7:$J$305,MATCH($Z294,'Dated offers'!$A$7:$A$305,0))</x:f>
        <x:v>0.541</x:v>
      </x:c>
      <x:c r="N294" s="25" t="n">
        <x:f>INDEX('Dated offers'!$K$7:$K$305,MATCH($Z294,'Dated offers'!$A$7:$A$305,0))</x:f>
        <x:v>0</x:v>
      </x:c>
      <x:c r="O294" s="25" t="n">
        <x:f>F294*M294</x:f>
        <x:v>13.525</x:v>
      </x:c>
      <x:c r="P294" s="25" t="n">
        <x:f>G294*M294</x:f>
        <x:v>14.066</x:v>
      </x:c>
      <x:c r="Q294" s="25" t="n">
        <x:f>K294*M294+N294</x:f>
        <x:v>16.23</x:v>
      </x:c>
      <x:c r="R294" s="18" t="n">
        <x:f>K294-G294</x:f>
        <x:v>4</x:v>
      </x:c>
      <x:c r="S294" s="18" t="n">
        <x:f>INDEX('Dated offers'!$H$7:$H$305,MATCH($Z294,'Dated offers'!$A$7:$A$305,0))</x:f>
        <x:v>37099</x:v>
      </x:c>
      <x:c r="T294" s="2" t="str">
        <x:f>IF(K294&lt;G294,"Order below requirement",IF(K294&lt;L294,"Below price tier",IF(ISNUMBER(S294),IF(K294&gt;S294,"Quantity exceeds snapshot","Within quantity snapshot"),"Stock not stated")))</x:f>
        <x:v>Within quantity snapshot</x:v>
      </x:c>
      <x:c r="U294" s="2" t="str">
        <x:f>INDEX('Dated offers'!$C$7:$C$305,MATCH($Z294,'Dated offers'!$A$7:$A$305,0))</x:f>
        <x:v>LCSC</x:v>
      </x:c>
      <x:c r="V294" s="2" t="str">
        <x:f>INDEX('Dated offers'!$D$7:$D$305,MATCH($Z294,'Dated offers'!$A$7:$A$305,0))</x:f>
        <x:v>C99269</x:v>
      </x:c>
      <x:c r="W294" s="24" t="n">
        <x:f>INDEX('Dated offers'!$E$7:$E$305,MATCH($Z294,'Dated offers'!$A$7:$A$305,0))</x:f>
        <x:v>46307.447477141206</x:v>
      </x:c>
      <x:c r="X294" s="2" t="b">
        <x:f>INDEX('Dated offers'!$N$7:$N$305,MATCH($Z294,'Dated offers'!$A$7:$A$305,0))</x:f>
        <x:v>0</x:v>
      </x:c>
      <x:c r="Y294" s="2" t="str">
        <x:f>INDEX('Dated offers'!$O$7:$O$305,MATCH($Z294,'Dated offers'!$A$7:$A$305,0))</x:f>
        <x:v>Unreserved inventory snapshot</x:v>
      </x:c>
      <x:c r="Z294" s="17" t="str">
        <x:v>OF0158</x:v>
      </x:c>
      <x:c r="AA294" s="2"/>
      <x:c r="AB294" s="2" t="str">
        <x:f>INDEX('Dated offers'!$Q$7:$Q$305,MATCH($Z294,'Dated offers'!$A$7:$A$305,0))</x:f>
        <x:v>https://www.lcsc.com/product-detail/C99269.html</x:v>
      </x:c>
    </x:row>
    <x:row r="295" ht="24" customHeight="1">
      <x:c r="A295" s="2" t="str">
        <x:v>25 boards / 2% planning</x:v>
      </x:c>
      <x:c r="B295" s="17" t="str">
        <x:v>TMUX1511PWR</x:v>
      </x:c>
      <x:c r="C295" s="18" t="n">
        <x:v>25</x:v>
      </x:c>
      <x:c r="D295" s="27" t="n">
        <x:v>0.02</x:v>
      </x:c>
      <x:c r="E295" s="18" t="n">
        <x:f>INDEX('Assembly BOM'!$C$7:$C$162,MATCH($B295,'Assembly BOM'!$A$7:$A$162,0))</x:f>
        <x:v>3</x:v>
      </x:c>
      <x:c r="F295" s="18" t="n">
        <x:f>C295*E295</x:f>
        <x:v>75</x:v>
      </x:c>
      <x:c r="G295" s="18" t="n">
        <x:f>ROUNDUP(F295*(1+D295),0)</x:f>
        <x:v>77</x:v>
      </x:c>
      <x:c r="H295" s="18" t="n">
        <x:f>INDEX('Dated offers'!$F$7:$F$305,MATCH($Z295,'Dated offers'!$A$7:$A$305,0))</x:f>
        <x:v>1</x:v>
      </x:c>
      <x:c r="I295" s="18" t="n">
        <x:f>INDEX('Dated offers'!$G$7:$G$305,MATCH($Z295,'Dated offers'!$A$7:$A$305,0))</x:f>
        <x:v>1</x:v>
      </x:c>
      <x:c r="J295" s="18" t="n">
        <x:f>CEILING(MAX(G295,H295),I295)</x:f>
        <x:v>77</x:v>
      </x:c>
      <x:c r="K295" s="18" t="n">
        <x:v>77</x:v>
      </x:c>
      <x:c r="L295" s="18" t="n">
        <x:f>INDEX('Dated offers'!$I$7:$I$305,MATCH($Z295,'Dated offers'!$A$7:$A$305,0))</x:f>
        <x:v>30</x:v>
      </x:c>
      <x:c r="M295" s="25" t="n">
        <x:f>INDEX('Dated offers'!$J$7:$J$305,MATCH($Z295,'Dated offers'!$A$7:$A$305,0))</x:f>
        <x:v>0.3305</x:v>
      </x:c>
      <x:c r="N295" s="25" t="n">
        <x:f>INDEX('Dated offers'!$K$7:$K$305,MATCH($Z295,'Dated offers'!$A$7:$A$305,0))</x:f>
        <x:v>0</x:v>
      </x:c>
      <x:c r="O295" s="25" t="n">
        <x:f>F295*M295</x:f>
        <x:v>24.7875</x:v>
      </x:c>
      <x:c r="P295" s="25" t="n">
        <x:f>G295*M295</x:f>
        <x:v>25.448500000000003</x:v>
      </x:c>
      <x:c r="Q295" s="25" t="n">
        <x:f>K295*M295+N295</x:f>
        <x:v>25.448500000000003</x:v>
      </x:c>
      <x:c r="R295" s="18" t="n">
        <x:f>K295-G295</x:f>
        <x:v>0</x:v>
      </x:c>
      <x:c r="S295" s="18" t="n">
        <x:f>INDEX('Dated offers'!$H$7:$H$305,MATCH($Z295,'Dated offers'!$A$7:$A$305,0))</x:f>
        <x:v>8282</x:v>
      </x:c>
      <x:c r="T295" s="2" t="str">
        <x:f>IF(K295&lt;G295,"Order below requirement",IF(K295&lt;L295,"Below price tier",IF(ISNUMBER(S295),IF(K295&gt;S295,"Quantity exceeds snapshot","Within quantity snapshot"),"Stock not stated")))</x:f>
        <x:v>Within quantity snapshot</x:v>
      </x:c>
      <x:c r="U295" s="2" t="str">
        <x:f>INDEX('Dated offers'!$C$7:$C$305,MATCH($Z295,'Dated offers'!$A$7:$A$305,0))</x:f>
        <x:v>LCSC</x:v>
      </x:c>
      <x:c r="V295" s="2" t="str">
        <x:f>INDEX('Dated offers'!$D$7:$D$305,MATCH($Z295,'Dated offers'!$A$7:$A$305,0))</x:f>
        <x:v>C2866750</x:v>
      </x:c>
      <x:c r="W295" s="24" t="n">
        <x:f>INDEX('Dated offers'!$E$7:$E$305,MATCH($Z295,'Dated offers'!$A$7:$A$305,0))</x:f>
        <x:v>46307.4474805787</x:v>
      </x:c>
      <x:c r="X295" s="2" t="b">
        <x:f>INDEX('Dated offers'!$N$7:$N$305,MATCH($Z295,'Dated offers'!$A$7:$A$305,0))</x:f>
        <x:v>0</x:v>
      </x:c>
      <x:c r="Y295" s="2" t="str">
        <x:f>INDEX('Dated offers'!$O$7:$O$305,MATCH($Z295,'Dated offers'!$A$7:$A$305,0))</x:f>
        <x:v>Unreserved inventory snapshot</x:v>
      </x:c>
      <x:c r="Z295" s="17" t="str">
        <x:v>OF0133</x:v>
      </x:c>
      <x:c r="AA295" s="2"/>
      <x:c r="AB295" s="2" t="str">
        <x:f>INDEX('Dated offers'!$Q$7:$Q$305,MATCH($Z295,'Dated offers'!$A$7:$A$305,0))</x:f>
        <x:v>https://www.lcsc.com/product-detail/C2866750.html</x:v>
      </x:c>
    </x:row>
    <x:row r="296" ht="24" customHeight="1">
      <x:c r="A296" s="2" t="str">
        <x:v>25 boards / 2% planning</x:v>
      </x:c>
      <x:c r="B296" s="17" t="str">
        <x:v>TNPW0402100KBEED</x:v>
      </x:c>
      <x:c r="C296" s="18" t="n">
        <x:v>25</x:v>
      </x:c>
      <x:c r="D296" s="27" t="n">
        <x:v>0.02</x:v>
      </x:c>
      <x:c r="E296" s="18" t="n">
        <x:f>INDEX('Assembly BOM'!$C$7:$C$162,MATCH($B296,'Assembly BOM'!$A$7:$A$162,0))</x:f>
        <x:v>3</x:v>
      </x:c>
      <x:c r="F296" s="18" t="n">
        <x:f>C296*E296</x:f>
        <x:v>75</x:v>
      </x:c>
      <x:c r="G296" s="18" t="n">
        <x:f>ROUNDUP(F296*(1+D296),0)</x:f>
        <x:v>77</x:v>
      </x:c>
      <x:c r="H296" s="18" t="n">
        <x:f>INDEX('Dated offers'!$F$7:$F$305,MATCH($Z296,'Dated offers'!$A$7:$A$305,0))</x:f>
        <x:v>1</x:v>
      </x:c>
      <x:c r="I296" s="18" t="n">
        <x:f>INDEX('Dated offers'!$G$7:$G$305,MATCH($Z296,'Dated offers'!$A$7:$A$305,0))</x:f>
        <x:v>1</x:v>
      </x:c>
      <x:c r="J296" s="18" t="n">
        <x:f>CEILING(MAX(G296,H296),I296)</x:f>
        <x:v>77</x:v>
      </x:c>
      <x:c r="K296" s="18" t="n">
        <x:v>77</x:v>
      </x:c>
      <x:c r="L296" s="18" t="n">
        <x:f>INDEX('Dated offers'!$I$7:$I$305,MATCH($Z296,'Dated offers'!$A$7:$A$305,0))</x:f>
        <x:v>50</x:v>
      </x:c>
      <x:c r="M296" s="25" t="n">
        <x:f>INDEX('Dated offers'!$J$7:$J$305,MATCH($Z296,'Dated offers'!$A$7:$A$305,0))</x:f>
        <x:v>0.1918</x:v>
      </x:c>
      <x:c r="N296" s="25" t="n">
        <x:f>INDEX('Dated offers'!$K$7:$K$305,MATCH($Z296,'Dated offers'!$A$7:$A$305,0))</x:f>
        <x:v>0</x:v>
      </x:c>
      <x:c r="O296" s="25" t="n">
        <x:f>F296*M296</x:f>
        <x:v>14.385</x:v>
      </x:c>
      <x:c r="P296" s="25" t="n">
        <x:f>G296*M296</x:f>
        <x:v>14.7686</x:v>
      </x:c>
      <x:c r="Q296" s="25" t="n">
        <x:f>K296*M296+N296</x:f>
        <x:v>14.7686</x:v>
      </x:c>
      <x:c r="R296" s="18" t="n">
        <x:f>K296-G296</x:f>
        <x:v>0</x:v>
      </x:c>
      <x:c r="S296" s="18" t="n">
        <x:f>INDEX('Dated offers'!$H$7:$H$305,MATCH($Z296,'Dated offers'!$A$7:$A$305,0))</x:f>
        <x:v>244638</x:v>
      </x:c>
      <x:c r="T296" s="2" t="str">
        <x:f>IF(K296&lt;G296,"Order below requirement",IF(K296&lt;L296,"Below price tier",IF(ISNUMBER(S296),IF(K296&gt;S296,"Quantity exceeds snapshot","Within quantity snapshot"),"Stock not stated")))</x:f>
        <x:v>Within quantity snapshot</x:v>
      </x:c>
      <x:c r="U296" s="2" t="str">
        <x:f>INDEX('Dated offers'!$C$7:$C$305,MATCH($Z296,'Dated offers'!$A$7:$A$305,0))</x:f>
        <x:v>DigiKey</x:v>
      </x:c>
      <x:c r="V296" s="2" t="str">
        <x:f>INDEX('Dated offers'!$D$7:$D$305,MATCH($Z296,'Dated offers'!$A$7:$A$305,0))</x:f>
        <x:v>Not stated</x:v>
      </x:c>
      <x:c r="W296" s="24" t="n">
        <x:f>INDEX('Dated offers'!$E$7:$E$305,MATCH($Z296,'Dated offers'!$A$7:$A$305,0))</x:f>
        <x:v>46307.478072592596</x:v>
      </x:c>
      <x:c r="X296" s="2" t="b">
        <x:f>INDEX('Dated offers'!$N$7:$N$305,MATCH($Z296,'Dated offers'!$A$7:$A$305,0))</x:f>
        <x:v>0</x:v>
      </x:c>
      <x:c r="Y296" s="2" t="str">
        <x:f>INDEX('Dated offers'!$O$7:$O$305,MATCH($Z296,'Dated offers'!$A$7:$A$305,0))</x:f>
        <x:v>Unreserved inventory snapshot</x:v>
      </x:c>
      <x:c r="Z296" s="17" t="str">
        <x:v>OF0134</x:v>
      </x:c>
      <x:c r="AA296" s="2"/>
      <x:c r="AB296" s="2" t="str">
        <x:f>INDEX('Dated offers'!$Q$7:$Q$305,MATCH($Z296,'Dated offers'!$A$7:$A$305,0))</x:f>
        <x:v>https://www.digikey.com/en/products/detail/vishay-dale/TNPW0402100KBEED/1857037</x:v>
      </x:c>
    </x:row>
    <x:row r="297" ht="24" customHeight="1">
      <x:c r="A297" s="2" t="str">
        <x:v>25 boards / 2% planning</x:v>
      </x:c>
      <x:c r="B297" s="17" t="str">
        <x:v>TNPW040210K0BEED</x:v>
      </x:c>
      <x:c r="C297" s="18" t="n">
        <x:v>25</x:v>
      </x:c>
      <x:c r="D297" s="27" t="n">
        <x:v>0.02</x:v>
      </x:c>
      <x:c r="E297" s="18" t="n">
        <x:f>INDEX('Assembly BOM'!$C$7:$C$162,MATCH($B297,'Assembly BOM'!$A$7:$A$162,0))</x:f>
        <x:v>18</x:v>
      </x:c>
      <x:c r="F297" s="18" t="n">
        <x:f>C297*E297</x:f>
        <x:v>450</x:v>
      </x:c>
      <x:c r="G297" s="18" t="n">
        <x:f>ROUNDUP(F297*(1+D297),0)</x:f>
        <x:v>459</x:v>
      </x:c>
      <x:c r="H297" s="18" t="n">
        <x:f>INDEX('Dated offers'!$F$7:$F$305,MATCH($Z297,'Dated offers'!$A$7:$A$305,0))</x:f>
        <x:v>10</x:v>
      </x:c>
      <x:c r="I297" s="18" t="n">
        <x:f>INDEX('Dated offers'!$G$7:$G$305,MATCH($Z297,'Dated offers'!$A$7:$A$305,0))</x:f>
        <x:v>10</x:v>
      </x:c>
      <x:c r="J297" s="18" t="n">
        <x:f>CEILING(MAX(G297,H297),I297)</x:f>
        <x:v>460</x:v>
      </x:c>
      <x:c r="K297" s="18" t="n">
        <x:v>460</x:v>
      </x:c>
      <x:c r="L297" s="18" t="n">
        <x:f>INDEX('Dated offers'!$I$7:$I$305,MATCH($Z297,'Dated offers'!$A$7:$A$305,0))</x:f>
        <x:v>300</x:v>
      </x:c>
      <x:c r="M297" s="25" t="n">
        <x:f>INDEX('Dated offers'!$J$7:$J$305,MATCH($Z297,'Dated offers'!$A$7:$A$305,0))</x:f>
        <x:v>0.0538</x:v>
      </x:c>
      <x:c r="N297" s="25" t="n">
        <x:f>INDEX('Dated offers'!$K$7:$K$305,MATCH($Z297,'Dated offers'!$A$7:$A$305,0))</x:f>
        <x:v>0</x:v>
      </x:c>
      <x:c r="O297" s="25" t="n">
        <x:f>F297*M297</x:f>
        <x:v>24.21</x:v>
      </x:c>
      <x:c r="P297" s="25" t="n">
        <x:f>G297*M297</x:f>
        <x:v>24.6942</x:v>
      </x:c>
      <x:c r="Q297" s="25" t="n">
        <x:f>K297*M297+N297</x:f>
        <x:v>24.748</x:v>
      </x:c>
      <x:c r="R297" s="18" t="n">
        <x:f>K297-G297</x:f>
        <x:v>1</x:v>
      </x:c>
      <x:c r="S297" s="18" t="n">
        <x:f>INDEX('Dated offers'!$H$7:$H$305,MATCH($Z297,'Dated offers'!$A$7:$A$305,0))</x:f>
        <x:v>44520</x:v>
      </x:c>
      <x:c r="T297" s="2" t="str">
        <x:f>IF(K297&lt;G297,"Order below requirement",IF(K297&lt;L297,"Below price tier",IF(ISNUMBER(S297),IF(K297&gt;S297,"Quantity exceeds snapshot","Within quantity snapshot"),"Stock not stated")))</x:f>
        <x:v>Within quantity snapshot</x:v>
      </x:c>
      <x:c r="U297" s="2" t="str">
        <x:f>INDEX('Dated offers'!$C$7:$C$305,MATCH($Z297,'Dated offers'!$A$7:$A$305,0))</x:f>
        <x:v>LCSC</x:v>
      </x:c>
      <x:c r="V297" s="2" t="str">
        <x:f>INDEX('Dated offers'!$D$7:$D$305,MATCH($Z297,'Dated offers'!$A$7:$A$305,0))</x:f>
        <x:v>C844452</x:v>
      </x:c>
      <x:c r="W297" s="24" t="n">
        <x:f>INDEX('Dated offers'!$E$7:$E$305,MATCH($Z297,'Dated offers'!$A$7:$A$305,0))</x:f>
        <x:v>46307.447482916665</x:v>
      </x:c>
      <x:c r="X297" s="2" t="b">
        <x:f>INDEX('Dated offers'!$N$7:$N$305,MATCH($Z297,'Dated offers'!$A$7:$A$305,0))</x:f>
        <x:v>0</x:v>
      </x:c>
      <x:c r="Y297" s="2" t="str">
        <x:f>INDEX('Dated offers'!$O$7:$O$305,MATCH($Z297,'Dated offers'!$A$7:$A$305,0))</x:f>
        <x:v>Unreserved inventory snapshot</x:v>
      </x:c>
      <x:c r="Z297" s="17" t="str">
        <x:v>OF0135</x:v>
      </x:c>
      <x:c r="AA297" s="2"/>
      <x:c r="AB297" s="2" t="str">
        <x:f>INDEX('Dated offers'!$Q$7:$Q$305,MATCH($Z297,'Dated offers'!$A$7:$A$305,0))</x:f>
        <x:v>https://www.lcsc.com/product-detail/C844452.html</x:v>
      </x:c>
    </x:row>
    <x:row r="298" ht="24" customHeight="1">
      <x:c r="A298" s="2" t="str">
        <x:v>25 boards / 2% planning</x:v>
      </x:c>
      <x:c r="B298" s="17" t="str">
        <x:v>TNPW04021K24BEED</x:v>
      </x:c>
      <x:c r="C298" s="18" t="n">
        <x:v>25</x:v>
      </x:c>
      <x:c r="D298" s="27" t="n">
        <x:v>0.02</x:v>
      </x:c>
      <x:c r="E298" s="18" t="n">
        <x:f>INDEX('Assembly BOM'!$C$7:$C$162,MATCH($B298,'Assembly BOM'!$A$7:$A$162,0))</x:f>
        <x:v>1</x:v>
      </x:c>
      <x:c r="F298" s="18" t="n">
        <x:f>C298*E298</x:f>
        <x:v>25</x:v>
      </x:c>
      <x:c r="G298" s="18" t="n">
        <x:f>ROUNDUP(F298*(1+D298),0)</x:f>
        <x:v>26</x:v>
      </x:c>
      <x:c r="H298" s="18" t="n">
        <x:f>INDEX('Dated offers'!$F$7:$F$305,MATCH($Z298,'Dated offers'!$A$7:$A$305,0))</x:f>
        <x:v>1</x:v>
      </x:c>
      <x:c r="I298" s="18" t="n">
        <x:f>INDEX('Dated offers'!$G$7:$G$305,MATCH($Z298,'Dated offers'!$A$7:$A$305,0))</x:f>
        <x:v>1</x:v>
      </x:c>
      <x:c r="J298" s="18" t="n">
        <x:f>CEILING(MAX(G298,H298),I298)</x:f>
        <x:v>26</x:v>
      </x:c>
      <x:c r="K298" s="18" t="n">
        <x:v>26</x:v>
      </x:c>
      <x:c r="L298" s="18" t="n">
        <x:f>INDEX('Dated offers'!$I$7:$I$305,MATCH($Z298,'Dated offers'!$A$7:$A$305,0))</x:f>
        <x:v>10</x:v>
      </x:c>
      <x:c r="M298" s="25" t="n">
        <x:f>INDEX('Dated offers'!$J$7:$J$305,MATCH($Z298,'Dated offers'!$A$7:$A$305,0))</x:f>
        <x:v>0.219</x:v>
      </x:c>
      <x:c r="N298" s="25" t="n">
        <x:f>INDEX('Dated offers'!$K$7:$K$305,MATCH($Z298,'Dated offers'!$A$7:$A$305,0))</x:f>
        <x:v>0</x:v>
      </x:c>
      <x:c r="O298" s="25" t="n">
        <x:f>F298*M298</x:f>
        <x:v>5.475</x:v>
      </x:c>
      <x:c r="P298" s="25" t="n">
        <x:f>G298*M298</x:f>
        <x:v>5.694</x:v>
      </x:c>
      <x:c r="Q298" s="25" t="n">
        <x:f>K298*M298+N298</x:f>
        <x:v>5.694</x:v>
      </x:c>
      <x:c r="R298" s="18" t="n">
        <x:f>K298-G298</x:f>
        <x:v>0</x:v>
      </x:c>
      <x:c r="S298" s="18" t="n">
        <x:f>INDEX('Dated offers'!$H$7:$H$305,MATCH($Z298,'Dated offers'!$A$7:$A$305,0))</x:f>
        <x:v>9768</x:v>
      </x:c>
      <x:c r="T298" s="2" t="str">
        <x:f>IF(K298&lt;G298,"Order below requirement",IF(K298&lt;L298,"Below price tier",IF(ISNUMBER(S298),IF(K298&gt;S298,"Quantity exceeds snapshot","Within quantity snapshot"),"Stock not stated")))</x:f>
        <x:v>Within quantity snapshot</x:v>
      </x:c>
      <x:c r="U298" s="2" t="str">
        <x:f>INDEX('Dated offers'!$C$7:$C$305,MATCH($Z298,'Dated offers'!$A$7:$A$305,0))</x:f>
        <x:v>DigiKey</x:v>
      </x:c>
      <x:c r="V298" s="2" t="str">
        <x:f>INDEX('Dated offers'!$D$7:$D$305,MATCH($Z298,'Dated offers'!$A$7:$A$305,0))</x:f>
        <x:v>Not stated</x:v>
      </x:c>
      <x:c r="W298" s="24" t="n">
        <x:f>INDEX('Dated offers'!$E$7:$E$305,MATCH($Z298,'Dated offers'!$A$7:$A$305,0))</x:f>
        <x:v>46307.4780725</x:v>
      </x:c>
      <x:c r="X298" s="2" t="b">
        <x:f>INDEX('Dated offers'!$N$7:$N$305,MATCH($Z298,'Dated offers'!$A$7:$A$305,0))</x:f>
        <x:v>0</x:v>
      </x:c>
      <x:c r="Y298" s="2" t="str">
        <x:f>INDEX('Dated offers'!$O$7:$O$305,MATCH($Z298,'Dated offers'!$A$7:$A$305,0))</x:f>
        <x:v>Unreserved inventory snapshot</x:v>
      </x:c>
      <x:c r="Z298" s="17" t="str">
        <x:v>OF0136</x:v>
      </x:c>
      <x:c r="AA298" s="2"/>
      <x:c r="AB298" s="2" t="str">
        <x:f>INDEX('Dated offers'!$Q$7:$Q$305,MATCH($Z298,'Dated offers'!$A$7:$A$305,0))</x:f>
        <x:v>https://www.digikey.com/en/products/detail/vishay-dale/TNPW04021K24BEED/4876054</x:v>
      </x:c>
    </x:row>
    <x:row r="299" ht="24" customHeight="1">
      <x:c r="A299" s="2" t="str">
        <x:v>25 boards / 2% planning</x:v>
      </x:c>
      <x:c r="B299" s="17" t="str">
        <x:v>TNPW04024K87BEED</x:v>
      </x:c>
      <x:c r="C299" s="18" t="n">
        <x:v>25</x:v>
      </x:c>
      <x:c r="D299" s="27" t="n">
        <x:v>0.02</x:v>
      </x:c>
      <x:c r="E299" s="18" t="n">
        <x:f>INDEX('Assembly BOM'!$C$7:$C$162,MATCH($B299,'Assembly BOM'!$A$7:$A$162,0))</x:f>
        <x:v>1</x:v>
      </x:c>
      <x:c r="F299" s="18" t="n">
        <x:f>C299*E299</x:f>
        <x:v>25</x:v>
      </x:c>
      <x:c r="G299" s="18" t="n">
        <x:f>ROUNDUP(F299*(1+D299),0)</x:f>
        <x:v>26</x:v>
      </x:c>
      <x:c r="H299" s="18" t="n">
        <x:f>INDEX('Dated offers'!$F$7:$F$305,MATCH($Z299,'Dated offers'!$A$7:$A$305,0))</x:f>
        <x:v>1</x:v>
      </x:c>
      <x:c r="I299" s="18" t="n">
        <x:f>INDEX('Dated offers'!$G$7:$G$305,MATCH($Z299,'Dated offers'!$A$7:$A$305,0))</x:f>
        <x:v>1</x:v>
      </x:c>
      <x:c r="J299" s="18" t="n">
        <x:f>CEILING(MAX(G299,H299),I299)</x:f>
        <x:v>26</x:v>
      </x:c>
      <x:c r="K299" s="18" t="n">
        <x:v>26</x:v>
      </x:c>
      <x:c r="L299" s="18" t="n">
        <x:f>INDEX('Dated offers'!$I$7:$I$305,MATCH($Z299,'Dated offers'!$A$7:$A$305,0))</x:f>
        <x:v>10</x:v>
      </x:c>
      <x:c r="M299" s="25" t="n">
        <x:f>INDEX('Dated offers'!$J$7:$J$305,MATCH($Z299,'Dated offers'!$A$7:$A$305,0))</x:f>
        <x:v>0.219</x:v>
      </x:c>
      <x:c r="N299" s="25" t="n">
        <x:f>INDEX('Dated offers'!$K$7:$K$305,MATCH($Z299,'Dated offers'!$A$7:$A$305,0))</x:f>
        <x:v>0</x:v>
      </x:c>
      <x:c r="O299" s="25" t="n">
        <x:f>F299*M299</x:f>
        <x:v>5.475</x:v>
      </x:c>
      <x:c r="P299" s="25" t="n">
        <x:f>G299*M299</x:f>
        <x:v>5.694</x:v>
      </x:c>
      <x:c r="Q299" s="25" t="n">
        <x:f>K299*M299+N299</x:f>
        <x:v>5.694</x:v>
      </x:c>
      <x:c r="R299" s="18" t="n">
        <x:f>K299-G299</x:f>
        <x:v>0</x:v>
      </x:c>
      <x:c r="S299" s="18" t="n">
        <x:f>INDEX('Dated offers'!$H$7:$H$305,MATCH($Z299,'Dated offers'!$A$7:$A$305,0))</x:f>
        <x:v>8176</x:v>
      </x:c>
      <x:c r="T299" s="2" t="str">
        <x:f>IF(K299&lt;G299,"Order below requirement",IF(K299&lt;L299,"Below price tier",IF(ISNUMBER(S299),IF(K299&gt;S299,"Quantity exceeds snapshot","Within quantity snapshot"),"Stock not stated")))</x:f>
        <x:v>Within quantity snapshot</x:v>
      </x:c>
      <x:c r="U299" s="2" t="str">
        <x:f>INDEX('Dated offers'!$C$7:$C$305,MATCH($Z299,'Dated offers'!$A$7:$A$305,0))</x:f>
        <x:v>DigiKey</x:v>
      </x:c>
      <x:c r="V299" s="2" t="str">
        <x:f>INDEX('Dated offers'!$D$7:$D$305,MATCH($Z299,'Dated offers'!$A$7:$A$305,0))</x:f>
        <x:v>Not stated</x:v>
      </x:c>
      <x:c r="W299" s="24" t="n">
        <x:f>INDEX('Dated offers'!$E$7:$E$305,MATCH($Z299,'Dated offers'!$A$7:$A$305,0))</x:f>
        <x:v>46307.4780725</x:v>
      </x:c>
      <x:c r="X299" s="2" t="b">
        <x:f>INDEX('Dated offers'!$N$7:$N$305,MATCH($Z299,'Dated offers'!$A$7:$A$305,0))</x:f>
        <x:v>0</x:v>
      </x:c>
      <x:c r="Y299" s="2" t="str">
        <x:f>INDEX('Dated offers'!$O$7:$O$305,MATCH($Z299,'Dated offers'!$A$7:$A$305,0))</x:f>
        <x:v>Unreserved inventory snapshot</x:v>
      </x:c>
      <x:c r="Z299" s="17" t="str">
        <x:v>OF0137</x:v>
      </x:c>
      <x:c r="AA299" s="2"/>
      <x:c r="AB299" s="2" t="str">
        <x:f>INDEX('Dated offers'!$Q$7:$Q$305,MATCH($Z299,'Dated offers'!$A$7:$A$305,0))</x:f>
        <x:v>https://www.digikey.com/en/products/detail/vishay-dale/TNPW04024K87BEED/2217770</x:v>
      </x:c>
    </x:row>
    <x:row r="300" ht="24" customHeight="1">
      <x:c r="A300" s="2" t="str">
        <x:v>25 boards / 2% planning</x:v>
      </x:c>
      <x:c r="B300" s="17" t="str">
        <x:v>TNPW0603100KBEEA</x:v>
      </x:c>
      <x:c r="C300" s="18" t="n">
        <x:v>25</x:v>
      </x:c>
      <x:c r="D300" s="27" t="n">
        <x:v>0.02</x:v>
      </x:c>
      <x:c r="E300" s="18" t="n">
        <x:f>INDEX('Assembly BOM'!$C$7:$C$162,MATCH($B300,'Assembly BOM'!$A$7:$A$162,0))</x:f>
        <x:v>1</x:v>
      </x:c>
      <x:c r="F300" s="18" t="n">
        <x:f>C300*E300</x:f>
        <x:v>25</x:v>
      </x:c>
      <x:c r="G300" s="18" t="n">
        <x:f>ROUNDUP(F300*(1+D300),0)</x:f>
        <x:v>26</x:v>
      </x:c>
      <x:c r="H300" s="18" t="n">
        <x:f>INDEX('Dated offers'!$F$7:$F$305,MATCH($Z300,'Dated offers'!$A$7:$A$305,0))</x:f>
        <x:v>1</x:v>
      </x:c>
      <x:c r="I300" s="18" t="n">
        <x:f>INDEX('Dated offers'!$G$7:$G$305,MATCH($Z300,'Dated offers'!$A$7:$A$305,0))</x:f>
        <x:v>1</x:v>
      </x:c>
      <x:c r="J300" s="18" t="n">
        <x:f>CEILING(MAX(G300,H300),I300)</x:f>
        <x:v>26</x:v>
      </x:c>
      <x:c r="K300" s="18" t="n">
        <x:v>26</x:v>
      </x:c>
      <x:c r="L300" s="18" t="n">
        <x:f>INDEX('Dated offers'!$I$7:$I$305,MATCH($Z300,'Dated offers'!$A$7:$A$305,0))</x:f>
        <x:v>10</x:v>
      </x:c>
      <x:c r="M300" s="25" t="n">
        <x:f>INDEX('Dated offers'!$J$7:$J$305,MATCH($Z300,'Dated offers'!$A$7:$A$305,0))</x:f>
        <x:v>0.219</x:v>
      </x:c>
      <x:c r="N300" s="25" t="n">
        <x:f>INDEX('Dated offers'!$K$7:$K$305,MATCH($Z300,'Dated offers'!$A$7:$A$305,0))</x:f>
        <x:v>0</x:v>
      </x:c>
      <x:c r="O300" s="25" t="n">
        <x:f>F300*M300</x:f>
        <x:v>5.475</x:v>
      </x:c>
      <x:c r="P300" s="25" t="n">
        <x:f>G300*M300</x:f>
        <x:v>5.694</x:v>
      </x:c>
      <x:c r="Q300" s="25" t="n">
        <x:f>K300*M300+N300</x:f>
        <x:v>5.694</x:v>
      </x:c>
      <x:c r="R300" s="18" t="n">
        <x:f>K300-G300</x:f>
        <x:v>0</x:v>
      </x:c>
      <x:c r="S300" s="18" t="n">
        <x:f>INDEX('Dated offers'!$H$7:$H$305,MATCH($Z300,'Dated offers'!$A$7:$A$305,0))</x:f>
        <x:v>88719</x:v>
      </x:c>
      <x:c r="T300" s="2" t="str">
        <x:f>IF(K300&lt;G300,"Order below requirement",IF(K300&lt;L300,"Below price tier",IF(ISNUMBER(S300),IF(K300&gt;S300,"Quantity exceeds snapshot","Within quantity snapshot"),"Stock not stated")))</x:f>
        <x:v>Within quantity snapshot</x:v>
      </x:c>
      <x:c r="U300" s="2" t="str">
        <x:f>INDEX('Dated offers'!$C$7:$C$305,MATCH($Z300,'Dated offers'!$A$7:$A$305,0))</x:f>
        <x:v>DigiKey</x:v>
      </x:c>
      <x:c r="V300" s="2" t="str">
        <x:f>INDEX('Dated offers'!$D$7:$D$305,MATCH($Z300,'Dated offers'!$A$7:$A$305,0))</x:f>
        <x:v>Not stated</x:v>
      </x:c>
      <x:c r="W300" s="24" t="n">
        <x:f>INDEX('Dated offers'!$E$7:$E$305,MATCH($Z300,'Dated offers'!$A$7:$A$305,0))</x:f>
        <x:v>46307.4780725</x:v>
      </x:c>
      <x:c r="X300" s="2" t="b">
        <x:f>INDEX('Dated offers'!$N$7:$N$305,MATCH($Z300,'Dated offers'!$A$7:$A$305,0))</x:f>
        <x:v>0</x:v>
      </x:c>
      <x:c r="Y300" s="2" t="str">
        <x:f>INDEX('Dated offers'!$O$7:$O$305,MATCH($Z300,'Dated offers'!$A$7:$A$305,0))</x:f>
        <x:v>Unreserved inventory snapshot</x:v>
      </x:c>
      <x:c r="Z300" s="17" t="str">
        <x:v>OF0138</x:v>
      </x:c>
      <x:c r="AA300" s="2"/>
      <x:c r="AB300" s="2" t="str">
        <x:f>INDEX('Dated offers'!$Q$7:$Q$305,MATCH($Z300,'Dated offers'!$A$7:$A$305,0))</x:f>
        <x:v>https://www.digikey.com/en/products/detail/vishay-dale/TNPW0603100KBEEA/1857055</x:v>
      </x:c>
    </x:row>
    <x:row r="301" ht="24" customHeight="1">
      <x:c r="A301" s="2" t="str">
        <x:v>25 boards / 2% planning</x:v>
      </x:c>
      <x:c r="B301" s="17" t="str">
        <x:v>TPD1E05U06DPYR</x:v>
      </x:c>
      <x:c r="C301" s="18" t="n">
        <x:v>25</x:v>
      </x:c>
      <x:c r="D301" s="27" t="n">
        <x:v>0.02</x:v>
      </x:c>
      <x:c r="E301" s="18" t="n">
        <x:f>INDEX('Assembly BOM'!$C$7:$C$162,MATCH($B301,'Assembly BOM'!$A$7:$A$162,0))</x:f>
        <x:v>3</x:v>
      </x:c>
      <x:c r="F301" s="18" t="n">
        <x:f>C301*E301</x:f>
        <x:v>75</x:v>
      </x:c>
      <x:c r="G301" s="18" t="n">
        <x:f>ROUNDUP(F301*(1+D301),0)</x:f>
        <x:v>77</x:v>
      </x:c>
      <x:c r="H301" s="18" t="n">
        <x:f>INDEX('Dated offers'!$F$7:$F$305,MATCH($Z301,'Dated offers'!$A$7:$A$305,0))</x:f>
        <x:v>1</x:v>
      </x:c>
      <x:c r="I301" s="18" t="n">
        <x:f>INDEX('Dated offers'!$G$7:$G$305,MATCH($Z301,'Dated offers'!$A$7:$A$305,0))</x:f>
        <x:v>1</x:v>
      </x:c>
      <x:c r="J301" s="18" t="n">
        <x:f>CEILING(MAX(G301,H301),I301)</x:f>
        <x:v>77</x:v>
      </x:c>
      <x:c r="K301" s="18" t="n">
        <x:v>77</x:v>
      </x:c>
      <x:c r="L301" s="18" t="n">
        <x:f>INDEX('Dated offers'!$I$7:$I$305,MATCH($Z301,'Dated offers'!$A$7:$A$305,0))</x:f>
        <x:v>50</x:v>
      </x:c>
      <x:c r="M301" s="25" t="n">
        <x:f>INDEX('Dated offers'!$J$7:$J$305,MATCH($Z301,'Dated offers'!$A$7:$A$305,0))</x:f>
        <x:v>0.1928</x:v>
      </x:c>
      <x:c r="N301" s="25" t="n">
        <x:f>INDEX('Dated offers'!$K$7:$K$305,MATCH($Z301,'Dated offers'!$A$7:$A$305,0))</x:f>
        <x:v>0</x:v>
      </x:c>
      <x:c r="O301" s="25" t="n">
        <x:f>F301*M301</x:f>
        <x:v>14.459999999999999</x:v>
      </x:c>
      <x:c r="P301" s="25" t="n">
        <x:f>G301*M301</x:f>
        <x:v>14.8456</x:v>
      </x:c>
      <x:c r="Q301" s="25" t="n">
        <x:f>K301*M301+N301</x:f>
        <x:v>14.8456</x:v>
      </x:c>
      <x:c r="R301" s="18" t="n">
        <x:f>K301-G301</x:f>
        <x:v>0</x:v>
      </x:c>
      <x:c r="S301" s="18" t="n">
        <x:f>INDEX('Dated offers'!$H$7:$H$305,MATCH($Z301,'Dated offers'!$A$7:$A$305,0))</x:f>
        <x:v>590494</x:v>
      </x:c>
      <x:c r="T301" s="2" t="str">
        <x:f>IF(K301&lt;G301,"Order below requirement",IF(K301&lt;L301,"Below price tier",IF(ISNUMBER(S301),IF(K301&gt;S301,"Quantity exceeds snapshot","Within quantity snapshot"),"Stock not stated")))</x:f>
        <x:v>Within quantity snapshot</x:v>
      </x:c>
      <x:c r="U301" s="2" t="str">
        <x:f>INDEX('Dated offers'!$C$7:$C$305,MATCH($Z301,'Dated offers'!$A$7:$A$305,0))</x:f>
        <x:v>DigiKey</x:v>
      </x:c>
      <x:c r="V301" s="2" t="str">
        <x:f>INDEX('Dated offers'!$D$7:$D$305,MATCH($Z301,'Dated offers'!$A$7:$A$305,0))</x:f>
        <x:v>Not stated</x:v>
      </x:c>
      <x:c r="W301" s="24" t="n">
        <x:f>INDEX('Dated offers'!$E$7:$E$305,MATCH($Z301,'Dated offers'!$A$7:$A$305,0))</x:f>
        <x:v>46307.4780725</x:v>
      </x:c>
      <x:c r="X301" s="2" t="b">
        <x:f>INDEX('Dated offers'!$N$7:$N$305,MATCH($Z301,'Dated offers'!$A$7:$A$305,0))</x:f>
        <x:v>0</x:v>
      </x:c>
      <x:c r="Y301" s="2" t="str">
        <x:f>INDEX('Dated offers'!$O$7:$O$305,MATCH($Z301,'Dated offers'!$A$7:$A$305,0))</x:f>
        <x:v>Unreserved inventory snapshot</x:v>
      </x:c>
      <x:c r="Z301" s="17" t="str">
        <x:v>OF0139</x:v>
      </x:c>
      <x:c r="AA301" s="2"/>
      <x:c r="AB301" s="2" t="str">
        <x:f>INDEX('Dated offers'!$Q$7:$Q$305,MATCH($Z301,'Dated offers'!$A$7:$A$305,0))</x:f>
        <x:v>https://www.digikey.com/en/products/detail/texas-instruments/TPD1E05U06DPYR/3844805</x:v>
      </x:c>
    </x:row>
    <x:row r="302" ht="24" customHeight="1">
      <x:c r="A302" s="2" t="str">
        <x:v>25 boards / 2% planning</x:v>
      </x:c>
      <x:c r="B302" s="17" t="str">
        <x:v>TPD4E1U06DBVR</x:v>
      </x:c>
      <x:c r="C302" s="18" t="n">
        <x:v>25</x:v>
      </x:c>
      <x:c r="D302" s="27" t="n">
        <x:v>0.02</x:v>
      </x:c>
      <x:c r="E302" s="18" t="n">
        <x:f>INDEX('Assembly BOM'!$C$7:$C$162,MATCH($B302,'Assembly BOM'!$A$7:$A$162,0))</x:f>
        <x:v>1</x:v>
      </x:c>
      <x:c r="F302" s="18" t="n">
        <x:f>C302*E302</x:f>
        <x:v>25</x:v>
      </x:c>
      <x:c r="G302" s="18" t="n">
        <x:f>ROUNDUP(F302*(1+D302),0)</x:f>
        <x:v>26</x:v>
      </x:c>
      <x:c r="H302" s="18" t="n">
        <x:f>INDEX('Dated offers'!$F$7:$F$305,MATCH($Z302,'Dated offers'!$A$7:$A$305,0))</x:f>
        <x:v>1</x:v>
      </x:c>
      <x:c r="I302" s="18" t="n">
        <x:f>INDEX('Dated offers'!$G$7:$G$305,MATCH($Z302,'Dated offers'!$A$7:$A$305,0))</x:f>
        <x:v>1</x:v>
      </x:c>
      <x:c r="J302" s="18" t="n">
        <x:f>CEILING(MAX(G302,H302),I302)</x:f>
        <x:v>26</x:v>
      </x:c>
      <x:c r="K302" s="18" t="n">
        <x:v>26</x:v>
      </x:c>
      <x:c r="L302" s="18" t="n">
        <x:f>INDEX('Dated offers'!$I$7:$I$305,MATCH($Z302,'Dated offers'!$A$7:$A$305,0))</x:f>
        <x:v>10</x:v>
      </x:c>
      <x:c r="M302" s="25" t="n">
        <x:f>INDEX('Dated offers'!$J$7:$J$305,MATCH($Z302,'Dated offers'!$A$7:$A$305,0))</x:f>
        <x:v>0.587</x:v>
      </x:c>
      <x:c r="N302" s="25" t="n">
        <x:f>INDEX('Dated offers'!$K$7:$K$305,MATCH($Z302,'Dated offers'!$A$7:$A$305,0))</x:f>
        <x:v>0</x:v>
      </x:c>
      <x:c r="O302" s="25" t="n">
        <x:f>F302*M302</x:f>
        <x:v>14.674999999999999</x:v>
      </x:c>
      <x:c r="P302" s="25" t="n">
        <x:f>G302*M302</x:f>
        <x:v>15.261999999999999</x:v>
      </x:c>
      <x:c r="Q302" s="25" t="n">
        <x:f>K302*M302+N302</x:f>
        <x:v>15.261999999999999</x:v>
      </x:c>
      <x:c r="R302" s="18" t="n">
        <x:f>K302-G302</x:f>
        <x:v>0</x:v>
      </x:c>
      <x:c r="S302" s="18" t="n">
        <x:f>INDEX('Dated offers'!$H$7:$H$305,MATCH($Z302,'Dated offers'!$A$7:$A$305,0))</x:f>
        <x:v>28706</x:v>
      </x:c>
      <x:c r="T302" s="2" t="str">
        <x:f>IF(K302&lt;G302,"Order below requirement",IF(K302&lt;L302,"Below price tier",IF(ISNUMBER(S302),IF(K302&gt;S302,"Quantity exceeds snapshot","Within quantity snapshot"),"Stock not stated")))</x:f>
        <x:v>Within quantity snapshot</x:v>
      </x:c>
      <x:c r="U302" s="2" t="str">
        <x:f>INDEX('Dated offers'!$C$7:$C$305,MATCH($Z302,'Dated offers'!$A$7:$A$305,0))</x:f>
        <x:v>DigiKey</x:v>
      </x:c>
      <x:c r="V302" s="2" t="str">
        <x:f>INDEX('Dated offers'!$D$7:$D$305,MATCH($Z302,'Dated offers'!$A$7:$A$305,0))</x:f>
        <x:v>Not stated</x:v>
      </x:c>
      <x:c r="W302" s="24" t="n">
        <x:f>INDEX('Dated offers'!$E$7:$E$305,MATCH($Z302,'Dated offers'!$A$7:$A$305,0))</x:f>
        <x:v>46307.47807255787</x:v>
      </x:c>
      <x:c r="X302" s="2" t="b">
        <x:f>INDEX('Dated offers'!$N$7:$N$305,MATCH($Z302,'Dated offers'!$A$7:$A$305,0))</x:f>
        <x:v>0</x:v>
      </x:c>
      <x:c r="Y302" s="2" t="str">
        <x:f>INDEX('Dated offers'!$O$7:$O$305,MATCH($Z302,'Dated offers'!$A$7:$A$305,0))</x:f>
        <x:v>Unreserved inventory snapshot</x:v>
      </x:c>
      <x:c r="Z302" s="17" t="str">
        <x:v>OF0140</x:v>
      </x:c>
      <x:c r="AA302" s="2"/>
      <x:c r="AB302" s="2" t="str">
        <x:f>INDEX('Dated offers'!$Q$7:$Q$305,MATCH($Z302,'Dated offers'!$A$7:$A$305,0))</x:f>
        <x:v>https://www.digikey.com/en/products/detail/texas-instruments/TPD4E1U06DBVR/3929533</x:v>
      </x:c>
    </x:row>
    <x:row r="303" ht="24" customHeight="1">
      <x:c r="A303" s="2" t="str">
        <x:v>25 boards / 2% planning</x:v>
      </x:c>
      <x:c r="B303" s="17" t="str">
        <x:v>TPS2490DGSR</x:v>
      </x:c>
      <x:c r="C303" s="18" t="n">
        <x:v>25</x:v>
      </x:c>
      <x:c r="D303" s="27" t="n">
        <x:v>0.02</x:v>
      </x:c>
      <x:c r="E303" s="18" t="n">
        <x:f>INDEX('Assembly BOM'!$C$7:$C$162,MATCH($B303,'Assembly BOM'!$A$7:$A$162,0))</x:f>
        <x:v>1</x:v>
      </x:c>
      <x:c r="F303" s="18" t="n">
        <x:f>C303*E303</x:f>
        <x:v>25</x:v>
      </x:c>
      <x:c r="G303" s="18" t="n">
        <x:f>ROUNDUP(F303*(1+D303),0)</x:f>
        <x:v>26</x:v>
      </x:c>
      <x:c r="H303" s="18" t="n">
        <x:f>INDEX('Dated offers'!$F$7:$F$305,MATCH($Z303,'Dated offers'!$A$7:$A$305,0))</x:f>
        <x:v>1</x:v>
      </x:c>
      <x:c r="I303" s="18" t="n">
        <x:f>INDEX('Dated offers'!$G$7:$G$305,MATCH($Z303,'Dated offers'!$A$7:$A$305,0))</x:f>
        <x:v>1</x:v>
      </x:c>
      <x:c r="J303" s="18" t="n">
        <x:f>CEILING(MAX(G303,H303),I303)</x:f>
        <x:v>26</x:v>
      </x:c>
      <x:c r="K303" s="18" t="n">
        <x:v>26</x:v>
      </x:c>
      <x:c r="L303" s="18" t="n">
        <x:f>INDEX('Dated offers'!$I$7:$I$305,MATCH($Z303,'Dated offers'!$A$7:$A$305,0))</x:f>
        <x:v>10</x:v>
      </x:c>
      <x:c r="M303" s="25" t="n">
        <x:f>INDEX('Dated offers'!$J$7:$J$305,MATCH($Z303,'Dated offers'!$A$7:$A$305,0))</x:f>
        <x:v>2.9487</x:v>
      </x:c>
      <x:c r="N303" s="25" t="n">
        <x:f>INDEX('Dated offers'!$K$7:$K$305,MATCH($Z303,'Dated offers'!$A$7:$A$305,0))</x:f>
        <x:v>0</x:v>
      </x:c>
      <x:c r="O303" s="25" t="n">
        <x:f>F303*M303</x:f>
        <x:v>73.7175</x:v>
      </x:c>
      <x:c r="P303" s="25" t="n">
        <x:f>G303*M303</x:f>
        <x:v>76.6662</x:v>
      </x:c>
      <x:c r="Q303" s="25" t="n">
        <x:f>K303*M303+N303</x:f>
        <x:v>76.6662</x:v>
      </x:c>
      <x:c r="R303" s="18" t="n">
        <x:f>K303-G303</x:f>
        <x:v>0</x:v>
      </x:c>
      <x:c r="S303" s="18" t="n">
        <x:f>INDEX('Dated offers'!$H$7:$H$305,MATCH($Z303,'Dated offers'!$A$7:$A$305,0))</x:f>
        <x:v>3000</x:v>
      </x:c>
      <x:c r="T303" s="2" t="str">
        <x:f>IF(K303&lt;G303,"Order below requirement",IF(K303&lt;L303,"Below price tier",IF(ISNUMBER(S303),IF(K303&gt;S303,"Quantity exceeds snapshot","Within quantity snapshot"),"Stock not stated")))</x:f>
        <x:v>Within quantity snapshot</x:v>
      </x:c>
      <x:c r="U303" s="2" t="str">
        <x:f>INDEX('Dated offers'!$C$7:$C$305,MATCH($Z303,'Dated offers'!$A$7:$A$305,0))</x:f>
        <x:v>LCSC</x:v>
      </x:c>
      <x:c r="V303" s="2" t="str">
        <x:f>INDEX('Dated offers'!$D$7:$D$305,MATCH($Z303,'Dated offers'!$A$7:$A$305,0))</x:f>
        <x:v>C139631</x:v>
      </x:c>
      <x:c r="W303" s="24" t="n">
        <x:f>INDEX('Dated offers'!$E$7:$E$305,MATCH($Z303,'Dated offers'!$A$7:$A$305,0))</x:f>
        <x:v>46307.44748415509</x:v>
      </x:c>
      <x:c r="X303" s="2" t="b">
        <x:f>INDEX('Dated offers'!$N$7:$N$305,MATCH($Z303,'Dated offers'!$A$7:$A$305,0))</x:f>
        <x:v>0</x:v>
      </x:c>
      <x:c r="Y303" s="2" t="str">
        <x:f>INDEX('Dated offers'!$O$7:$O$305,MATCH($Z303,'Dated offers'!$A$7:$A$305,0))</x:f>
        <x:v>Unreserved inventory snapshot</x:v>
      </x:c>
      <x:c r="Z303" s="17" t="str">
        <x:v>OF0141</x:v>
      </x:c>
      <x:c r="AA303" s="2"/>
      <x:c r="AB303" s="2" t="str">
        <x:f>INDEX('Dated offers'!$Q$7:$Q$305,MATCH($Z303,'Dated offers'!$A$7:$A$305,0))</x:f>
        <x:v>https://www.lcsc.com/product-detail/C139631.html</x:v>
      </x:c>
    </x:row>
    <x:row r="304" ht="24" customHeight="1">
      <x:c r="A304" s="2" t="str">
        <x:v>25 boards / 2% planning</x:v>
      </x:c>
      <x:c r="B304" s="17" t="str">
        <x:v>TPS2553DBVR-1</x:v>
      </x:c>
      <x:c r="C304" s="18" t="n">
        <x:v>25</x:v>
      </x:c>
      <x:c r="D304" s="27" t="n">
        <x:v>0.02</x:v>
      </x:c>
      <x:c r="E304" s="18" t="n">
        <x:f>INDEX('Assembly BOM'!$C$7:$C$162,MATCH($B304,'Assembly BOM'!$A$7:$A$162,0))</x:f>
        <x:v>1</x:v>
      </x:c>
      <x:c r="F304" s="18" t="n">
        <x:f>C304*E304</x:f>
        <x:v>25</x:v>
      </x:c>
      <x:c r="G304" s="18" t="n">
        <x:f>ROUNDUP(F304*(1+D304),0)</x:f>
        <x:v>26</x:v>
      </x:c>
      <x:c r="H304" s="18" t="n">
        <x:f>INDEX('Dated offers'!$F$7:$F$305,MATCH($Z304,'Dated offers'!$A$7:$A$305,0))</x:f>
        <x:v>5</x:v>
      </x:c>
      <x:c r="I304" s="18" t="n">
        <x:f>INDEX('Dated offers'!$G$7:$G$305,MATCH($Z304,'Dated offers'!$A$7:$A$305,0))</x:f>
        <x:v>5</x:v>
      </x:c>
      <x:c r="J304" s="18" t="n">
        <x:f>CEILING(MAX(G304,H304),I304)</x:f>
        <x:v>30</x:v>
      </x:c>
      <x:c r="K304" s="18" t="n">
        <x:v>30</x:v>
      </x:c>
      <x:c r="L304" s="18" t="n">
        <x:f>INDEX('Dated offers'!$I$7:$I$305,MATCH($Z304,'Dated offers'!$A$7:$A$305,0))</x:f>
        <x:v>5</x:v>
      </x:c>
      <x:c r="M304" s="25" t="n">
        <x:f>INDEX('Dated offers'!$J$7:$J$305,MATCH($Z304,'Dated offers'!$A$7:$A$305,0))</x:f>
        <x:v>0.2955</x:v>
      </x:c>
      <x:c r="N304" s="25" t="n">
        <x:f>INDEX('Dated offers'!$K$7:$K$305,MATCH($Z304,'Dated offers'!$A$7:$A$305,0))</x:f>
        <x:v>0</x:v>
      </x:c>
      <x:c r="O304" s="25" t="n">
        <x:f>F304*M304</x:f>
        <x:v>7.387499999999999</x:v>
      </x:c>
      <x:c r="P304" s="25" t="n">
        <x:f>G304*M304</x:f>
        <x:v>7.683</x:v>
      </x:c>
      <x:c r="Q304" s="25" t="n">
        <x:f>K304*M304+N304</x:f>
        <x:v>8.865</x:v>
      </x:c>
      <x:c r="R304" s="18" t="n">
        <x:f>K304-G304</x:f>
        <x:v>4</x:v>
      </x:c>
      <x:c r="S304" s="18" t="n">
        <x:f>INDEX('Dated offers'!$H$7:$H$305,MATCH($Z304,'Dated offers'!$A$7:$A$305,0))</x:f>
        <x:v>12040</x:v>
      </x:c>
      <x:c r="T304" s="2" t="str">
        <x:f>IF(K304&lt;G304,"Order below requirement",IF(K304&lt;L304,"Below price tier",IF(ISNUMBER(S304),IF(K304&gt;S304,"Quantity exceeds snapshot","Within quantity snapshot"),"Stock not stated")))</x:f>
        <x:v>Within quantity snapshot</x:v>
      </x:c>
      <x:c r="U304" s="2" t="str">
        <x:f>INDEX('Dated offers'!$C$7:$C$305,MATCH($Z304,'Dated offers'!$A$7:$A$305,0))</x:f>
        <x:v>LCSC</x:v>
      </x:c>
      <x:c r="V304" s="2" t="str">
        <x:f>INDEX('Dated offers'!$D$7:$D$305,MATCH($Z304,'Dated offers'!$A$7:$A$305,0))</x:f>
        <x:v>C111738</x:v>
      </x:c>
      <x:c r="W304" s="24" t="n">
        <x:f>INDEX('Dated offers'!$E$7:$E$305,MATCH($Z304,'Dated offers'!$A$7:$A$305,0))</x:f>
        <x:v>46307.44748585648</x:v>
      </x:c>
      <x:c r="X304" s="2" t="b">
        <x:f>INDEX('Dated offers'!$N$7:$N$305,MATCH($Z304,'Dated offers'!$A$7:$A$305,0))</x:f>
        <x:v>0</x:v>
      </x:c>
      <x:c r="Y304" s="2" t="str">
        <x:f>INDEX('Dated offers'!$O$7:$O$305,MATCH($Z304,'Dated offers'!$A$7:$A$305,0))</x:f>
        <x:v>Unreserved inventory snapshot</x:v>
      </x:c>
      <x:c r="Z304" s="17" t="str">
        <x:v>OF0142</x:v>
      </x:c>
      <x:c r="AA304" s="2"/>
      <x:c r="AB304" s="2" t="str">
        <x:f>INDEX('Dated offers'!$Q$7:$Q$305,MATCH($Z304,'Dated offers'!$A$7:$A$305,0))</x:f>
        <x:v>https://www.lcsc.com/product-detail/C111738.html</x:v>
      </x:c>
    </x:row>
    <x:row r="305" ht="24" customHeight="1">
      <x:c r="A305" s="2" t="str">
        <x:v>25 boards / 2% planning</x:v>
      </x:c>
      <x:c r="B305" s="17" t="str">
        <x:v>TPS259474ARPWR</x:v>
      </x:c>
      <x:c r="C305" s="18" t="n">
        <x:v>25</x:v>
      </x:c>
      <x:c r="D305" s="27" t="n">
        <x:v>0.02</x:v>
      </x:c>
      <x:c r="E305" s="18" t="n">
        <x:f>INDEX('Assembly BOM'!$C$7:$C$162,MATCH($B305,'Assembly BOM'!$A$7:$A$162,0))</x:f>
        <x:v>1</x:v>
      </x:c>
      <x:c r="F305" s="18" t="n">
        <x:f>C305*E305</x:f>
        <x:v>25</x:v>
      </x:c>
      <x:c r="G305" s="18" t="n">
        <x:f>ROUNDUP(F305*(1+D305),0)</x:f>
        <x:v>26</x:v>
      </x:c>
      <x:c r="H305" s="18" t="n">
        <x:f>INDEX('Dated offers'!$F$7:$F$305,MATCH($Z305,'Dated offers'!$A$7:$A$305,0))</x:f>
        <x:v>1</x:v>
      </x:c>
      <x:c r="I305" s="18" t="n">
        <x:f>INDEX('Dated offers'!$G$7:$G$305,MATCH($Z305,'Dated offers'!$A$7:$A$305,0))</x:f>
        <x:v>1</x:v>
      </x:c>
      <x:c r="J305" s="18" t="n">
        <x:f>CEILING(MAX(G305,H305),I305)</x:f>
        <x:v>26</x:v>
      </x:c>
      <x:c r="K305" s="18" t="n">
        <x:v>26</x:v>
      </x:c>
      <x:c r="L305" s="18" t="n">
        <x:f>INDEX('Dated offers'!$I$7:$I$305,MATCH($Z305,'Dated offers'!$A$7:$A$305,0))</x:f>
        <x:v>10</x:v>
      </x:c>
      <x:c r="M305" s="25" t="n">
        <x:f>INDEX('Dated offers'!$J$7:$J$305,MATCH($Z305,'Dated offers'!$A$7:$A$305,0))</x:f>
        <x:v>2.2666</x:v>
      </x:c>
      <x:c r="N305" s="25" t="n">
        <x:f>INDEX('Dated offers'!$K$7:$K$305,MATCH($Z305,'Dated offers'!$A$7:$A$305,0))</x:f>
        <x:v>0</x:v>
      </x:c>
      <x:c r="O305" s="25" t="n">
        <x:f>F305*M305</x:f>
        <x:v>56.665</x:v>
      </x:c>
      <x:c r="P305" s="25" t="n">
        <x:f>G305*M305</x:f>
        <x:v>58.931599999999996</x:v>
      </x:c>
      <x:c r="Q305" s="25" t="n">
        <x:f>K305*M305+N305</x:f>
        <x:v>58.931599999999996</x:v>
      </x:c>
      <x:c r="R305" s="18" t="n">
        <x:f>K305-G305</x:f>
        <x:v>0</x:v>
      </x:c>
      <x:c r="S305" s="18" t="n">
        <x:f>INDEX('Dated offers'!$H$7:$H$305,MATCH($Z305,'Dated offers'!$A$7:$A$305,0))</x:f>
        <x:v>208</x:v>
      </x:c>
      <x:c r="T305" s="2" t="str">
        <x:f>IF(K305&lt;G305,"Order below requirement",IF(K305&lt;L305,"Below price tier",IF(ISNUMBER(S305),IF(K305&gt;S305,"Quantity exceeds snapshot","Within quantity snapshot"),"Stock not stated")))</x:f>
        <x:v>Within quantity snapshot</x:v>
      </x:c>
      <x:c r="U305" s="2" t="str">
        <x:f>INDEX('Dated offers'!$C$7:$C$305,MATCH($Z305,'Dated offers'!$A$7:$A$305,0))</x:f>
        <x:v>LCSC</x:v>
      </x:c>
      <x:c r="V305" s="2" t="str">
        <x:f>INDEX('Dated offers'!$D$7:$D$305,MATCH($Z305,'Dated offers'!$A$7:$A$305,0))</x:f>
        <x:v>C3662807</x:v>
      </x:c>
      <x:c r="W305" s="24" t="n">
        <x:f>INDEX('Dated offers'!$E$7:$E$305,MATCH($Z305,'Dated offers'!$A$7:$A$305,0))</x:f>
        <x:v>46307.44748833333</x:v>
      </x:c>
      <x:c r="X305" s="2" t="b">
        <x:f>INDEX('Dated offers'!$N$7:$N$305,MATCH($Z305,'Dated offers'!$A$7:$A$305,0))</x:f>
        <x:v>0</x:v>
      </x:c>
      <x:c r="Y305" s="2" t="str">
        <x:f>INDEX('Dated offers'!$O$7:$O$305,MATCH($Z305,'Dated offers'!$A$7:$A$305,0))</x:f>
        <x:v>Unreserved inventory snapshot</x:v>
      </x:c>
      <x:c r="Z305" s="17" t="str">
        <x:v>OF0143</x:v>
      </x:c>
      <x:c r="AA305" s="2"/>
      <x:c r="AB305" s="2" t="str">
        <x:f>INDEX('Dated offers'!$Q$7:$Q$305,MATCH($Z305,'Dated offers'!$A$7:$A$305,0))</x:f>
        <x:v>https://www.lcsc.com/product-detail/C3662807.html</x:v>
      </x:c>
    </x:row>
    <x:row r="306" ht="24" customHeight="1">
      <x:c r="A306" s="2" t="str">
        <x:v>25 boards / 2% planning</x:v>
      </x:c>
      <x:c r="B306" s="17" t="str">
        <x:v>TPS259474LRPWR</x:v>
      </x:c>
      <x:c r="C306" s="18" t="n">
        <x:v>25</x:v>
      </x:c>
      <x:c r="D306" s="27" t="n">
        <x:v>0.02</x:v>
      </x:c>
      <x:c r="E306" s="18" t="n">
        <x:f>INDEX('Assembly BOM'!$C$7:$C$162,MATCH($B306,'Assembly BOM'!$A$7:$A$162,0))</x:f>
        <x:v>2</x:v>
      </x:c>
      <x:c r="F306" s="18" t="n">
        <x:f>C306*E306</x:f>
        <x:v>50</x:v>
      </x:c>
      <x:c r="G306" s="18" t="n">
        <x:f>ROUNDUP(F306*(1+D306),0)</x:f>
        <x:v>51</x:v>
      </x:c>
      <x:c r="H306" s="18" t="n">
        <x:f>INDEX('Dated offers'!$F$7:$F$305,MATCH($Z306,'Dated offers'!$A$7:$A$305,0))</x:f>
        <x:v>1</x:v>
      </x:c>
      <x:c r="I306" s="18" t="n">
        <x:f>INDEX('Dated offers'!$G$7:$G$305,MATCH($Z306,'Dated offers'!$A$7:$A$305,0))</x:f>
        <x:v>1</x:v>
      </x:c>
      <x:c r="J306" s="18" t="n">
        <x:f>CEILING(MAX(G306,H306),I306)</x:f>
        <x:v>51</x:v>
      </x:c>
      <x:c r="K306" s="18" t="n">
        <x:v>51</x:v>
      </x:c>
      <x:c r="L306" s="18" t="n">
        <x:f>INDEX('Dated offers'!$I$7:$I$305,MATCH($Z306,'Dated offers'!$A$7:$A$305,0))</x:f>
        <x:v>25</x:v>
      </x:c>
      <x:c r="M306" s="25" t="n">
        <x:f>INDEX('Dated offers'!$J$7:$J$305,MATCH($Z306,'Dated offers'!$A$7:$A$305,0))</x:f>
        <x:v>1.3056</x:v>
      </x:c>
      <x:c r="N306" s="25" t="n">
        <x:f>INDEX('Dated offers'!$K$7:$K$305,MATCH($Z306,'Dated offers'!$A$7:$A$305,0))</x:f>
        <x:v>0</x:v>
      </x:c>
      <x:c r="O306" s="25" t="n">
        <x:f>F306*M306</x:f>
        <x:v>65.28</x:v>
      </x:c>
      <x:c r="P306" s="25" t="n">
        <x:f>G306*M306</x:f>
        <x:v>66.5856</x:v>
      </x:c>
      <x:c r="Q306" s="25" t="n">
        <x:f>K306*M306+N306</x:f>
        <x:v>66.5856</x:v>
      </x:c>
      <x:c r="R306" s="18" t="n">
        <x:f>K306-G306</x:f>
        <x:v>0</x:v>
      </x:c>
      <x:c r="S306" s="18" t="n">
        <x:f>INDEX('Dated offers'!$H$7:$H$305,MATCH($Z306,'Dated offers'!$A$7:$A$305,0))</x:f>
        <x:v>39724</x:v>
      </x:c>
      <x:c r="T306" s="2" t="str">
        <x:f>IF(K306&lt;G306,"Order below requirement",IF(K306&lt;L306,"Below price tier",IF(ISNUMBER(S306),IF(K306&gt;S306,"Quantity exceeds snapshot","Within quantity snapshot"),"Stock not stated")))</x:f>
        <x:v>Within quantity snapshot</x:v>
      </x:c>
      <x:c r="U306" s="2" t="str">
        <x:f>INDEX('Dated offers'!$C$7:$C$305,MATCH($Z306,'Dated offers'!$A$7:$A$305,0))</x:f>
        <x:v>DigiKey</x:v>
      </x:c>
      <x:c r="V306" s="2" t="str">
        <x:f>INDEX('Dated offers'!$D$7:$D$305,MATCH($Z306,'Dated offers'!$A$7:$A$305,0))</x:f>
        <x:v>Not stated</x:v>
      </x:c>
      <x:c r="W306" s="24" t="n">
        <x:f>INDEX('Dated offers'!$E$7:$E$305,MATCH($Z306,'Dated offers'!$A$7:$A$305,0))</x:f>
        <x:v>46307.47807253472</x:v>
      </x:c>
      <x:c r="X306" s="2" t="b">
        <x:f>INDEX('Dated offers'!$N$7:$N$305,MATCH($Z306,'Dated offers'!$A$7:$A$305,0))</x:f>
        <x:v>0</x:v>
      </x:c>
      <x:c r="Y306" s="2" t="str">
        <x:f>INDEX('Dated offers'!$O$7:$O$305,MATCH($Z306,'Dated offers'!$A$7:$A$305,0))</x:f>
        <x:v>Unreserved inventory snapshot</x:v>
      </x:c>
      <x:c r="Z306" s="17" t="str">
        <x:v>OF0144</x:v>
      </x:c>
      <x:c r="AA306" s="2"/>
      <x:c r="AB306" s="2" t="str">
        <x:f>INDEX('Dated offers'!$Q$7:$Q$305,MATCH($Z306,'Dated offers'!$A$7:$A$305,0))</x:f>
        <x:v>https://www.digikey.com/en/products/detail/texas-instruments/TPS259474LRPWR/14123976</x:v>
      </x:c>
    </x:row>
    <x:row r="307" ht="24" customHeight="1">
      <x:c r="A307" s="2" t="str">
        <x:v>25 boards / 2% planning</x:v>
      </x:c>
      <x:c r="B307" s="17" t="str">
        <x:v>TPS3435CAKAGDDFR</x:v>
      </x:c>
      <x:c r="C307" s="18" t="n">
        <x:v>25</x:v>
      </x:c>
      <x:c r="D307" s="27" t="n">
        <x:v>0.02</x:v>
      </x:c>
      <x:c r="E307" s="18" t="n">
        <x:f>INDEX('Assembly BOM'!$C$7:$C$162,MATCH($B307,'Assembly BOM'!$A$7:$A$162,0))</x:f>
        <x:v>1</x:v>
      </x:c>
      <x:c r="F307" s="18" t="n">
        <x:f>C307*E307</x:f>
        <x:v>25</x:v>
      </x:c>
      <x:c r="G307" s="18" t="n">
        <x:f>ROUNDUP(F307*(1+D307),0)</x:f>
        <x:v>26</x:v>
      </x:c>
      <x:c r="H307" s="18" t="n">
        <x:f>INDEX('Dated offers'!$F$7:$F$305,MATCH($Z307,'Dated offers'!$A$7:$A$305,0))</x:f>
        <x:v>1</x:v>
      </x:c>
      <x:c r="I307" s="18" t="n">
        <x:f>INDEX('Dated offers'!$G$7:$G$305,MATCH($Z307,'Dated offers'!$A$7:$A$305,0))</x:f>
        <x:v>1</x:v>
      </x:c>
      <x:c r="J307" s="18" t="n">
        <x:f>CEILING(MAX(G307,H307),I307)</x:f>
        <x:v>26</x:v>
      </x:c>
      <x:c r="K307" s="18" t="n">
        <x:v>26</x:v>
      </x:c>
      <x:c r="L307" s="18" t="n">
        <x:f>INDEX('Dated offers'!$I$7:$I$305,MATCH($Z307,'Dated offers'!$A$7:$A$305,0))</x:f>
        <x:v>25</x:v>
      </x:c>
      <x:c r="M307" s="25" t="n">
        <x:f>INDEX('Dated offers'!$J$7:$J$305,MATCH($Z307,'Dated offers'!$A$7:$A$305,0))</x:f>
        <x:v>1.6488</x:v>
      </x:c>
      <x:c r="N307" s="25" t="n">
        <x:f>INDEX('Dated offers'!$K$7:$K$305,MATCH($Z307,'Dated offers'!$A$7:$A$305,0))</x:f>
        <x:v>0</x:v>
      </x:c>
      <x:c r="O307" s="25" t="n">
        <x:f>F307*M307</x:f>
        <x:v>41.22</x:v>
      </x:c>
      <x:c r="P307" s="25" t="n">
        <x:f>G307*M307</x:f>
        <x:v>42.8688</x:v>
      </x:c>
      <x:c r="Q307" s="25" t="n">
        <x:f>K307*M307+N307</x:f>
        <x:v>42.8688</x:v>
      </x:c>
      <x:c r="R307" s="18" t="n">
        <x:f>K307-G307</x:f>
        <x:v>0</x:v>
      </x:c>
      <x:c r="S307" s="18" t="n">
        <x:f>INDEX('Dated offers'!$H$7:$H$305,MATCH($Z307,'Dated offers'!$A$7:$A$305,0))</x:f>
        <x:v>5443</x:v>
      </x:c>
      <x:c r="T307" s="2" t="str">
        <x:f>IF(K307&lt;G307,"Order below requirement",IF(K307&lt;L307,"Below price tier",IF(ISNUMBER(S307),IF(K307&gt;S307,"Quantity exceeds snapshot","Within quantity snapshot"),"Stock not stated")))</x:f>
        <x:v>Within quantity snapshot</x:v>
      </x:c>
      <x:c r="U307" s="2" t="str">
        <x:f>INDEX('Dated offers'!$C$7:$C$305,MATCH($Z307,'Dated offers'!$A$7:$A$305,0))</x:f>
        <x:v>DigiKey</x:v>
      </x:c>
      <x:c r="V307" s="2" t="str">
        <x:f>INDEX('Dated offers'!$D$7:$D$305,MATCH($Z307,'Dated offers'!$A$7:$A$305,0))</x:f>
        <x:v>Not stated</x:v>
      </x:c>
      <x:c r="W307" s="24" t="n">
        <x:f>INDEX('Dated offers'!$E$7:$E$305,MATCH($Z307,'Dated offers'!$A$7:$A$305,0))</x:f>
        <x:v>46307.47807273148</x:v>
      </x:c>
      <x:c r="X307" s="2" t="b">
        <x:f>INDEX('Dated offers'!$N$7:$N$305,MATCH($Z307,'Dated offers'!$A$7:$A$305,0))</x:f>
        <x:v>0</x:v>
      </x:c>
      <x:c r="Y307" s="2" t="str">
        <x:f>INDEX('Dated offers'!$O$7:$O$305,MATCH($Z307,'Dated offers'!$A$7:$A$305,0))</x:f>
        <x:v>Unreserved inventory snapshot</x:v>
      </x:c>
      <x:c r="Z307" s="17" t="str">
        <x:v>OF0145</x:v>
      </x:c>
      <x:c r="AA307" s="2"/>
      <x:c r="AB307" s="2" t="str">
        <x:f>INDEX('Dated offers'!$Q$7:$Q$305,MATCH($Z307,'Dated offers'!$A$7:$A$305,0))</x:f>
        <x:v>https://www.digikey.com/en/products/detail/texas-instruments/TPS3435CAKAGDDFR/17748491</x:v>
      </x:c>
    </x:row>
    <x:row r="308" ht="24" customHeight="1">
      <x:c r="A308" s="2" t="str">
        <x:v>25 boards / 2% planning</x:v>
      </x:c>
      <x:c r="B308" s="17" t="str">
        <x:v>TPS3700DDCR</x:v>
      </x:c>
      <x:c r="C308" s="18" t="n">
        <x:v>25</x:v>
      </x:c>
      <x:c r="D308" s="27" t="n">
        <x:v>0.02</x:v>
      </x:c>
      <x:c r="E308" s="18" t="n">
        <x:f>INDEX('Assembly BOM'!$C$7:$C$162,MATCH($B308,'Assembly BOM'!$A$7:$A$162,0))</x:f>
        <x:v>1</x:v>
      </x:c>
      <x:c r="F308" s="18" t="n">
        <x:f>C308*E308</x:f>
        <x:v>25</x:v>
      </x:c>
      <x:c r="G308" s="18" t="n">
        <x:f>ROUNDUP(F308*(1+D308),0)</x:f>
        <x:v>26</x:v>
      </x:c>
      <x:c r="H308" s="18" t="n">
        <x:f>INDEX('Dated offers'!$F$7:$F$305,MATCH($Z308,'Dated offers'!$A$7:$A$305,0))</x:f>
        <x:v>1</x:v>
      </x:c>
      <x:c r="I308" s="18" t="n">
        <x:f>INDEX('Dated offers'!$G$7:$G$305,MATCH($Z308,'Dated offers'!$A$7:$A$305,0))</x:f>
        <x:v>1</x:v>
      </x:c>
      <x:c r="J308" s="18" t="n">
        <x:f>CEILING(MAX(G308,H308),I308)</x:f>
        <x:v>26</x:v>
      </x:c>
      <x:c r="K308" s="18" t="n">
        <x:v>26</x:v>
      </x:c>
      <x:c r="L308" s="18" t="n">
        <x:f>INDEX('Dated offers'!$I$7:$I$305,MATCH($Z308,'Dated offers'!$A$7:$A$305,0))</x:f>
        <x:v>10</x:v>
      </x:c>
      <x:c r="M308" s="25" t="n">
        <x:f>INDEX('Dated offers'!$J$7:$J$305,MATCH($Z308,'Dated offers'!$A$7:$A$305,0))</x:f>
        <x:v>1.1833</x:v>
      </x:c>
      <x:c r="N308" s="25" t="n">
        <x:f>INDEX('Dated offers'!$K$7:$K$305,MATCH($Z308,'Dated offers'!$A$7:$A$305,0))</x:f>
        <x:v>0</x:v>
      </x:c>
      <x:c r="O308" s="25" t="n">
        <x:f>F308*M308</x:f>
        <x:v>29.5825</x:v>
      </x:c>
      <x:c r="P308" s="25" t="n">
        <x:f>G308*M308</x:f>
        <x:v>30.7658</x:v>
      </x:c>
      <x:c r="Q308" s="25" t="n">
        <x:f>K308*M308+N308</x:f>
        <x:v>30.7658</x:v>
      </x:c>
      <x:c r="R308" s="18" t="n">
        <x:f>K308-G308</x:f>
        <x:v>0</x:v>
      </x:c>
      <x:c r="S308" s="18" t="n">
        <x:f>INDEX('Dated offers'!$H$7:$H$305,MATCH($Z308,'Dated offers'!$A$7:$A$305,0))</x:f>
        <x:v>13826</x:v>
      </x:c>
      <x:c r="T308" s="2" t="str">
        <x:f>IF(K308&lt;G308,"Order below requirement",IF(K308&lt;L308,"Below price tier",IF(ISNUMBER(S308),IF(K308&gt;S308,"Quantity exceeds snapshot","Within quantity snapshot"),"Stock not stated")))</x:f>
        <x:v>Within quantity snapshot</x:v>
      </x:c>
      <x:c r="U308" s="2" t="str">
        <x:f>INDEX('Dated offers'!$C$7:$C$305,MATCH($Z308,'Dated offers'!$A$7:$A$305,0))</x:f>
        <x:v>LCSC</x:v>
      </x:c>
      <x:c r="V308" s="2" t="str">
        <x:f>INDEX('Dated offers'!$D$7:$D$305,MATCH($Z308,'Dated offers'!$A$7:$A$305,0))</x:f>
        <x:v>C33002</x:v>
      </x:c>
      <x:c r="W308" s="24" t="n">
        <x:f>INDEX('Dated offers'!$E$7:$E$305,MATCH($Z308,'Dated offers'!$A$7:$A$305,0))</x:f>
        <x:v>46307.44749138889</x:v>
      </x:c>
      <x:c r="X308" s="2" t="b">
        <x:f>INDEX('Dated offers'!$N$7:$N$305,MATCH($Z308,'Dated offers'!$A$7:$A$305,0))</x:f>
        <x:v>0</x:v>
      </x:c>
      <x:c r="Y308" s="2" t="str">
        <x:f>INDEX('Dated offers'!$O$7:$O$305,MATCH($Z308,'Dated offers'!$A$7:$A$305,0))</x:f>
        <x:v>Unreserved inventory snapshot</x:v>
      </x:c>
      <x:c r="Z308" s="17" t="str">
        <x:v>OF0146</x:v>
      </x:c>
      <x:c r="AA308" s="2"/>
      <x:c r="AB308" s="2" t="str">
        <x:f>INDEX('Dated offers'!$Q$7:$Q$305,MATCH($Z308,'Dated offers'!$A$7:$A$305,0))</x:f>
        <x:v>https://www.lcsc.com/product-detail/C33002.html</x:v>
      </x:c>
    </x:row>
    <x:row r="309" ht="24" customHeight="1">
      <x:c r="A309" s="2" t="str">
        <x:v>25 boards / 2% planning</x:v>
      </x:c>
      <x:c r="B309" s="17" t="str">
        <x:v>TPS3808G01DBVR</x:v>
      </x:c>
      <x:c r="C309" s="18" t="n">
        <x:v>25</x:v>
      </x:c>
      <x:c r="D309" s="27" t="n">
        <x:v>0.02</x:v>
      </x:c>
      <x:c r="E309" s="18" t="n">
        <x:f>INDEX('Assembly BOM'!$C$7:$C$162,MATCH($B309,'Assembly BOM'!$A$7:$A$162,0))</x:f>
        <x:v>2</x:v>
      </x:c>
      <x:c r="F309" s="18" t="n">
        <x:f>C309*E309</x:f>
        <x:v>50</x:v>
      </x:c>
      <x:c r="G309" s="18" t="n">
        <x:f>ROUNDUP(F309*(1+D309),0)</x:f>
        <x:v>51</x:v>
      </x:c>
      <x:c r="H309" s="18" t="n">
        <x:f>INDEX('Dated offers'!$F$7:$F$305,MATCH($Z309,'Dated offers'!$A$7:$A$305,0))</x:f>
        <x:v>5</x:v>
      </x:c>
      <x:c r="I309" s="18" t="n">
        <x:f>INDEX('Dated offers'!$G$7:$G$305,MATCH($Z309,'Dated offers'!$A$7:$A$305,0))</x:f>
        <x:v>5</x:v>
      </x:c>
      <x:c r="J309" s="18" t="n">
        <x:f>CEILING(MAX(G309,H309),I309)</x:f>
        <x:v>55</x:v>
      </x:c>
      <x:c r="K309" s="18" t="n">
        <x:v>55</x:v>
      </x:c>
      <x:c r="L309" s="18" t="n">
        <x:f>INDEX('Dated offers'!$I$7:$I$305,MATCH($Z309,'Dated offers'!$A$7:$A$305,0))</x:f>
        <x:v>50</x:v>
      </x:c>
      <x:c r="M309" s="25" t="n">
        <x:f>INDEX('Dated offers'!$J$7:$J$305,MATCH($Z309,'Dated offers'!$A$7:$A$305,0))</x:f>
        <x:v>0.3427</x:v>
      </x:c>
      <x:c r="N309" s="25" t="n">
        <x:f>INDEX('Dated offers'!$K$7:$K$305,MATCH($Z309,'Dated offers'!$A$7:$A$305,0))</x:f>
        <x:v>0</x:v>
      </x:c>
      <x:c r="O309" s="25" t="n">
        <x:f>F309*M309</x:f>
        <x:v>17.135</x:v>
      </x:c>
      <x:c r="P309" s="25" t="n">
        <x:f>G309*M309</x:f>
        <x:v>17.4777</x:v>
      </x:c>
      <x:c r="Q309" s="25" t="n">
        <x:f>K309*M309+N309</x:f>
        <x:v>18.8485</x:v>
      </x:c>
      <x:c r="R309" s="18" t="n">
        <x:f>K309-G309</x:f>
        <x:v>4</x:v>
      </x:c>
      <x:c r="S309" s="18" t="n">
        <x:f>INDEX('Dated offers'!$H$7:$H$305,MATCH($Z309,'Dated offers'!$A$7:$A$305,0))</x:f>
        <x:v>15495</x:v>
      </x:c>
      <x:c r="T309" s="2" t="str">
        <x:f>IF(K309&lt;G309,"Order below requirement",IF(K309&lt;L309,"Below price tier",IF(ISNUMBER(S309),IF(K309&gt;S309,"Quantity exceeds snapshot","Within quantity snapshot"),"Stock not stated")))</x:f>
        <x:v>Within quantity snapshot</x:v>
      </x:c>
      <x:c r="U309" s="2" t="str">
        <x:f>INDEX('Dated offers'!$C$7:$C$305,MATCH($Z309,'Dated offers'!$A$7:$A$305,0))</x:f>
        <x:v>LCSC</x:v>
      </x:c>
      <x:c r="V309" s="2" t="str">
        <x:f>INDEX('Dated offers'!$D$7:$D$305,MATCH($Z309,'Dated offers'!$A$7:$A$305,0))</x:f>
        <x:v>C19653</x:v>
      </x:c>
      <x:c r="W309" s="24" t="n">
        <x:f>INDEX('Dated offers'!$E$7:$E$305,MATCH($Z309,'Dated offers'!$A$7:$A$305,0))</x:f>
        <x:v>46307.44749333333</x:v>
      </x:c>
      <x:c r="X309" s="2" t="b">
        <x:f>INDEX('Dated offers'!$N$7:$N$305,MATCH($Z309,'Dated offers'!$A$7:$A$305,0))</x:f>
        <x:v>0</x:v>
      </x:c>
      <x:c r="Y309" s="2" t="str">
        <x:f>INDEX('Dated offers'!$O$7:$O$305,MATCH($Z309,'Dated offers'!$A$7:$A$305,0))</x:f>
        <x:v>Unreserved inventory snapshot</x:v>
      </x:c>
      <x:c r="Z309" s="17" t="str">
        <x:v>OF0147</x:v>
      </x:c>
      <x:c r="AA309" s="2"/>
      <x:c r="AB309" s="2" t="str">
        <x:f>INDEX('Dated offers'!$Q$7:$Q$305,MATCH($Z309,'Dated offers'!$A$7:$A$305,0))</x:f>
        <x:v>https://www.lcsc.com/product-detail/C19653.html</x:v>
      </x:c>
    </x:row>
    <x:row r="310" ht="24" customHeight="1">
      <x:c r="A310" s="2" t="str">
        <x:v>25 boards / 2% planning</x:v>
      </x:c>
      <x:c r="B310" s="17" t="str">
        <x:v>TPS3808G33DBVR</x:v>
      </x:c>
      <x:c r="C310" s="18" t="n">
        <x:v>25</x:v>
      </x:c>
      <x:c r="D310" s="27" t="n">
        <x:v>0.02</x:v>
      </x:c>
      <x:c r="E310" s="18" t="n">
        <x:f>INDEX('Assembly BOM'!$C$7:$C$162,MATCH($B310,'Assembly BOM'!$A$7:$A$162,0))</x:f>
        <x:v>1</x:v>
      </x:c>
      <x:c r="F310" s="18" t="n">
        <x:f>C310*E310</x:f>
        <x:v>25</x:v>
      </x:c>
      <x:c r="G310" s="18" t="n">
        <x:f>ROUNDUP(F310*(1+D310),0)</x:f>
        <x:v>26</x:v>
      </x:c>
      <x:c r="H310" s="18" t="n">
        <x:f>INDEX('Dated offers'!$F$7:$F$305,MATCH($Z310,'Dated offers'!$A$7:$A$305,0))</x:f>
        <x:v>1</x:v>
      </x:c>
      <x:c r="I310" s="18" t="n">
        <x:f>INDEX('Dated offers'!$G$7:$G$305,MATCH($Z310,'Dated offers'!$A$7:$A$305,0))</x:f>
        <x:v>1</x:v>
      </x:c>
      <x:c r="J310" s="18" t="n">
        <x:f>CEILING(MAX(G310,H310),I310)</x:f>
        <x:v>26</x:v>
      </x:c>
      <x:c r="K310" s="18" t="n">
        <x:v>26</x:v>
      </x:c>
      <x:c r="L310" s="18" t="n">
        <x:f>INDEX('Dated offers'!$I$7:$I$305,MATCH($Z310,'Dated offers'!$A$7:$A$305,0))</x:f>
        <x:v>10</x:v>
      </x:c>
      <x:c r="M310" s="25" t="n">
        <x:f>INDEX('Dated offers'!$J$7:$J$305,MATCH($Z310,'Dated offers'!$A$7:$A$305,0))</x:f>
        <x:v>0.3387</x:v>
      </x:c>
      <x:c r="N310" s="25" t="n">
        <x:f>INDEX('Dated offers'!$K$7:$K$305,MATCH($Z310,'Dated offers'!$A$7:$A$305,0))</x:f>
        <x:v>0</x:v>
      </x:c>
      <x:c r="O310" s="25" t="n">
        <x:f>F310*M310</x:f>
        <x:v>8.4675</x:v>
      </x:c>
      <x:c r="P310" s="25" t="n">
        <x:f>G310*M310</x:f>
        <x:v>8.8062</x:v>
      </x:c>
      <x:c r="Q310" s="25" t="n">
        <x:f>K310*M310+N310</x:f>
        <x:v>8.8062</x:v>
      </x:c>
      <x:c r="R310" s="18" t="n">
        <x:f>K310-G310</x:f>
        <x:v>0</x:v>
      </x:c>
      <x:c r="S310" s="18" t="n">
        <x:f>INDEX('Dated offers'!$H$7:$H$305,MATCH($Z310,'Dated offers'!$A$7:$A$305,0))</x:f>
        <x:v>23019</x:v>
      </x:c>
      <x:c r="T310" s="2" t="str">
        <x:f>IF(K310&lt;G310,"Order below requirement",IF(K310&lt;L310,"Below price tier",IF(ISNUMBER(S310),IF(K310&gt;S310,"Quantity exceeds snapshot","Within quantity snapshot"),"Stock not stated")))</x:f>
        <x:v>Within quantity snapshot</x:v>
      </x:c>
      <x:c r="U310" s="2" t="str">
        <x:f>INDEX('Dated offers'!$C$7:$C$305,MATCH($Z310,'Dated offers'!$A$7:$A$305,0))</x:f>
        <x:v>LCSC</x:v>
      </x:c>
      <x:c r="V310" s="2" t="str">
        <x:f>INDEX('Dated offers'!$D$7:$D$305,MATCH($Z310,'Dated offers'!$A$7:$A$305,0))</x:f>
        <x:v>C43698</x:v>
      </x:c>
      <x:c r="W310" s="24" t="n">
        <x:f>INDEX('Dated offers'!$E$7:$E$305,MATCH($Z310,'Dated offers'!$A$7:$A$305,0))</x:f>
        <x:v>46307.44749550926</x:v>
      </x:c>
      <x:c r="X310" s="2" t="b">
        <x:f>INDEX('Dated offers'!$N$7:$N$305,MATCH($Z310,'Dated offers'!$A$7:$A$305,0))</x:f>
        <x:v>0</x:v>
      </x:c>
      <x:c r="Y310" s="2" t="str">
        <x:f>INDEX('Dated offers'!$O$7:$O$305,MATCH($Z310,'Dated offers'!$A$7:$A$305,0))</x:f>
        <x:v>Unreserved inventory snapshot</x:v>
      </x:c>
      <x:c r="Z310" s="17" t="str">
        <x:v>OF0148</x:v>
      </x:c>
      <x:c r="AA310" s="2"/>
      <x:c r="AB310" s="2" t="str">
        <x:f>INDEX('Dated offers'!$Q$7:$Q$305,MATCH($Z310,'Dated offers'!$A$7:$A$305,0))</x:f>
        <x:v>https://www.lcsc.com/product-detail/C43698.html</x:v>
      </x:c>
    </x:row>
    <x:row r="311" ht="24" customHeight="1">
      <x:c r="A311" s="2" t="str">
        <x:v>25 boards / 2% planning</x:v>
      </x:c>
      <x:c r="B311" s="17" t="str">
        <x:v>TPS389001DSER</x:v>
      </x:c>
      <x:c r="C311" s="18" t="n">
        <x:v>25</x:v>
      </x:c>
      <x:c r="D311" s="27" t="n">
        <x:v>0.02</x:v>
      </x:c>
      <x:c r="E311" s="18" t="n">
        <x:f>INDEX('Assembly BOM'!$C$7:$C$162,MATCH($B311,'Assembly BOM'!$A$7:$A$162,0))</x:f>
        <x:v>1</x:v>
      </x:c>
      <x:c r="F311" s="18" t="n">
        <x:f>C311*E311</x:f>
        <x:v>25</x:v>
      </x:c>
      <x:c r="G311" s="18" t="n">
        <x:f>ROUNDUP(F311*(1+D311),0)</x:f>
        <x:v>26</x:v>
      </x:c>
      <x:c r="H311" s="18" t="n">
        <x:f>INDEX('Dated offers'!$F$7:$F$305,MATCH($Z311,'Dated offers'!$A$7:$A$305,0))</x:f>
        <x:v>1</x:v>
      </x:c>
      <x:c r="I311" s="18" t="n">
        <x:f>INDEX('Dated offers'!$G$7:$G$305,MATCH($Z311,'Dated offers'!$A$7:$A$305,0))</x:f>
        <x:v>1</x:v>
      </x:c>
      <x:c r="J311" s="18" t="n">
        <x:f>CEILING(MAX(G311,H311),I311)</x:f>
        <x:v>26</x:v>
      </x:c>
      <x:c r="K311" s="18" t="n">
        <x:v>26</x:v>
      </x:c>
      <x:c r="L311" s="18" t="n">
        <x:f>INDEX('Dated offers'!$I$7:$I$305,MATCH($Z311,'Dated offers'!$A$7:$A$305,0))</x:f>
        <x:v>25</x:v>
      </x:c>
      <x:c r="M311" s="25" t="n">
        <x:f>INDEX('Dated offers'!$J$7:$J$305,MATCH($Z311,'Dated offers'!$A$7:$A$305,0))</x:f>
        <x:v>1.2648</x:v>
      </x:c>
      <x:c r="N311" s="25" t="n">
        <x:f>INDEX('Dated offers'!$K$7:$K$305,MATCH($Z311,'Dated offers'!$A$7:$A$305,0))</x:f>
        <x:v>0</x:v>
      </x:c>
      <x:c r="O311" s="25" t="n">
        <x:f>F311*M311</x:f>
        <x:v>31.619999999999997</x:v>
      </x:c>
      <x:c r="P311" s="25" t="n">
        <x:f>G311*M311</x:f>
        <x:v>32.8848</x:v>
      </x:c>
      <x:c r="Q311" s="25" t="n">
        <x:f>K311*M311+N311</x:f>
        <x:v>32.8848</x:v>
      </x:c>
      <x:c r="R311" s="18" t="n">
        <x:f>K311-G311</x:f>
        <x:v>0</x:v>
      </x:c>
      <x:c r="S311" s="18" t="n">
        <x:f>INDEX('Dated offers'!$H$7:$H$305,MATCH($Z311,'Dated offers'!$A$7:$A$305,0))</x:f>
        <x:v>26260</x:v>
      </x:c>
      <x:c r="T311" s="2" t="str">
        <x:f>IF(K311&lt;G311,"Order below requirement",IF(K311&lt;L311,"Below price tier",IF(ISNUMBER(S311),IF(K311&gt;S311,"Quantity exceeds snapshot","Within quantity snapshot"),"Stock not stated")))</x:f>
        <x:v>Within quantity snapshot</x:v>
      </x:c>
      <x:c r="U311" s="2" t="str">
        <x:f>INDEX('Dated offers'!$C$7:$C$305,MATCH($Z311,'Dated offers'!$A$7:$A$305,0))</x:f>
        <x:v>DigiKey</x:v>
      </x:c>
      <x:c r="V311" s="2" t="str">
        <x:f>INDEX('Dated offers'!$D$7:$D$305,MATCH($Z311,'Dated offers'!$A$7:$A$305,0))</x:f>
        <x:v>Not stated</x:v>
      </x:c>
      <x:c r="W311" s="24" t="n">
        <x:f>INDEX('Dated offers'!$E$7:$E$305,MATCH($Z311,'Dated offers'!$A$7:$A$305,0))</x:f>
        <x:v>46307.47807253472</x:v>
      </x:c>
      <x:c r="X311" s="2" t="b">
        <x:f>INDEX('Dated offers'!$N$7:$N$305,MATCH($Z311,'Dated offers'!$A$7:$A$305,0))</x:f>
        <x:v>0</x:v>
      </x:c>
      <x:c r="Y311" s="2" t="str">
        <x:f>INDEX('Dated offers'!$O$7:$O$305,MATCH($Z311,'Dated offers'!$A$7:$A$305,0))</x:f>
        <x:v>Unreserved inventory snapshot</x:v>
      </x:c>
      <x:c r="Z311" s="17" t="str">
        <x:v>OF0149</x:v>
      </x:c>
      <x:c r="AA311" s="2"/>
      <x:c r="AB311" s="2" t="str">
        <x:f>INDEX('Dated offers'!$Q$7:$Q$305,MATCH($Z311,'Dated offers'!$A$7:$A$305,0))</x:f>
        <x:v>https://www.digikey.com/en/products/detail/texas-instruments/TPS389001DSER/6123505</x:v>
      </x:c>
    </x:row>
    <x:row r="312" ht="24" customHeight="1">
      <x:c r="A312" s="2" t="str">
        <x:v>25 boards / 2% planning</x:v>
      </x:c>
      <x:c r="B312" s="17" t="str">
        <x:v>TPS62912RPUR</x:v>
      </x:c>
      <x:c r="C312" s="18" t="n">
        <x:v>25</x:v>
      </x:c>
      <x:c r="D312" s="27" t="n">
        <x:v>0.02</x:v>
      </x:c>
      <x:c r="E312" s="18" t="n">
        <x:f>INDEX('Assembly BOM'!$C$7:$C$162,MATCH($B312,'Assembly BOM'!$A$7:$A$162,0))</x:f>
        <x:v>3</x:v>
      </x:c>
      <x:c r="F312" s="18" t="n">
        <x:f>C312*E312</x:f>
        <x:v>75</x:v>
      </x:c>
      <x:c r="G312" s="18" t="n">
        <x:f>ROUNDUP(F312*(1+D312),0)</x:f>
        <x:v>77</x:v>
      </x:c>
      <x:c r="H312" s="18" t="n">
        <x:f>INDEX('Dated offers'!$F$7:$F$305,MATCH($Z312,'Dated offers'!$A$7:$A$305,0))</x:f>
        <x:v>1</x:v>
      </x:c>
      <x:c r="I312" s="18" t="n">
        <x:f>INDEX('Dated offers'!$G$7:$G$305,MATCH($Z312,'Dated offers'!$A$7:$A$305,0))</x:f>
        <x:v>1</x:v>
      </x:c>
      <x:c r="J312" s="18" t="n">
        <x:f>CEILING(MAX(G312,H312),I312)</x:f>
        <x:v>77</x:v>
      </x:c>
      <x:c r="K312" s="18" t="n">
        <x:v>77</x:v>
      </x:c>
      <x:c r="L312" s="18" t="n">
        <x:f>INDEX('Dated offers'!$I$7:$I$305,MATCH($Z312,'Dated offers'!$A$7:$A$305,0))</x:f>
        <x:v>30</x:v>
      </x:c>
      <x:c r="M312" s="25" t="n">
        <x:f>INDEX('Dated offers'!$J$7:$J$305,MATCH($Z312,'Dated offers'!$A$7:$A$305,0))</x:f>
        <x:v>3.116</x:v>
      </x:c>
      <x:c r="N312" s="25" t="n">
        <x:f>INDEX('Dated offers'!$K$7:$K$305,MATCH($Z312,'Dated offers'!$A$7:$A$305,0))</x:f>
        <x:v>0</x:v>
      </x:c>
      <x:c r="O312" s="25" t="n">
        <x:f>F312*M312</x:f>
        <x:v>233.70000000000002</x:v>
      </x:c>
      <x:c r="P312" s="25" t="n">
        <x:f>G312*M312</x:f>
        <x:v>239.93200000000002</x:v>
      </x:c>
      <x:c r="Q312" s="25" t="n">
        <x:f>K312*M312+N312</x:f>
        <x:v>239.93200000000002</x:v>
      </x:c>
      <x:c r="R312" s="18" t="n">
        <x:f>K312-G312</x:f>
        <x:v>0</x:v>
      </x:c>
      <x:c r="S312" s="18" t="n">
        <x:f>INDEX('Dated offers'!$H$7:$H$305,MATCH($Z312,'Dated offers'!$A$7:$A$305,0))</x:f>
        <x:v>902</x:v>
      </x:c>
      <x:c r="T312" s="2" t="str">
        <x:f>IF(K312&lt;G312,"Order below requirement",IF(K312&lt;L312,"Below price tier",IF(ISNUMBER(S312),IF(K312&gt;S312,"Quantity exceeds snapshot","Within quantity snapshot"),"Stock not stated")))</x:f>
        <x:v>Within quantity snapshot</x:v>
      </x:c>
      <x:c r="U312" s="2" t="str">
        <x:f>INDEX('Dated offers'!$C$7:$C$305,MATCH($Z312,'Dated offers'!$A$7:$A$305,0))</x:f>
        <x:v>LCSC</x:v>
      </x:c>
      <x:c r="V312" s="2" t="str">
        <x:f>INDEX('Dated offers'!$D$7:$D$305,MATCH($Z312,'Dated offers'!$A$7:$A$305,0))</x:f>
        <x:v>C3198056</x:v>
      </x:c>
      <x:c r="W312" s="24" t="n">
        <x:f>INDEX('Dated offers'!$E$7:$E$305,MATCH($Z312,'Dated offers'!$A$7:$A$305,0))</x:f>
        <x:v>46307.44749672454</x:v>
      </x:c>
      <x:c r="X312" s="2" t="b">
        <x:f>INDEX('Dated offers'!$N$7:$N$305,MATCH($Z312,'Dated offers'!$A$7:$A$305,0))</x:f>
        <x:v>0</x:v>
      </x:c>
      <x:c r="Y312" s="2" t="str">
        <x:f>INDEX('Dated offers'!$O$7:$O$305,MATCH($Z312,'Dated offers'!$A$7:$A$305,0))</x:f>
        <x:v>Unreserved inventory snapshot</x:v>
      </x:c>
      <x:c r="Z312" s="17" t="str">
        <x:v>OF0150</x:v>
      </x:c>
      <x:c r="AA312" s="2"/>
      <x:c r="AB312" s="2" t="str">
        <x:f>INDEX('Dated offers'!$Q$7:$Q$305,MATCH($Z312,'Dated offers'!$A$7:$A$305,0))</x:f>
        <x:v>https://www.lcsc.com/product-detail/C3198056.html</x:v>
      </x:c>
    </x:row>
    <x:row r="313" ht="24" customHeight="1">
      <x:c r="A313" s="2" t="str">
        <x:v>25 boards / 2% planning</x:v>
      </x:c>
      <x:c r="B313" s="17" t="str">
        <x:v>TPS7A2033PDBVR</x:v>
      </x:c>
      <x:c r="C313" s="18" t="n">
        <x:v>25</x:v>
      </x:c>
      <x:c r="D313" s="27" t="n">
        <x:v>0.02</x:v>
      </x:c>
      <x:c r="E313" s="18" t="n">
        <x:f>INDEX('Assembly BOM'!$C$7:$C$162,MATCH($B313,'Assembly BOM'!$A$7:$A$162,0))</x:f>
        <x:v>1</x:v>
      </x:c>
      <x:c r="F313" s="18" t="n">
        <x:f>C313*E313</x:f>
        <x:v>25</x:v>
      </x:c>
      <x:c r="G313" s="18" t="n">
        <x:f>ROUNDUP(F313*(1+D313),0)</x:f>
        <x:v>26</x:v>
      </x:c>
      <x:c r="H313" s="18" t="n">
        <x:f>INDEX('Dated offers'!$F$7:$F$305,MATCH($Z313,'Dated offers'!$A$7:$A$305,0))</x:f>
        <x:v>5</x:v>
      </x:c>
      <x:c r="I313" s="18" t="n">
        <x:f>INDEX('Dated offers'!$G$7:$G$305,MATCH($Z313,'Dated offers'!$A$7:$A$305,0))</x:f>
        <x:v>5</x:v>
      </x:c>
      <x:c r="J313" s="18" t="n">
        <x:f>CEILING(MAX(G313,H313),I313)</x:f>
        <x:v>30</x:v>
      </x:c>
      <x:c r="K313" s="18" t="n">
        <x:v>30</x:v>
      </x:c>
      <x:c r="L313" s="18" t="n">
        <x:f>INDEX('Dated offers'!$I$7:$I$305,MATCH($Z313,'Dated offers'!$A$7:$A$305,0))</x:f>
        <x:v>5</x:v>
      </x:c>
      <x:c r="M313" s="25" t="n">
        <x:f>INDEX('Dated offers'!$J$7:$J$305,MATCH($Z313,'Dated offers'!$A$7:$A$305,0))</x:f>
        <x:v>0.2175</x:v>
      </x:c>
      <x:c r="N313" s="25" t="n">
        <x:f>INDEX('Dated offers'!$K$7:$K$305,MATCH($Z313,'Dated offers'!$A$7:$A$305,0))</x:f>
        <x:v>0</x:v>
      </x:c>
      <x:c r="O313" s="25" t="n">
        <x:f>F313*M313</x:f>
        <x:v>5.4375</x:v>
      </x:c>
      <x:c r="P313" s="25" t="n">
        <x:f>G313*M313</x:f>
        <x:v>5.655</x:v>
      </x:c>
      <x:c r="Q313" s="25" t="n">
        <x:f>K313*M313+N313</x:f>
        <x:v>6.525</x:v>
      </x:c>
      <x:c r="R313" s="18" t="n">
        <x:f>K313-G313</x:f>
        <x:v>4</x:v>
      </x:c>
      <x:c r="S313" s="18" t="n">
        <x:f>INDEX('Dated offers'!$H$7:$H$305,MATCH($Z313,'Dated offers'!$A$7:$A$305,0))</x:f>
        <x:v>179995</x:v>
      </x:c>
      <x:c r="T313" s="2" t="str">
        <x:f>IF(K313&lt;G313,"Order below requirement",IF(K313&lt;L313,"Below price tier",IF(ISNUMBER(S313),IF(K313&gt;S313,"Quantity exceeds snapshot","Within quantity snapshot"),"Stock not stated")))</x:f>
        <x:v>Within quantity snapshot</x:v>
      </x:c>
      <x:c r="U313" s="2" t="str">
        <x:f>INDEX('Dated offers'!$C$7:$C$305,MATCH($Z313,'Dated offers'!$A$7:$A$305,0))</x:f>
        <x:v>LCSC</x:v>
      </x:c>
      <x:c r="V313" s="2" t="str">
        <x:f>INDEX('Dated offers'!$D$7:$D$305,MATCH($Z313,'Dated offers'!$A$7:$A$305,0))</x:f>
        <x:v>C2862740</x:v>
      </x:c>
      <x:c r="W313" s="24" t="n">
        <x:f>INDEX('Dated offers'!$E$7:$E$305,MATCH($Z313,'Dated offers'!$A$7:$A$305,0))</x:f>
        <x:v>46307.44749840278</x:v>
      </x:c>
      <x:c r="X313" s="2" t="b">
        <x:f>INDEX('Dated offers'!$N$7:$N$305,MATCH($Z313,'Dated offers'!$A$7:$A$305,0))</x:f>
        <x:v>0</x:v>
      </x:c>
      <x:c r="Y313" s="2" t="str">
        <x:f>INDEX('Dated offers'!$O$7:$O$305,MATCH($Z313,'Dated offers'!$A$7:$A$305,0))</x:f>
        <x:v>Unreserved inventory snapshot</x:v>
      </x:c>
      <x:c r="Z313" s="17" t="str">
        <x:v>OF0151</x:v>
      </x:c>
      <x:c r="AA313" s="2"/>
      <x:c r="AB313" s="2" t="str">
        <x:f>INDEX('Dated offers'!$Q$7:$Q$305,MATCH($Z313,'Dated offers'!$A$7:$A$305,0))</x:f>
        <x:v>https://www.lcsc.com/product-detail/C2862740.html</x:v>
      </x:c>
    </x:row>
    <x:row r="314" ht="24" customHeight="1">
      <x:c r="A314" s="2" t="str">
        <x:v>25 boards / 2% planning</x:v>
      </x:c>
      <x:c r="B314" s="17" t="str">
        <x:v>TVS0500DRVR</x:v>
      </x:c>
      <x:c r="C314" s="18" t="n">
        <x:v>25</x:v>
      </x:c>
      <x:c r="D314" s="27" t="n">
        <x:v>0.02</x:v>
      </x:c>
      <x:c r="E314" s="18" t="n">
        <x:f>INDEX('Assembly BOM'!$C$7:$C$162,MATCH($B314,'Assembly BOM'!$A$7:$A$162,0))</x:f>
        <x:v>1</x:v>
      </x:c>
      <x:c r="F314" s="18" t="n">
        <x:f>C314*E314</x:f>
        <x:v>25</x:v>
      </x:c>
      <x:c r="G314" s="18" t="n">
        <x:f>ROUNDUP(F314*(1+D314),0)</x:f>
        <x:v>26</x:v>
      </x:c>
      <x:c r="H314" s="18" t="n">
        <x:f>INDEX('Dated offers'!$F$7:$F$305,MATCH($Z314,'Dated offers'!$A$7:$A$305,0))</x:f>
        <x:v>1</x:v>
      </x:c>
      <x:c r="I314" s="18" t="n">
        <x:f>INDEX('Dated offers'!$G$7:$G$305,MATCH($Z314,'Dated offers'!$A$7:$A$305,0))</x:f>
        <x:v>1</x:v>
      </x:c>
      <x:c r="J314" s="18" t="n">
        <x:f>CEILING(MAX(G314,H314),I314)</x:f>
        <x:v>26</x:v>
      </x:c>
      <x:c r="K314" s="18" t="n">
        <x:v>26</x:v>
      </x:c>
      <x:c r="L314" s="18" t="n">
        <x:f>INDEX('Dated offers'!$I$7:$I$305,MATCH($Z314,'Dated offers'!$A$7:$A$305,0))</x:f>
        <x:v>10</x:v>
      </x:c>
      <x:c r="M314" s="25" t="n">
        <x:f>INDEX('Dated offers'!$J$7:$J$305,MATCH($Z314,'Dated offers'!$A$7:$A$305,0))</x:f>
        <x:v>0.688</x:v>
      </x:c>
      <x:c r="N314" s="25" t="n">
        <x:f>INDEX('Dated offers'!$K$7:$K$305,MATCH($Z314,'Dated offers'!$A$7:$A$305,0))</x:f>
        <x:v>0</x:v>
      </x:c>
      <x:c r="O314" s="25" t="n">
        <x:f>F314*M314</x:f>
        <x:v>17.2</x:v>
      </x:c>
      <x:c r="P314" s="25" t="n">
        <x:f>G314*M314</x:f>
        <x:v>17.887999999999998</x:v>
      </x:c>
      <x:c r="Q314" s="25" t="n">
        <x:f>K314*M314+N314</x:f>
        <x:v>17.887999999999998</x:v>
      </x:c>
      <x:c r="R314" s="18" t="n">
        <x:f>K314-G314</x:f>
        <x:v>0</x:v>
      </x:c>
      <x:c r="S314" s="18" t="n">
        <x:f>INDEX('Dated offers'!$H$7:$H$305,MATCH($Z314,'Dated offers'!$A$7:$A$305,0))</x:f>
        <x:v>37002</x:v>
      </x:c>
      <x:c r="T314" s="2" t="str">
        <x:f>IF(K314&lt;G314,"Order below requirement",IF(K314&lt;L314,"Below price tier",IF(ISNUMBER(S314),IF(K314&gt;S314,"Quantity exceeds snapshot","Within quantity snapshot"),"Stock not stated")))</x:f>
        <x:v>Within quantity snapshot</x:v>
      </x:c>
      <x:c r="U314" s="2" t="str">
        <x:f>INDEX('Dated offers'!$C$7:$C$305,MATCH($Z314,'Dated offers'!$A$7:$A$305,0))</x:f>
        <x:v>DigiKey</x:v>
      </x:c>
      <x:c r="V314" s="2" t="str">
        <x:f>INDEX('Dated offers'!$D$7:$D$305,MATCH($Z314,'Dated offers'!$A$7:$A$305,0))</x:f>
        <x:v>Not stated</x:v>
      </x:c>
      <x:c r="W314" s="24" t="n">
        <x:f>INDEX('Dated offers'!$E$7:$E$305,MATCH($Z314,'Dated offers'!$A$7:$A$305,0))</x:f>
        <x:v>46307.4780725463</x:v>
      </x:c>
      <x:c r="X314" s="2" t="b">
        <x:f>INDEX('Dated offers'!$N$7:$N$305,MATCH($Z314,'Dated offers'!$A$7:$A$305,0))</x:f>
        <x:v>0</x:v>
      </x:c>
      <x:c r="Y314" s="2" t="str">
        <x:f>INDEX('Dated offers'!$O$7:$O$305,MATCH($Z314,'Dated offers'!$A$7:$A$305,0))</x:f>
        <x:v>Unreserved inventory snapshot</x:v>
      </x:c>
      <x:c r="Z314" s="17" t="str">
        <x:v>OF0152</x:v>
      </x:c>
      <x:c r="AA314" s="2"/>
      <x:c r="AB314" s="2" t="str">
        <x:f>INDEX('Dated offers'!$Q$7:$Q$305,MATCH($Z314,'Dated offers'!$A$7:$A$305,0))</x:f>
        <x:v>https://www.digikey.com/en/products/detail/texas-instruments/TVS0500DRVR/8538263</x:v>
      </x:c>
    </x:row>
    <x:row r="315" ht="24" customHeight="1">
      <x:c r="A315" s="2" t="str">
        <x:v>25 boards / 2% planning</x:v>
      </x:c>
      <x:c r="B315" s="17" t="str">
        <x:v>TYPE-C-31-M-12</x:v>
      </x:c>
      <x:c r="C315" s="18" t="n">
        <x:v>25</x:v>
      </x:c>
      <x:c r="D315" s="27" t="n">
        <x:v>0.02</x:v>
      </x:c>
      <x:c r="E315" s="18" t="n">
        <x:f>INDEX('Assembly BOM'!$C$7:$C$162,MATCH($B315,'Assembly BOM'!$A$7:$A$162,0))</x:f>
        <x:v>1</x:v>
      </x:c>
      <x:c r="F315" s="18" t="n">
        <x:f>C315*E315</x:f>
        <x:v>25</x:v>
      </x:c>
      <x:c r="G315" s="18" t="n">
        <x:f>ROUNDUP(F315*(1+D315),0)</x:f>
        <x:v>26</x:v>
      </x:c>
      <x:c r="H315" s="18" t="n">
        <x:f>INDEX('Dated offers'!$F$7:$F$305,MATCH($Z315,'Dated offers'!$A$7:$A$305,0))</x:f>
        <x:v>5</x:v>
      </x:c>
      <x:c r="I315" s="18" t="n">
        <x:f>INDEX('Dated offers'!$G$7:$G$305,MATCH($Z315,'Dated offers'!$A$7:$A$305,0))</x:f>
        <x:v>5</x:v>
      </x:c>
      <x:c r="J315" s="18" t="n">
        <x:f>CEILING(MAX(G315,H315),I315)</x:f>
        <x:v>30</x:v>
      </x:c>
      <x:c r="K315" s="18" t="n">
        <x:v>30</x:v>
      </x:c>
      <x:c r="L315" s="18" t="n">
        <x:f>INDEX('Dated offers'!$I$7:$I$305,MATCH($Z315,'Dated offers'!$A$7:$A$305,0))</x:f>
        <x:v>5</x:v>
      </x:c>
      <x:c r="M315" s="25" t="n">
        <x:f>INDEX('Dated offers'!$J$7:$J$305,MATCH($Z315,'Dated offers'!$A$7:$A$305,0))</x:f>
        <x:v>0.1879</x:v>
      </x:c>
      <x:c r="N315" s="25" t="n">
        <x:f>INDEX('Dated offers'!$K$7:$K$305,MATCH($Z315,'Dated offers'!$A$7:$A$305,0))</x:f>
        <x:v>0</x:v>
      </x:c>
      <x:c r="O315" s="25" t="n">
        <x:f>F315*M315</x:f>
        <x:v>4.697500000000001</x:v>
      </x:c>
      <x:c r="P315" s="25" t="n">
        <x:f>G315*M315</x:f>
        <x:v>4.885400000000001</x:v>
      </x:c>
      <x:c r="Q315" s="25" t="n">
        <x:f>K315*M315+N315</x:f>
        <x:v>5.6370000000000005</x:v>
      </x:c>
      <x:c r="R315" s="18" t="n">
        <x:f>K315-G315</x:f>
        <x:v>4</x:v>
      </x:c>
      <x:c r="S315" s="18" t="n">
        <x:f>INDEX('Dated offers'!$H$7:$H$305,MATCH($Z315,'Dated offers'!$A$7:$A$305,0))</x:f>
        <x:v>380675</x:v>
      </x:c>
      <x:c r="T315" s="2" t="str">
        <x:f>IF(K315&lt;G315,"Order below requirement",IF(K315&lt;L315,"Below price tier",IF(ISNUMBER(S315),IF(K315&gt;S315,"Quantity exceeds snapshot","Within quantity snapshot"),"Stock not stated")))</x:f>
        <x:v>Within quantity snapshot</x:v>
      </x:c>
      <x:c r="U315" s="2" t="str">
        <x:f>INDEX('Dated offers'!$C$7:$C$305,MATCH($Z315,'Dated offers'!$A$7:$A$305,0))</x:f>
        <x:v>LCSC</x:v>
      </x:c>
      <x:c r="V315" s="2" t="str">
        <x:f>INDEX('Dated offers'!$D$7:$D$305,MATCH($Z315,'Dated offers'!$A$7:$A$305,0))</x:f>
        <x:v>C165948</x:v>
      </x:c>
      <x:c r="W315" s="24" t="n">
        <x:f>INDEX('Dated offers'!$E$7:$E$305,MATCH($Z315,'Dated offers'!$A$7:$A$305,0))</x:f>
        <x:v>46307.44750119213</x:v>
      </x:c>
      <x:c r="X315" s="2" t="b">
        <x:f>INDEX('Dated offers'!$N$7:$N$305,MATCH($Z315,'Dated offers'!$A$7:$A$305,0))</x:f>
        <x:v>0</x:v>
      </x:c>
      <x:c r="Y315" s="2" t="str">
        <x:f>INDEX('Dated offers'!$O$7:$O$305,MATCH($Z315,'Dated offers'!$A$7:$A$305,0))</x:f>
        <x:v>Unreserved inventory snapshot</x:v>
      </x:c>
      <x:c r="Z315" s="17" t="str">
        <x:v>OF0153</x:v>
      </x:c>
      <x:c r="AA315" s="2"/>
      <x:c r="AB315" s="2" t="str">
        <x:f>INDEX('Dated offers'!$Q$7:$Q$305,MATCH($Z315,'Dated offers'!$A$7:$A$305,0))</x:f>
        <x:v>https://www.lcsc.com/product-detail/C165948.html</x:v>
      </x:c>
    </x:row>
    <x:row r="316" ht="24" customHeight="1">
      <x:c r="A316" s="2" t="str">
        <x:v>25 boards / 2% planning</x:v>
      </x:c>
      <x:c r="B316" s="17" t="str">
        <x:v>U.FL-R-SMT-1(80)</x:v>
      </x:c>
      <x:c r="C316" s="18" t="n">
        <x:v>25</x:v>
      </x:c>
      <x:c r="D316" s="27" t="n">
        <x:v>0.02</x:v>
      </x:c>
      <x:c r="E316" s="18" t="n">
        <x:f>INDEX('Assembly BOM'!$C$7:$C$162,MATCH($B316,'Assembly BOM'!$A$7:$A$162,0))</x:f>
        <x:v>1</x:v>
      </x:c>
      <x:c r="F316" s="18" t="n">
        <x:f>C316*E316</x:f>
        <x:v>25</x:v>
      </x:c>
      <x:c r="G316" s="18" t="n">
        <x:f>ROUNDUP(F316*(1+D316),0)</x:f>
        <x:v>26</x:v>
      </x:c>
      <x:c r="H316" s="18" t="n">
        <x:f>INDEX('Dated offers'!$F$7:$F$305,MATCH($Z316,'Dated offers'!$A$7:$A$305,0))</x:f>
        <x:v>5</x:v>
      </x:c>
      <x:c r="I316" s="18" t="n">
        <x:f>INDEX('Dated offers'!$G$7:$G$305,MATCH($Z316,'Dated offers'!$A$7:$A$305,0))</x:f>
        <x:v>5</x:v>
      </x:c>
      <x:c r="J316" s="18" t="n">
        <x:f>CEILING(MAX(G316,H316),I316)</x:f>
        <x:v>30</x:v>
      </x:c>
      <x:c r="K316" s="18" t="n">
        <x:v>30</x:v>
      </x:c>
      <x:c r="L316" s="18" t="n">
        <x:f>INDEX('Dated offers'!$I$7:$I$305,MATCH($Z316,'Dated offers'!$A$7:$A$305,0))</x:f>
        <x:v>5</x:v>
      </x:c>
      <x:c r="M316" s="25" t="n">
        <x:f>INDEX('Dated offers'!$J$7:$J$305,MATCH($Z316,'Dated offers'!$A$7:$A$305,0))</x:f>
        <x:v>0.1149</x:v>
      </x:c>
      <x:c r="N316" s="25" t="n">
        <x:f>INDEX('Dated offers'!$K$7:$K$305,MATCH($Z316,'Dated offers'!$A$7:$A$305,0))</x:f>
        <x:v>0</x:v>
      </x:c>
      <x:c r="O316" s="25" t="n">
        <x:f>F316*M316</x:f>
        <x:v>2.8725</x:v>
      </x:c>
      <x:c r="P316" s="25" t="n">
        <x:f>G316*M316</x:f>
        <x:v>2.9874</x:v>
      </x:c>
      <x:c r="Q316" s="25" t="n">
        <x:f>K316*M316+N316</x:f>
        <x:v>3.447</x:v>
      </x:c>
      <x:c r="R316" s="18" t="n">
        <x:f>K316-G316</x:f>
        <x:v>4</x:v>
      </x:c>
      <x:c r="S316" s="18" t="n">
        <x:f>INDEX('Dated offers'!$H$7:$H$305,MATCH($Z316,'Dated offers'!$A$7:$A$305,0))</x:f>
        <x:v>92510</x:v>
      </x:c>
      <x:c r="T316" s="2" t="str">
        <x:f>IF(K316&lt;G316,"Order below requirement",IF(K316&lt;L316,"Below price tier",IF(ISNUMBER(S316),IF(K316&gt;S316,"Quantity exceeds snapshot","Within quantity snapshot"),"Stock not stated")))</x:f>
        <x:v>Within quantity snapshot</x:v>
      </x:c>
      <x:c r="U316" s="2" t="str">
        <x:f>INDEX('Dated offers'!$C$7:$C$305,MATCH($Z316,'Dated offers'!$A$7:$A$305,0))</x:f>
        <x:v>LCSC</x:v>
      </x:c>
      <x:c r="V316" s="2" t="str">
        <x:f>INDEX('Dated offers'!$D$7:$D$305,MATCH($Z316,'Dated offers'!$A$7:$A$305,0))</x:f>
        <x:v>C88374</x:v>
      </x:c>
      <x:c r="W316" s="24" t="n">
        <x:f>INDEX('Dated offers'!$E$7:$E$305,MATCH($Z316,'Dated offers'!$A$7:$A$305,0))</x:f>
        <x:v>46307.44750297454</x:v>
      </x:c>
      <x:c r="X316" s="2" t="b">
        <x:f>INDEX('Dated offers'!$N$7:$N$305,MATCH($Z316,'Dated offers'!$A$7:$A$305,0))</x:f>
        <x:v>0</x:v>
      </x:c>
      <x:c r="Y316" s="2" t="str">
        <x:f>INDEX('Dated offers'!$O$7:$O$305,MATCH($Z316,'Dated offers'!$A$7:$A$305,0))</x:f>
        <x:v>Unreserved inventory snapshot</x:v>
      </x:c>
      <x:c r="Z316" s="17" t="str">
        <x:v>OF0154</x:v>
      </x:c>
      <x:c r="AA316" s="2"/>
      <x:c r="AB316" s="2" t="str">
        <x:f>INDEX('Dated offers'!$Q$7:$Q$305,MATCH($Z316,'Dated offers'!$A$7:$A$305,0))</x:f>
        <x:v>https://www.lcsc.com/product-detail/C88374.html</x:v>
      </x:c>
    </x:row>
    <x:row r="317" ht="24" customHeight="1">
      <x:c r="A317" s="2" t="str">
        <x:v>25 boards / 2% planning</x:v>
      </x:c>
      <x:c r="B317" s="17" t="str">
        <x:v>UHW2A330MPD</x:v>
      </x:c>
      <x:c r="C317" s="18" t="n">
        <x:v>25</x:v>
      </x:c>
      <x:c r="D317" s="27" t="n">
        <x:v>0.02</x:v>
      </x:c>
      <x:c r="E317" s="18" t="n">
        <x:f>INDEX('Assembly BOM'!$C$7:$C$162,MATCH($B317,'Assembly BOM'!$A$7:$A$162,0))</x:f>
        <x:v>1</x:v>
      </x:c>
      <x:c r="F317" s="18" t="n">
        <x:f>C317*E317</x:f>
        <x:v>25</x:v>
      </x:c>
      <x:c r="G317" s="18" t="n">
        <x:f>ROUNDUP(F317*(1+D317),0)</x:f>
        <x:v>26</x:v>
      </x:c>
      <x:c r="H317" s="18" t="n">
        <x:f>INDEX('Dated offers'!$F$7:$F$305,MATCH($Z317,'Dated offers'!$A$7:$A$305,0))</x:f>
        <x:v>1</x:v>
      </x:c>
      <x:c r="I317" s="18" t="n">
        <x:f>INDEX('Dated offers'!$G$7:$G$305,MATCH($Z317,'Dated offers'!$A$7:$A$305,0))</x:f>
        <x:v>1</x:v>
      </x:c>
      <x:c r="J317" s="18" t="n">
        <x:f>CEILING(MAX(G317,H317),I317)</x:f>
        <x:v>26</x:v>
      </x:c>
      <x:c r="K317" s="18" t="n">
        <x:v>26</x:v>
      </x:c>
      <x:c r="L317" s="18" t="n">
        <x:f>INDEX('Dated offers'!$I$7:$I$305,MATCH($Z317,'Dated offers'!$A$7:$A$305,0))</x:f>
        <x:v>10</x:v>
      </x:c>
      <x:c r="M317" s="25" t="n">
        <x:f>INDEX('Dated offers'!$J$7:$J$305,MATCH($Z317,'Dated offers'!$A$7:$A$305,0))</x:f>
        <x:v>0.751</x:v>
      </x:c>
      <x:c r="N317" s="25" t="n">
        <x:f>INDEX('Dated offers'!$K$7:$K$305,MATCH($Z317,'Dated offers'!$A$7:$A$305,0))</x:f>
        <x:v>0</x:v>
      </x:c>
      <x:c r="O317" s="25" t="n">
        <x:f>F317*M317</x:f>
        <x:v>18.775</x:v>
      </x:c>
      <x:c r="P317" s="25" t="n">
        <x:f>G317*M317</x:f>
        <x:v>19.526</x:v>
      </x:c>
      <x:c r="Q317" s="25" t="n">
        <x:f>K317*M317+N317</x:f>
        <x:v>19.526</x:v>
      </x:c>
      <x:c r="R317" s="18" t="n">
        <x:f>K317-G317</x:f>
        <x:v>0</x:v>
      </x:c>
      <x:c r="S317" s="18" t="n">
        <x:f>INDEX('Dated offers'!$H$7:$H$305,MATCH($Z317,'Dated offers'!$A$7:$A$305,0))</x:f>
        <x:v>1506</x:v>
      </x:c>
      <x:c r="T317" s="2" t="str">
        <x:f>IF(K317&lt;G317,"Order below requirement",IF(K317&lt;L317,"Below price tier",IF(ISNUMBER(S317),IF(K317&gt;S317,"Quantity exceeds snapshot","Within quantity snapshot"),"Stock not stated")))</x:f>
        <x:v>Within quantity snapshot</x:v>
      </x:c>
      <x:c r="U317" s="2" t="str">
        <x:f>INDEX('Dated offers'!$C$7:$C$305,MATCH($Z317,'Dated offers'!$A$7:$A$305,0))</x:f>
        <x:v>DigiKey</x:v>
      </x:c>
      <x:c r="V317" s="2" t="str">
        <x:f>INDEX('Dated offers'!$D$7:$D$305,MATCH($Z317,'Dated offers'!$A$7:$A$305,0))</x:f>
        <x:v>Not stated</x:v>
      </x:c>
      <x:c r="W317" s="24" t="n">
        <x:f>INDEX('Dated offers'!$E$7:$E$305,MATCH($Z317,'Dated offers'!$A$7:$A$305,0))</x:f>
        <x:v>46307.4780725463</x:v>
      </x:c>
      <x:c r="X317" s="2" t="b">
        <x:f>INDEX('Dated offers'!$N$7:$N$305,MATCH($Z317,'Dated offers'!$A$7:$A$305,0))</x:f>
        <x:v>0</x:v>
      </x:c>
      <x:c r="Y317" s="2" t="str">
        <x:f>INDEX('Dated offers'!$O$7:$O$305,MATCH($Z317,'Dated offers'!$A$7:$A$305,0))</x:f>
        <x:v>Unreserved inventory snapshot</x:v>
      </x:c>
      <x:c r="Z317" s="17" t="str">
        <x:v>OF0155</x:v>
      </x:c>
      <x:c r="AA317" s="2"/>
      <x:c r="AB317" s="2" t="str">
        <x:f>INDEX('Dated offers'!$Q$7:$Q$305,MATCH($Z317,'Dated offers'!$A$7:$A$305,0))</x:f>
        <x:v>https://www.digikey.com/en/products/detail/nichicon/UHW2A330MPD/21317756</x:v>
      </x:c>
    </x:row>
    <x:row r="318" ht="24" customHeight="1">
      <x:c r="A318" s="2" t="str">
        <x:v>25 boards / 2% planning</x:v>
      </x:c>
      <x:c r="B318" s="17" t="str">
        <x:v>USBLC6-2P6</x:v>
      </x:c>
      <x:c r="C318" s="18" t="n">
        <x:v>25</x:v>
      </x:c>
      <x:c r="D318" s="27" t="n">
        <x:v>0.02</x:v>
      </x:c>
      <x:c r="E318" s="18" t="n">
        <x:f>INDEX('Assembly BOM'!$C$7:$C$162,MATCH($B318,'Assembly BOM'!$A$7:$A$162,0))</x:f>
        <x:v>1</x:v>
      </x:c>
      <x:c r="F318" s="18" t="n">
        <x:f>C318*E318</x:f>
        <x:v>25</x:v>
      </x:c>
      <x:c r="G318" s="18" t="n">
        <x:f>ROUNDUP(F318*(1+D318),0)</x:f>
        <x:v>26</x:v>
      </x:c>
      <x:c r="H318" s="18" t="n">
        <x:f>INDEX('Dated offers'!$F$7:$F$305,MATCH($Z318,'Dated offers'!$A$7:$A$305,0))</x:f>
        <x:v>1</x:v>
      </x:c>
      <x:c r="I318" s="18" t="n">
        <x:f>INDEX('Dated offers'!$G$7:$G$305,MATCH($Z318,'Dated offers'!$A$7:$A$305,0))</x:f>
        <x:v>1</x:v>
      </x:c>
      <x:c r="J318" s="18" t="n">
        <x:f>CEILING(MAX(G318,H318),I318)</x:f>
        <x:v>26</x:v>
      </x:c>
      <x:c r="K318" s="18" t="n">
        <x:v>26</x:v>
      </x:c>
      <x:c r="L318" s="18" t="n">
        <x:f>INDEX('Dated offers'!$I$7:$I$305,MATCH($Z318,'Dated offers'!$A$7:$A$305,0))</x:f>
        <x:v>10</x:v>
      </x:c>
      <x:c r="M318" s="25" t="n">
        <x:f>INDEX('Dated offers'!$J$7:$J$305,MATCH($Z318,'Dated offers'!$A$7:$A$305,0))</x:f>
        <x:v>0.4</x:v>
      </x:c>
      <x:c r="N318" s="25" t="n">
        <x:f>INDEX('Dated offers'!$K$7:$K$305,MATCH($Z318,'Dated offers'!$A$7:$A$305,0))</x:f>
        <x:v>0</x:v>
      </x:c>
      <x:c r="O318" s="25" t="n">
        <x:f>F318*M318</x:f>
        <x:v>10</x:v>
      </x:c>
      <x:c r="P318" s="25" t="n">
        <x:f>G318*M318</x:f>
        <x:v>10.4</x:v>
      </x:c>
      <x:c r="Q318" s="25" t="n">
        <x:f>K318*M318+N318</x:f>
        <x:v>10.4</x:v>
      </x:c>
      <x:c r="R318" s="18" t="n">
        <x:f>K318-G318</x:f>
        <x:v>0</x:v>
      </x:c>
      <x:c r="S318" s="18" t="n">
        <x:f>INDEX('Dated offers'!$H$7:$H$305,MATCH($Z318,'Dated offers'!$A$7:$A$305,0))</x:f>
        <x:v>86297</x:v>
      </x:c>
      <x:c r="T318" s="2" t="str">
        <x:f>IF(K318&lt;G318,"Order below requirement",IF(K318&lt;L318,"Below price tier",IF(ISNUMBER(S318),IF(K318&gt;S318,"Quantity exceeds snapshot","Within quantity snapshot"),"Stock not stated")))</x:f>
        <x:v>Within quantity snapshot</x:v>
      </x:c>
      <x:c r="U318" s="2" t="str">
        <x:f>INDEX('Dated offers'!$C$7:$C$305,MATCH($Z318,'Dated offers'!$A$7:$A$305,0))</x:f>
        <x:v>DigiKey</x:v>
      </x:c>
      <x:c r="V318" s="2" t="str">
        <x:f>INDEX('Dated offers'!$D$7:$D$305,MATCH($Z318,'Dated offers'!$A$7:$A$305,0))</x:f>
        <x:v>Not stated</x:v>
      </x:c>
      <x:c r="W318" s="24" t="n">
        <x:f>INDEX('Dated offers'!$E$7:$E$305,MATCH($Z318,'Dated offers'!$A$7:$A$305,0))</x:f>
        <x:v>46307.47807273148</x:v>
      </x:c>
      <x:c r="X318" s="2" t="b">
        <x:f>INDEX('Dated offers'!$N$7:$N$305,MATCH($Z318,'Dated offers'!$A$7:$A$305,0))</x:f>
        <x:v>0</x:v>
      </x:c>
      <x:c r="Y318" s="2" t="str">
        <x:f>INDEX('Dated offers'!$O$7:$O$305,MATCH($Z318,'Dated offers'!$A$7:$A$305,0))</x:f>
        <x:v>Unreserved inventory snapshot</x:v>
      </x:c>
      <x:c r="Z318" s="17" t="str">
        <x:v>OF0156</x:v>
      </x:c>
      <x:c r="AA318" s="2"/>
      <x:c r="AB318" s="2" t="str">
        <x:f>INDEX('Dated offers'!$Q$7:$Q$305,MATCH($Z318,'Dated offers'!$A$7:$A$305,0))</x:f>
        <x:v>https://www.digikey.com/en/products/detail/stmicroelectronics/USBLC6-2P6/1007464</x:v>
      </x:c>
    </x:row>
    <x:row r="319" ht="24" customHeight="1">
      <x:c r="A319" s="2" t="str">
        <x:v>100 boards / nominal</x:v>
      </x:c>
      <x:c r="B319" s="17" t="str">
        <x:v>0451002.MRL</x:v>
      </x:c>
      <x:c r="C319" s="18" t="n">
        <x:v>100</x:v>
      </x:c>
      <x:c r="D319" s="27" t="n">
        <x:v>0</x:v>
      </x:c>
      <x:c r="E319" s="18" t="n">
        <x:f>INDEX('Assembly BOM'!$C$7:$C$162,MATCH($B319,'Assembly BOM'!$A$7:$A$162,0))</x:f>
        <x:v>1</x:v>
      </x:c>
      <x:c r="F319" s="18" t="n">
        <x:f>C319*E319</x:f>
        <x:v>100</x:v>
      </x:c>
      <x:c r="G319" s="18" t="n">
        <x:f>ROUNDUP(F319*(1+D319),0)</x:f>
        <x:v>100</x:v>
      </x:c>
      <x:c r="H319" s="18" t="n">
        <x:f>INDEX('Dated offers'!$F$7:$F$305,MATCH($Z319,'Dated offers'!$A$7:$A$305,0))</x:f>
        <x:v>5</x:v>
      </x:c>
      <x:c r="I319" s="18" t="n">
        <x:f>INDEX('Dated offers'!$G$7:$G$305,MATCH($Z319,'Dated offers'!$A$7:$A$305,0))</x:f>
        <x:v>5</x:v>
      </x:c>
      <x:c r="J319" s="18" t="n">
        <x:f>CEILING(MAX(G319,H319),I319)</x:f>
        <x:v>100</x:v>
      </x:c>
      <x:c r="K319" s="18" t="n">
        <x:v>100</x:v>
      </x:c>
      <x:c r="L319" s="18" t="n">
        <x:f>INDEX('Dated offers'!$I$7:$I$305,MATCH($Z319,'Dated offers'!$A$7:$A$305,0))</x:f>
        <x:v>50</x:v>
      </x:c>
      <x:c r="M319" s="25" t="n">
        <x:f>INDEX('Dated offers'!$J$7:$J$305,MATCH($Z319,'Dated offers'!$A$7:$A$305,0))</x:f>
        <x:v>0.2717</x:v>
      </x:c>
      <x:c r="N319" s="25" t="n">
        <x:f>INDEX('Dated offers'!$K$7:$K$305,MATCH($Z319,'Dated offers'!$A$7:$A$305,0))</x:f>
        <x:v>0</x:v>
      </x:c>
      <x:c r="O319" s="25" t="n">
        <x:f>F319*M319</x:f>
        <x:v>27.169999999999998</x:v>
      </x:c>
      <x:c r="P319" s="25" t="n">
        <x:f>G319*M319</x:f>
        <x:v>27.169999999999998</x:v>
      </x:c>
      <x:c r="Q319" s="25" t="n">
        <x:f>K319*M319+N319</x:f>
        <x:v>27.169999999999998</x:v>
      </x:c>
      <x:c r="R319" s="18" t="n">
        <x:f>K319-G319</x:f>
        <x:v>0</x:v>
      </x:c>
      <x:c r="S319" s="18" t="n">
        <x:f>INDEX('Dated offers'!$H$7:$H$305,MATCH($Z319,'Dated offers'!$A$7:$A$305,0))</x:f>
        <x:v>24355</x:v>
      </x:c>
      <x:c r="T319" s="2" t="str">
        <x:f>IF(K319&lt;G319,"Order below requirement",IF(K319&lt;L319,"Below price tier",IF(ISNUMBER(S319),IF(K319&gt;S319,"Quantity exceeds snapshot","Within quantity snapshot"),"Stock not stated")))</x:f>
        <x:v>Within quantity snapshot</x:v>
      </x:c>
      <x:c r="U319" s="2" t="str">
        <x:f>INDEX('Dated offers'!$C$7:$C$305,MATCH($Z319,'Dated offers'!$A$7:$A$305,0))</x:f>
        <x:v>LCSC</x:v>
      </x:c>
      <x:c r="V319" s="2" t="str">
        <x:f>INDEX('Dated offers'!$D$7:$D$305,MATCH($Z319,'Dated offers'!$A$7:$A$305,0))</x:f>
        <x:v>C99547</x:v>
      </x:c>
      <x:c r="W319" s="24" t="n">
        <x:f>INDEX('Dated offers'!$E$7:$E$305,MATCH($Z319,'Dated offers'!$A$7:$A$305,0))</x:f>
        <x:v>46307.44739201389</x:v>
      </x:c>
      <x:c r="X319" s="2" t="b">
        <x:f>INDEX('Dated offers'!$N$7:$N$305,MATCH($Z319,'Dated offers'!$A$7:$A$305,0))</x:f>
        <x:v>0</x:v>
      </x:c>
      <x:c r="Y319" s="2" t="str">
        <x:f>INDEX('Dated offers'!$O$7:$O$305,MATCH($Z319,'Dated offers'!$A$7:$A$305,0))</x:f>
        <x:v>Unreserved inventory snapshot</x:v>
      </x:c>
      <x:c r="Z319" s="17" t="str">
        <x:v>OF0159</x:v>
      </x:c>
      <x:c r="AA319" s="2"/>
      <x:c r="AB319" s="2" t="str">
        <x:f>INDEX('Dated offers'!$Q$7:$Q$305,MATCH($Z319,'Dated offers'!$A$7:$A$305,0))</x:f>
        <x:v>https://www.lcsc.com/product-detail/C99547.html</x:v>
      </x:c>
    </x:row>
    <x:row r="320" ht="24" customHeight="1">
      <x:c r="A320" s="2" t="str">
        <x:v>100 boards / nominal</x:v>
      </x:c>
      <x:c r="B320" s="17" t="str">
        <x:v>123A-42B02</x:v>
      </x:c>
      <x:c r="C320" s="18" t="n">
        <x:v>100</x:v>
      </x:c>
      <x:c r="D320" s="27" t="n">
        <x:v>0</x:v>
      </x:c>
      <x:c r="E320" s="18" t="n">
        <x:f>INDEX('Assembly BOM'!$C$7:$C$162,MATCH($B320,'Assembly BOM'!$A$7:$A$162,0))</x:f>
        <x:v>1</x:v>
      </x:c>
      <x:c r="F320" s="18" t="n">
        <x:f>C320*E320</x:f>
        <x:v>100</x:v>
      </x:c>
      <x:c r="G320" s="18" t="n">
        <x:f>ROUNDUP(F320*(1+D320),0)</x:f>
        <x:v>100</x:v>
      </x:c>
      <x:c r="H320" s="18" t="n">
        <x:f>INDEX('Dated offers'!$F$7:$F$305,MATCH($Z320,'Dated offers'!$A$7:$A$305,0))</x:f>
        <x:v>1</x:v>
      </x:c>
      <x:c r="I320" s="18" t="n">
        <x:f>INDEX('Dated offers'!$G$7:$G$305,MATCH($Z320,'Dated offers'!$A$7:$A$305,0))</x:f>
        <x:v>1</x:v>
      </x:c>
      <x:c r="J320" s="18" t="n">
        <x:f>CEILING(MAX(G320,H320),I320)</x:f>
        <x:v>100</x:v>
      </x:c>
      <x:c r="K320" s="18" t="n">
        <x:v>100</x:v>
      </x:c>
      <x:c r="L320" s="18" t="n">
        <x:f>INDEX('Dated offers'!$I$7:$I$305,MATCH($Z320,'Dated offers'!$A$7:$A$305,0))</x:f>
        <x:v>100</x:v>
      </x:c>
      <x:c r="M320" s="25" t="n">
        <x:f>INDEX('Dated offers'!$J$7:$J$305,MATCH($Z320,'Dated offers'!$A$7:$A$305,0))</x:f>
        <x:v>3.717</x:v>
      </x:c>
      <x:c r="N320" s="25" t="n">
        <x:f>INDEX('Dated offers'!$K$7:$K$305,MATCH($Z320,'Dated offers'!$A$7:$A$305,0))</x:f>
        <x:v>0</x:v>
      </x:c>
      <x:c r="O320" s="25" t="n">
        <x:f>F320*M320</x:f>
        <x:v>371.7</x:v>
      </x:c>
      <x:c r="P320" s="25" t="n">
        <x:f>G320*M320</x:f>
        <x:v>371.7</x:v>
      </x:c>
      <x:c r="Q320" s="25" t="n">
        <x:f>K320*M320+N320</x:f>
        <x:v>371.7</x:v>
      </x:c>
      <x:c r="R320" s="18" t="n">
        <x:f>K320-G320</x:f>
        <x:v>0</x:v>
      </x:c>
      <x:c r="S320" s="18" t="n">
        <x:f>INDEX('Dated offers'!$H$7:$H$305,MATCH($Z320,'Dated offers'!$A$7:$A$305,0))</x:f>
        <x:v>244</x:v>
      </x:c>
      <x:c r="T320" s="2" t="str">
        <x:f>IF(K320&lt;G320,"Order below requirement",IF(K320&lt;L320,"Below price tier",IF(ISNUMBER(S320),IF(K320&gt;S320,"Quantity exceeds snapshot","Within quantity snapshot"),"Stock not stated")))</x:f>
        <x:v>Within quantity snapshot</x:v>
      </x:c>
      <x:c r="U320" s="2" t="str">
        <x:f>INDEX('Dated offers'!$C$7:$C$305,MATCH($Z320,'Dated offers'!$A$7:$A$305,0))</x:f>
        <x:v>DigiKey</x:v>
      </x:c>
      <x:c r="V320" s="2" t="str">
        <x:f>INDEX('Dated offers'!$D$7:$D$305,MATCH($Z320,'Dated offers'!$A$7:$A$305,0))</x:f>
        <x:v>Not stated</x:v>
      </x:c>
      <x:c r="W320" s="24" t="n">
        <x:f>INDEX('Dated offers'!$E$7:$E$305,MATCH($Z320,'Dated offers'!$A$7:$A$305,0))</x:f>
        <x:v>46307.4780725</x:v>
      </x:c>
      <x:c r="X320" s="2" t="b">
        <x:f>INDEX('Dated offers'!$N$7:$N$305,MATCH($Z320,'Dated offers'!$A$7:$A$305,0))</x:f>
        <x:v>0</x:v>
      </x:c>
      <x:c r="Y320" s="2" t="str">
        <x:f>INDEX('Dated offers'!$O$7:$O$305,MATCH($Z320,'Dated offers'!$A$7:$A$305,0))</x:f>
        <x:v>Unreserved inventory snapshot</x:v>
      </x:c>
      <x:c r="Z320" s="17" t="str">
        <x:v>OF0160</x:v>
      </x:c>
      <x:c r="AA320" s="2"/>
      <x:c r="AB320" s="2" t="str">
        <x:f>INDEX('Dated offers'!$Q$7:$Q$305,MATCH($Z320,'Dated offers'!$A$7:$A$305,0))</x:f>
        <x:v>https://www.digikey.com/en/products/detail/attend-technology/123A-42B02/26236331</x:v>
      </x:c>
    </x:row>
    <x:row r="321" ht="24" customHeight="1">
      <x:c r="A321" s="2" t="str">
        <x:v>100 boards / nominal</x:v>
      </x:c>
      <x:c r="B321" s="17" t="str">
        <x:v>25SVPK82M</x:v>
      </x:c>
      <x:c r="C321" s="18" t="n">
        <x:v>100</x:v>
      </x:c>
      <x:c r="D321" s="27" t="n">
        <x:v>0</x:v>
      </x:c>
      <x:c r="E321" s="18" t="n">
        <x:f>INDEX('Assembly BOM'!$C$7:$C$162,MATCH($B321,'Assembly BOM'!$A$7:$A$162,0))</x:f>
        <x:v>1</x:v>
      </x:c>
      <x:c r="F321" s="18" t="n">
        <x:f>C321*E321</x:f>
        <x:v>100</x:v>
      </x:c>
      <x:c r="G321" s="18" t="n">
        <x:f>ROUNDUP(F321*(1+D321),0)</x:f>
        <x:v>100</x:v>
      </x:c>
      <x:c r="H321" s="18" t="n">
        <x:f>INDEX('Dated offers'!$F$7:$F$305,MATCH($Z321,'Dated offers'!$A$7:$A$305,0))</x:f>
        <x:v>1</x:v>
      </x:c>
      <x:c r="I321" s="18" t="n">
        <x:f>INDEX('Dated offers'!$G$7:$G$305,MATCH($Z321,'Dated offers'!$A$7:$A$305,0))</x:f>
        <x:v>1</x:v>
      </x:c>
      <x:c r="J321" s="18" t="n">
        <x:f>CEILING(MAX(G321,H321),I321)</x:f>
        <x:v>100</x:v>
      </x:c>
      <x:c r="K321" s="18" t="n">
        <x:v>100</x:v>
      </x:c>
      <x:c r="L321" s="18" t="n">
        <x:f>INDEX('Dated offers'!$I$7:$I$305,MATCH($Z321,'Dated offers'!$A$7:$A$305,0))</x:f>
        <x:v>100</x:v>
      </x:c>
      <x:c r="M321" s="25" t="n">
        <x:f>INDEX('Dated offers'!$J$7:$J$305,MATCH($Z321,'Dated offers'!$A$7:$A$305,0))</x:f>
        <x:v>0.8876</x:v>
      </x:c>
      <x:c r="N321" s="25" t="n">
        <x:f>INDEX('Dated offers'!$K$7:$K$305,MATCH($Z321,'Dated offers'!$A$7:$A$305,0))</x:f>
        <x:v>0</x:v>
      </x:c>
      <x:c r="O321" s="25" t="n">
        <x:f>F321*M321</x:f>
        <x:v>88.75999999999999</x:v>
      </x:c>
      <x:c r="P321" s="25" t="n">
        <x:f>G321*M321</x:f>
        <x:v>88.75999999999999</x:v>
      </x:c>
      <x:c r="Q321" s="25" t="n">
        <x:f>K321*M321+N321</x:f>
        <x:v>88.75999999999999</x:v>
      </x:c>
      <x:c r="R321" s="18" t="n">
        <x:f>K321-G321</x:f>
        <x:v>0</x:v>
      </x:c>
      <x:c r="S321" s="18" t="n">
        <x:f>INDEX('Dated offers'!$H$7:$H$305,MATCH($Z321,'Dated offers'!$A$7:$A$305,0))</x:f>
        <x:v>581</x:v>
      </x:c>
      <x:c r="T321" s="2" t="str">
        <x:f>IF(K321&lt;G321,"Order below requirement",IF(K321&lt;L321,"Below price tier",IF(ISNUMBER(S321),IF(K321&gt;S321,"Quantity exceeds snapshot","Within quantity snapshot"),"Stock not stated")))</x:f>
        <x:v>Within quantity snapshot</x:v>
      </x:c>
      <x:c r="U321" s="2" t="str">
        <x:f>INDEX('Dated offers'!$C$7:$C$305,MATCH($Z321,'Dated offers'!$A$7:$A$305,0))</x:f>
        <x:v>DigiKey</x:v>
      </x:c>
      <x:c r="V321" s="2" t="str">
        <x:f>INDEX('Dated offers'!$D$7:$D$305,MATCH($Z321,'Dated offers'!$A$7:$A$305,0))</x:f>
        <x:v>Not stated</x:v>
      </x:c>
      <x:c r="W321" s="24" t="n">
        <x:f>INDEX('Dated offers'!$E$7:$E$305,MATCH($Z321,'Dated offers'!$A$7:$A$305,0))</x:f>
        <x:v>46307.47807271991</x:v>
      </x:c>
      <x:c r="X321" s="2" t="b">
        <x:f>INDEX('Dated offers'!$N$7:$N$305,MATCH($Z321,'Dated offers'!$A$7:$A$305,0))</x:f>
        <x:v>0</x:v>
      </x:c>
      <x:c r="Y321" s="2" t="str">
        <x:f>INDEX('Dated offers'!$O$7:$O$305,MATCH($Z321,'Dated offers'!$A$7:$A$305,0))</x:f>
        <x:v>Unreserved inventory snapshot</x:v>
      </x:c>
      <x:c r="Z321" s="17" t="str">
        <x:v>OF0161</x:v>
      </x:c>
      <x:c r="AA321" s="2"/>
      <x:c r="AB321" s="2" t="str">
        <x:f>INDEX('Dated offers'!$Q$7:$Q$305,MATCH($Z321,'Dated offers'!$A$7:$A$305,0))</x:f>
        <x:v>https://www.digikey.com/en/products/detail/panasonic-industry/25SVPK82M/7564851</x:v>
      </x:c>
    </x:row>
    <x:row r="322" ht="24" customHeight="1">
      <x:c r="A322" s="2" t="str">
        <x:v>100 boards / nominal</x:v>
      </x:c>
      <x:c r="B322" s="21" t="str">
        <x:v>885012206026</x:v>
      </x:c>
      <x:c r="C322" s="18" t="n">
        <x:v>100</x:v>
      </x:c>
      <x:c r="D322" s="27" t="n">
        <x:v>0</x:v>
      </x:c>
      <x:c r="E322" s="18" t="n">
        <x:f>INDEX('Assembly BOM'!$C$7:$C$162,MATCH($B322,'Assembly BOM'!$A$7:$A$162,0))</x:f>
        <x:v>3</x:v>
      </x:c>
      <x:c r="F322" s="18" t="n">
        <x:f>C322*E322</x:f>
        <x:v>300</x:v>
      </x:c>
      <x:c r="G322" s="18" t="n">
        <x:f>ROUNDUP(F322*(1+D322),0)</x:f>
        <x:v>300</x:v>
      </x:c>
      <x:c r="H322" s="18" t="n">
        <x:f>INDEX('Dated offers'!$F$7:$F$305,MATCH($Z322,'Dated offers'!$A$7:$A$305,0))</x:f>
        <x:v>1</x:v>
      </x:c>
      <x:c r="I322" s="18" t="n">
        <x:f>INDEX('Dated offers'!$G$7:$G$305,MATCH($Z322,'Dated offers'!$A$7:$A$305,0))</x:f>
        <x:v>1</x:v>
      </x:c>
      <x:c r="J322" s="18" t="n">
        <x:f>CEILING(MAX(G322,H322),I322)</x:f>
        <x:v>300</x:v>
      </x:c>
      <x:c r="K322" s="18" t="n">
        <x:v>300</x:v>
      </x:c>
      <x:c r="L322" s="18" t="n">
        <x:f>INDEX('Dated offers'!$I$7:$I$305,MATCH($Z322,'Dated offers'!$A$7:$A$305,0))</x:f>
        <x:v>100</x:v>
      </x:c>
      <x:c r="M322" s="25" t="n">
        <x:f>INDEX('Dated offers'!$J$7:$J$305,MATCH($Z322,'Dated offers'!$A$7:$A$305,0))</x:f>
        <x:v>0.0501</x:v>
      </x:c>
      <x:c r="N322" s="25" t="n">
        <x:f>INDEX('Dated offers'!$K$7:$K$305,MATCH($Z322,'Dated offers'!$A$7:$A$305,0))</x:f>
        <x:v>0</x:v>
      </x:c>
      <x:c r="O322" s="25" t="n">
        <x:f>F322*M322</x:f>
        <x:v>15.03</x:v>
      </x:c>
      <x:c r="P322" s="25" t="n">
        <x:f>G322*M322</x:f>
        <x:v>15.03</x:v>
      </x:c>
      <x:c r="Q322" s="25" t="n">
        <x:f>K322*M322+N322</x:f>
        <x:v>15.03</x:v>
      </x:c>
      <x:c r="R322" s="18" t="n">
        <x:f>K322-G322</x:f>
        <x:v>0</x:v>
      </x:c>
      <x:c r="S322" s="18" t="n">
        <x:f>INDEX('Dated offers'!$H$7:$H$305,MATCH($Z322,'Dated offers'!$A$7:$A$305,0))</x:f>
        <x:v>34767</x:v>
      </x:c>
      <x:c r="T322" s="2" t="str">
        <x:f>IF(K322&lt;G322,"Order below requirement",IF(K322&lt;L322,"Below price tier",IF(ISNUMBER(S322),IF(K322&gt;S322,"Quantity exceeds snapshot","Within quantity snapshot"),"Stock not stated")))</x:f>
        <x:v>Within quantity snapshot</x:v>
      </x:c>
      <x:c r="U322" s="2" t="str">
        <x:f>INDEX('Dated offers'!$C$7:$C$305,MATCH($Z322,'Dated offers'!$A$7:$A$305,0))</x:f>
        <x:v>DigiKey</x:v>
      </x:c>
      <x:c r="V322" s="2" t="str">
        <x:f>INDEX('Dated offers'!$D$7:$D$305,MATCH($Z322,'Dated offers'!$A$7:$A$305,0))</x:f>
        <x:v>Not stated</x:v>
      </x:c>
      <x:c r="W322" s="24" t="n">
        <x:f>INDEX('Dated offers'!$E$7:$E$305,MATCH($Z322,'Dated offers'!$A$7:$A$305,0))</x:f>
        <x:v>46307.47807252315</x:v>
      </x:c>
      <x:c r="X322" s="2" t="b">
        <x:f>INDEX('Dated offers'!$N$7:$N$305,MATCH($Z322,'Dated offers'!$A$7:$A$305,0))</x:f>
        <x:v>0</x:v>
      </x:c>
      <x:c r="Y322" s="2" t="str">
        <x:f>INDEX('Dated offers'!$O$7:$O$305,MATCH($Z322,'Dated offers'!$A$7:$A$305,0))</x:f>
        <x:v>Unreserved inventory snapshot</x:v>
      </x:c>
      <x:c r="Z322" s="17" t="str">
        <x:v>OF0162</x:v>
      </x:c>
      <x:c r="AA322" s="2"/>
      <x:c r="AB322" s="2" t="str">
        <x:f>INDEX('Dated offers'!$Q$7:$Q$305,MATCH($Z322,'Dated offers'!$A$7:$A$305,0))</x:f>
        <x:v>https://www.digikey.com/en/products/detail/w%C3%BCrth-elektronik/885012206026/5453800</x:v>
      </x:c>
    </x:row>
    <x:row r="323" ht="24" customHeight="1">
      <x:c r="A323" s="2" t="str">
        <x:v>100 boards / nominal</x:v>
      </x:c>
      <x:c r="B323" s="21" t="str">
        <x:v>885012207026</x:v>
      </x:c>
      <x:c r="C323" s="18" t="n">
        <x:v>100</x:v>
      </x:c>
      <x:c r="D323" s="27" t="n">
        <x:v>0</x:v>
      </x:c>
      <x:c r="E323" s="18" t="n">
        <x:f>INDEX('Assembly BOM'!$C$7:$C$162,MATCH($B323,'Assembly BOM'!$A$7:$A$162,0))</x:f>
        <x:v>3</x:v>
      </x:c>
      <x:c r="F323" s="18" t="n">
        <x:f>C323*E323</x:f>
        <x:v>300</x:v>
      </x:c>
      <x:c r="G323" s="18" t="n">
        <x:f>ROUNDUP(F323*(1+D323),0)</x:f>
        <x:v>300</x:v>
      </x:c>
      <x:c r="H323" s="18" t="n">
        <x:f>INDEX('Dated offers'!$F$7:$F$305,MATCH($Z323,'Dated offers'!$A$7:$A$305,0))</x:f>
        <x:v>1</x:v>
      </x:c>
      <x:c r="I323" s="18" t="n">
        <x:f>INDEX('Dated offers'!$G$7:$G$305,MATCH($Z323,'Dated offers'!$A$7:$A$305,0))</x:f>
        <x:v>1</x:v>
      </x:c>
      <x:c r="J323" s="18" t="n">
        <x:f>CEILING(MAX(G323,H323),I323)</x:f>
        <x:v>300</x:v>
      </x:c>
      <x:c r="K323" s="18" t="n">
        <x:v>300</x:v>
      </x:c>
      <x:c r="L323" s="18" t="n">
        <x:f>INDEX('Dated offers'!$I$7:$I$305,MATCH($Z323,'Dated offers'!$A$7:$A$305,0))</x:f>
        <x:v>100</x:v>
      </x:c>
      <x:c r="M323" s="25" t="n">
        <x:f>INDEX('Dated offers'!$J$7:$J$305,MATCH($Z323,'Dated offers'!$A$7:$A$305,0))</x:f>
        <x:v>0.1482</x:v>
      </x:c>
      <x:c r="N323" s="25" t="n">
        <x:f>INDEX('Dated offers'!$K$7:$K$305,MATCH($Z323,'Dated offers'!$A$7:$A$305,0))</x:f>
        <x:v>0</x:v>
      </x:c>
      <x:c r="O323" s="25" t="n">
        <x:f>F323*M323</x:f>
        <x:v>44.46</x:v>
      </x:c>
      <x:c r="P323" s="25" t="n">
        <x:f>G323*M323</x:f>
        <x:v>44.46</x:v>
      </x:c>
      <x:c r="Q323" s="25" t="n">
        <x:f>K323*M323+N323</x:f>
        <x:v>44.46</x:v>
      </x:c>
      <x:c r="R323" s="18" t="n">
        <x:f>K323-G323</x:f>
        <x:v>0</x:v>
      </x:c>
      <x:c r="S323" s="18" t="n">
        <x:f>INDEX('Dated offers'!$H$7:$H$305,MATCH($Z323,'Dated offers'!$A$7:$A$305,0))</x:f>
        <x:v>3676</x:v>
      </x:c>
      <x:c r="T323" s="2" t="str">
        <x:f>IF(K323&lt;G323,"Order below requirement",IF(K323&lt;L323,"Below price tier",IF(ISNUMBER(S323),IF(K323&gt;S323,"Quantity exceeds snapshot","Within quantity snapshot"),"Stock not stated")))</x:f>
        <x:v>Within quantity snapshot</x:v>
      </x:c>
      <x:c r="U323" s="2" t="str">
        <x:f>INDEX('Dated offers'!$C$7:$C$305,MATCH($Z323,'Dated offers'!$A$7:$A$305,0))</x:f>
        <x:v>DigiKey</x:v>
      </x:c>
      <x:c r="V323" s="2" t="str">
        <x:f>INDEX('Dated offers'!$D$7:$D$305,MATCH($Z323,'Dated offers'!$A$7:$A$305,0))</x:f>
        <x:v>Exact 885012207026 Cut Tape</x:v>
      </x:c>
      <x:c r="W323" s="24" t="n">
        <x:f>INDEX('Dated offers'!$E$7:$E$305,MATCH($Z323,'Dated offers'!$A$7:$A$305,0))</x:f>
        <x:v>46307.7145725</x:v>
      </x:c>
      <x:c r="X323" s="2" t="b">
        <x:f>INDEX('Dated offers'!$N$7:$N$305,MATCH($Z323,'Dated offers'!$A$7:$A$305,0))</x:f>
        <x:v>0</x:v>
      </x:c>
      <x:c r="Y323" s="2" t="str">
        <x:f>INDEX('Dated offers'!$O$7:$O$305,MATCH($Z323,'Dated offers'!$A$7:$A$305,0))</x:f>
        <x:v>Unreserved inventory snapshot</x:v>
      </x:c>
      <x:c r="Z323" s="17" t="str">
        <x:v>OF0163</x:v>
      </x:c>
      <x:c r="AA323" s="2"/>
      <x:c r="AB323" s="2" t="str">
        <x:f>INDEX('Dated offers'!$Q$7:$Q$305,MATCH($Z323,'Dated offers'!$A$7:$A$305,0))</x:f>
        <x:v>https://www.digikey.com/en/products/detail/w%C3%BCrth-elektronik/885012207026/5454285</x:v>
      </x:c>
    </x:row>
    <x:row r="324" ht="24" customHeight="1">
      <x:c r="A324" s="2" t="str">
        <x:v>100 boards / nominal</x:v>
      </x:c>
      <x:c r="B324" s="17" t="str">
        <x:v>9774025243R</x:v>
      </x:c>
      <x:c r="C324" s="18" t="n">
        <x:v>100</x:v>
      </x:c>
      <x:c r="D324" s="27" t="n">
        <x:v>0</x:v>
      </x:c>
      <x:c r="E324" s="18" t="n">
        <x:f>INDEX('Assembly BOM'!$C$7:$C$162,MATCH($B324,'Assembly BOM'!$A$7:$A$162,0))</x:f>
        <x:v>1</x:v>
      </x:c>
      <x:c r="F324" s="18" t="n">
        <x:f>C324*E324</x:f>
        <x:v>100</x:v>
      </x:c>
      <x:c r="G324" s="18" t="n">
        <x:f>ROUNDUP(F324*(1+D324),0)</x:f>
        <x:v>100</x:v>
      </x:c>
      <x:c r="H324" s="18" t="n">
        <x:f>INDEX('Dated offers'!$F$7:$F$305,MATCH($Z324,'Dated offers'!$A$7:$A$305,0))</x:f>
        <x:v>1</x:v>
      </x:c>
      <x:c r="I324" s="18" t="n">
        <x:f>INDEX('Dated offers'!$G$7:$G$305,MATCH($Z324,'Dated offers'!$A$7:$A$305,0))</x:f>
        <x:v>1</x:v>
      </x:c>
      <x:c r="J324" s="18" t="n">
        <x:f>CEILING(MAX(G324,H324),I324)</x:f>
        <x:v>100</x:v>
      </x:c>
      <x:c r="K324" s="18" t="n">
        <x:v>100</x:v>
      </x:c>
      <x:c r="L324" s="18" t="n">
        <x:f>INDEX('Dated offers'!$I$7:$I$305,MATCH($Z324,'Dated offers'!$A$7:$A$305,0))</x:f>
        <x:v>100</x:v>
      </x:c>
      <x:c r="M324" s="25" t="n">
        <x:f>INDEX('Dated offers'!$J$7:$J$305,MATCH($Z324,'Dated offers'!$A$7:$A$305,0))</x:f>
        <x:v>0.895</x:v>
      </x:c>
      <x:c r="N324" s="25" t="n">
        <x:f>INDEX('Dated offers'!$K$7:$K$305,MATCH($Z324,'Dated offers'!$A$7:$A$305,0))</x:f>
        <x:v>0</x:v>
      </x:c>
      <x:c r="O324" s="25" t="n">
        <x:f>F324*M324</x:f>
        <x:v>89.5</x:v>
      </x:c>
      <x:c r="P324" s="25" t="n">
        <x:f>G324*M324</x:f>
        <x:v>89.5</x:v>
      </x:c>
      <x:c r="Q324" s="25" t="n">
        <x:f>K324*M324+N324</x:f>
        <x:v>89.5</x:v>
      </x:c>
      <x:c r="R324" s="18" t="n">
        <x:f>K324-G324</x:f>
        <x:v>0</x:v>
      </x:c>
      <x:c r="S324" s="18" t="n">
        <x:f>INDEX('Dated offers'!$H$7:$H$305,MATCH($Z324,'Dated offers'!$A$7:$A$305,0))</x:f>
        <x:v>106480</x:v>
      </x:c>
      <x:c r="T324" s="2" t="str">
        <x:f>IF(K324&lt;G324,"Order below requirement",IF(K324&lt;L324,"Below price tier",IF(ISNUMBER(S324),IF(K324&gt;S324,"Quantity exceeds snapshot","Within quantity snapshot"),"Stock not stated")))</x:f>
        <x:v>Within quantity snapshot</x:v>
      </x:c>
      <x:c r="U324" s="2" t="str">
        <x:f>INDEX('Dated offers'!$C$7:$C$305,MATCH($Z324,'Dated offers'!$A$7:$A$305,0))</x:f>
        <x:v>DigiKey</x:v>
      </x:c>
      <x:c r="V324" s="2" t="str">
        <x:f>INDEX('Dated offers'!$D$7:$D$305,MATCH($Z324,'Dated offers'!$A$7:$A$305,0))</x:f>
        <x:v>Not stated</x:v>
      </x:c>
      <x:c r="W324" s="24" t="n">
        <x:f>INDEX('Dated offers'!$E$7:$E$305,MATCH($Z324,'Dated offers'!$A$7:$A$305,0))</x:f>
        <x:v>46307.47807258102</x:v>
      </x:c>
      <x:c r="X324" s="2" t="b">
        <x:f>INDEX('Dated offers'!$N$7:$N$305,MATCH($Z324,'Dated offers'!$A$7:$A$305,0))</x:f>
        <x:v>0</x:v>
      </x:c>
      <x:c r="Y324" s="2" t="str">
        <x:f>INDEX('Dated offers'!$O$7:$O$305,MATCH($Z324,'Dated offers'!$A$7:$A$305,0))</x:f>
        <x:v>Unreserved inventory snapshot</x:v>
      </x:c>
      <x:c r="Z324" s="17" t="str">
        <x:v>OF0164</x:v>
      </x:c>
      <x:c r="AA324" s="2"/>
      <x:c r="AB324" s="2" t="str">
        <x:f>INDEX('Dated offers'!$Q$7:$Q$305,MATCH($Z324,'Dated offers'!$A$7:$A$305,0))</x:f>
        <x:v>https://www.digikey.com/en/products/detail/w%C3%BCrth-elektronik/9774025243R/5320622</x:v>
      </x:c>
    </x:row>
    <x:row r="325" ht="24" customHeight="1">
      <x:c r="A325" s="2" t="str">
        <x:v>100 boards / nominal</x:v>
      </x:c>
      <x:c r="B325" s="17" t="str">
        <x:v>ABM8-25.000MHZ-D1X-T</x:v>
      </x:c>
      <x:c r="C325" s="18" t="n">
        <x:v>100</x:v>
      </x:c>
      <x:c r="D325" s="27" t="n">
        <x:v>0</x:v>
      </x:c>
      <x:c r="E325" s="18" t="n">
        <x:f>INDEX('Assembly BOM'!$C$7:$C$162,MATCH($B325,'Assembly BOM'!$A$7:$A$162,0))</x:f>
        <x:v>1</x:v>
      </x:c>
      <x:c r="F325" s="18" t="n">
        <x:f>C325*E325</x:f>
        <x:v>100</x:v>
      </x:c>
      <x:c r="G325" s="18" t="n">
        <x:f>ROUNDUP(F325*(1+D325),0)</x:f>
        <x:v>100</x:v>
      </x:c>
      <x:c r="H325" s="18" t="n">
        <x:f>INDEX('Dated offers'!$F$7:$F$305,MATCH($Z325,'Dated offers'!$A$7:$A$305,0))</x:f>
        <x:v>1</x:v>
      </x:c>
      <x:c r="I325" s="18" t="n">
        <x:f>INDEX('Dated offers'!$G$7:$G$305,MATCH($Z325,'Dated offers'!$A$7:$A$305,0))</x:f>
        <x:v>1</x:v>
      </x:c>
      <x:c r="J325" s="18" t="n">
        <x:f>CEILING(MAX(G325,H325),I325)</x:f>
        <x:v>100</x:v>
      </x:c>
      <x:c r="K325" s="18" t="n">
        <x:v>100</x:v>
      </x:c>
      <x:c r="L325" s="18" t="n">
        <x:f>INDEX('Dated offers'!$I$7:$I$305,MATCH($Z325,'Dated offers'!$A$7:$A$305,0))</x:f>
        <x:v>100</x:v>
      </x:c>
      <x:c r="M325" s="25" t="n">
        <x:f>INDEX('Dated offers'!$J$7:$J$305,MATCH($Z325,'Dated offers'!$A$7:$A$305,0))</x:f>
        <x:v>0.348</x:v>
      </x:c>
      <x:c r="N325" s="25" t="n">
        <x:f>INDEX('Dated offers'!$K$7:$K$305,MATCH($Z325,'Dated offers'!$A$7:$A$305,0))</x:f>
        <x:v>0</x:v>
      </x:c>
      <x:c r="O325" s="25" t="n">
        <x:f>F325*M325</x:f>
        <x:v>34.8</x:v>
      </x:c>
      <x:c r="P325" s="25" t="n">
        <x:f>G325*M325</x:f>
        <x:v>34.8</x:v>
      </x:c>
      <x:c r="Q325" s="25" t="n">
        <x:f>K325*M325+N325</x:f>
        <x:v>34.8</x:v>
      </x:c>
      <x:c r="R325" s="18" t="n">
        <x:f>K325-G325</x:f>
        <x:v>0</x:v>
      </x:c>
      <x:c r="S325" s="18" t="n">
        <x:f>INDEX('Dated offers'!$H$7:$H$305,MATCH($Z325,'Dated offers'!$A$7:$A$305,0))</x:f>
        <x:v>338</x:v>
      </x:c>
      <x:c r="T325" s="2" t="str">
        <x:f>IF(K325&lt;G325,"Order below requirement",IF(K325&lt;L325,"Below price tier",IF(ISNUMBER(S325),IF(K325&gt;S325,"Quantity exceeds snapshot","Within quantity snapshot"),"Stock not stated")))</x:f>
        <x:v>Within quantity snapshot</x:v>
      </x:c>
      <x:c r="U325" s="2" t="str">
        <x:f>INDEX('Dated offers'!$C$7:$C$305,MATCH($Z325,'Dated offers'!$A$7:$A$305,0))</x:f>
        <x:v>DigiKey</x:v>
      </x:c>
      <x:c r="V325" s="2" t="str">
        <x:f>INDEX('Dated offers'!$D$7:$D$305,MATCH($Z325,'Dated offers'!$A$7:$A$305,0))</x:f>
        <x:v>Not stated</x:v>
      </x:c>
      <x:c r="W325" s="24" t="n">
        <x:f>INDEX('Dated offers'!$E$7:$E$305,MATCH($Z325,'Dated offers'!$A$7:$A$305,0))</x:f>
        <x:v>46307.478072592596</x:v>
      </x:c>
      <x:c r="X325" s="2" t="b">
        <x:f>INDEX('Dated offers'!$N$7:$N$305,MATCH($Z325,'Dated offers'!$A$7:$A$305,0))</x:f>
        <x:v>0</x:v>
      </x:c>
      <x:c r="Y325" s="2" t="str">
        <x:f>INDEX('Dated offers'!$O$7:$O$305,MATCH($Z325,'Dated offers'!$A$7:$A$305,0))</x:f>
        <x:v>Unreserved inventory snapshot</x:v>
      </x:c>
      <x:c r="Z325" s="17" t="str">
        <x:v>OF0165</x:v>
      </x:c>
      <x:c r="AA325" s="2"/>
      <x:c r="AB325" s="2" t="str">
        <x:f>INDEX('Dated offers'!$Q$7:$Q$305,MATCH($Z325,'Dated offers'!$A$7:$A$305,0))</x:f>
        <x:v>https://www.digikey.com/en/products/detail/abracon-llc/ABM8-25-000MHZ-D1X-T/9997887</x:v>
      </x:c>
    </x:row>
    <x:row r="326" ht="24" customHeight="1">
      <x:c r="A326" s="2" t="str">
        <x:v>100 boards / nominal</x:v>
      </x:c>
      <x:c r="B326" s="17" t="str">
        <x:v>ABM8-40.000MHZ-10-D1G-T</x:v>
      </x:c>
      <x:c r="C326" s="18" t="n">
        <x:v>100</x:v>
      </x:c>
      <x:c r="D326" s="27" t="n">
        <x:v>0</x:v>
      </x:c>
      <x:c r="E326" s="18" t="n">
        <x:f>INDEX('Assembly BOM'!$C$7:$C$162,MATCH($B326,'Assembly BOM'!$A$7:$A$162,0))</x:f>
        <x:v>1</x:v>
      </x:c>
      <x:c r="F326" s="18" t="n">
        <x:f>C326*E326</x:f>
        <x:v>100</x:v>
      </x:c>
      <x:c r="G326" s="18" t="n">
        <x:f>ROUNDUP(F326*(1+D326),0)</x:f>
        <x:v>100</x:v>
      </x:c>
      <x:c r="H326" s="18" t="n">
        <x:f>INDEX('Dated offers'!$F$7:$F$305,MATCH($Z326,'Dated offers'!$A$7:$A$305,0))</x:f>
        <x:v>1</x:v>
      </x:c>
      <x:c r="I326" s="18" t="n">
        <x:f>INDEX('Dated offers'!$G$7:$G$305,MATCH($Z326,'Dated offers'!$A$7:$A$305,0))</x:f>
        <x:v>1</x:v>
      </x:c>
      <x:c r="J326" s="18" t="n">
        <x:f>CEILING(MAX(G326,H326),I326)</x:f>
        <x:v>100</x:v>
      </x:c>
      <x:c r="K326" s="18" t="n">
        <x:v>100</x:v>
      </x:c>
      <x:c r="L326" s="18" t="n">
        <x:f>INDEX('Dated offers'!$I$7:$I$305,MATCH($Z326,'Dated offers'!$A$7:$A$305,0))</x:f>
        <x:v>100</x:v>
      </x:c>
      <x:c r="M326" s="25" t="n">
        <x:f>INDEX('Dated offers'!$J$7:$J$305,MATCH($Z326,'Dated offers'!$A$7:$A$305,0))</x:f>
        <x:v>0.372</x:v>
      </x:c>
      <x:c r="N326" s="25" t="n">
        <x:f>INDEX('Dated offers'!$K$7:$K$305,MATCH($Z326,'Dated offers'!$A$7:$A$305,0))</x:f>
        <x:v>0</x:v>
      </x:c>
      <x:c r="O326" s="25" t="n">
        <x:f>F326*M326</x:f>
        <x:v>37.2</x:v>
      </x:c>
      <x:c r="P326" s="25" t="n">
        <x:f>G326*M326</x:f>
        <x:v>37.2</x:v>
      </x:c>
      <x:c r="Q326" s="25" t="n">
        <x:f>K326*M326+N326</x:f>
        <x:v>37.2</x:v>
      </x:c>
      <x:c r="R326" s="18" t="n">
        <x:f>K326-G326</x:f>
        <x:v>0</x:v>
      </x:c>
      <x:c r="S326" s="18" t="n">
        <x:f>INDEX('Dated offers'!$H$7:$H$305,MATCH($Z326,'Dated offers'!$A$7:$A$305,0))</x:f>
        <x:v>1001</x:v>
      </x:c>
      <x:c r="T326" s="2" t="str">
        <x:f>IF(K326&lt;G326,"Order below requirement",IF(K326&lt;L326,"Below price tier",IF(ISNUMBER(S326),IF(K326&gt;S326,"Quantity exceeds snapshot","Within quantity snapshot"),"Stock not stated")))</x:f>
        <x:v>Within quantity snapshot</x:v>
      </x:c>
      <x:c r="U326" s="2" t="str">
        <x:f>INDEX('Dated offers'!$C$7:$C$305,MATCH($Z326,'Dated offers'!$A$7:$A$305,0))</x:f>
        <x:v>DigiKey</x:v>
      </x:c>
      <x:c r="V326" s="2" t="str">
        <x:f>INDEX('Dated offers'!$D$7:$D$305,MATCH($Z326,'Dated offers'!$A$7:$A$305,0))</x:f>
        <x:v>Not stated</x:v>
      </x:c>
      <x:c r="W326" s="24" t="n">
        <x:f>INDEX('Dated offers'!$E$7:$E$305,MATCH($Z326,'Dated offers'!$A$7:$A$305,0))</x:f>
        <x:v>46307.478072592596</x:v>
      </x:c>
      <x:c r="X326" s="2" t="b">
        <x:f>INDEX('Dated offers'!$N$7:$N$305,MATCH($Z326,'Dated offers'!$A$7:$A$305,0))</x:f>
        <x:v>0</x:v>
      </x:c>
      <x:c r="Y326" s="2" t="str">
        <x:f>INDEX('Dated offers'!$O$7:$O$305,MATCH($Z326,'Dated offers'!$A$7:$A$305,0))</x:f>
        <x:v>Unreserved inventory snapshot</x:v>
      </x:c>
      <x:c r="Z326" s="17" t="str">
        <x:v>OF0166</x:v>
      </x:c>
      <x:c r="AA326" s="2"/>
      <x:c r="AB326" s="2" t="str">
        <x:f>INDEX('Dated offers'!$Q$7:$Q$305,MATCH($Z326,'Dated offers'!$A$7:$A$305,0))</x:f>
        <x:v>https://www.digikey.com/en/products/detail/abracon-llc/ABM8-40-000MHZ-10-D1G-T/9997905</x:v>
      </x:c>
    </x:row>
    <x:row r="327" ht="24" customHeight="1">
      <x:c r="A327" s="2" t="str">
        <x:v>100 boards / nominal</x:v>
      </x:c>
      <x:c r="B327" s="17" t="str">
        <x:v>AC01000004708JA100</x:v>
      </x:c>
      <x:c r="C327" s="18" t="n">
        <x:v>100</x:v>
      </x:c>
      <x:c r="D327" s="27" t="n">
        <x:v>0</x:v>
      </x:c>
      <x:c r="E327" s="18" t="n">
        <x:f>INDEX('Assembly BOM'!$C$7:$C$162,MATCH($B327,'Assembly BOM'!$A$7:$A$162,0))</x:f>
        <x:v>1</x:v>
      </x:c>
      <x:c r="F327" s="18" t="n">
        <x:f>C327*E327</x:f>
        <x:v>100</x:v>
      </x:c>
      <x:c r="G327" s="18" t="n">
        <x:f>ROUNDUP(F327*(1+D327),0)</x:f>
        <x:v>100</x:v>
      </x:c>
      <x:c r="H327" s="18" t="n">
        <x:f>INDEX('Dated offers'!$F$7:$F$305,MATCH($Z327,'Dated offers'!$A$7:$A$305,0))</x:f>
        <x:v>1</x:v>
      </x:c>
      <x:c r="I327" s="18" t="n">
        <x:f>INDEX('Dated offers'!$G$7:$G$305,MATCH($Z327,'Dated offers'!$A$7:$A$305,0))</x:f>
        <x:v>1</x:v>
      </x:c>
      <x:c r="J327" s="18" t="n">
        <x:f>CEILING(MAX(G327,H327),I327)</x:f>
        <x:v>100</x:v>
      </x:c>
      <x:c r="K327" s="18" t="n">
        <x:v>100</x:v>
      </x:c>
      <x:c r="L327" s="18" t="n">
        <x:f>INDEX('Dated offers'!$I$7:$I$305,MATCH($Z327,'Dated offers'!$A$7:$A$305,0))</x:f>
        <x:v>100</x:v>
      </x:c>
      <x:c r="M327" s="25" t="n">
        <x:f>INDEX('Dated offers'!$J$7:$J$305,MATCH($Z327,'Dated offers'!$A$7:$A$305,0))</x:f>
        <x:v>0.4531</x:v>
      </x:c>
      <x:c r="N327" s="25" t="n">
        <x:f>INDEX('Dated offers'!$K$7:$K$305,MATCH($Z327,'Dated offers'!$A$7:$A$305,0))</x:f>
        <x:v>0</x:v>
      </x:c>
      <x:c r="O327" s="25" t="n">
        <x:f>F327*M327</x:f>
        <x:v>45.31</x:v>
      </x:c>
      <x:c r="P327" s="25" t="n">
        <x:f>G327*M327</x:f>
        <x:v>45.31</x:v>
      </x:c>
      <x:c r="Q327" s="25" t="n">
        <x:f>K327*M327+N327</x:f>
        <x:v>45.31</x:v>
      </x:c>
      <x:c r="R327" s="18" t="n">
        <x:f>K327-G327</x:f>
        <x:v>0</x:v>
      </x:c>
      <x:c r="S327" s="18" t="n">
        <x:f>INDEX('Dated offers'!$H$7:$H$305,MATCH($Z327,'Dated offers'!$A$7:$A$305,0))</x:f>
        <x:v>384</x:v>
      </x:c>
      <x:c r="T327" s="2" t="str">
        <x:f>IF(K327&lt;G327,"Order below requirement",IF(K327&lt;L327,"Below price tier",IF(ISNUMBER(S327),IF(K327&gt;S327,"Quantity exceeds snapshot","Within quantity snapshot"),"Stock not stated")))</x:f>
        <x:v>Within quantity snapshot</x:v>
      </x:c>
      <x:c r="U327" s="2" t="str">
        <x:f>INDEX('Dated offers'!$C$7:$C$305,MATCH($Z327,'Dated offers'!$A$7:$A$305,0))</x:f>
        <x:v>DigiKey</x:v>
      </x:c>
      <x:c r="V327" s="2" t="str">
        <x:f>INDEX('Dated offers'!$D$7:$D$305,MATCH($Z327,'Dated offers'!$A$7:$A$305,0))</x:f>
        <x:v>Not stated</x:v>
      </x:c>
      <x:c r="W327" s="24" t="n">
        <x:f>INDEX('Dated offers'!$E$7:$E$305,MATCH($Z327,'Dated offers'!$A$7:$A$305,0))</x:f>
        <x:v>46307.47807255787</x:v>
      </x:c>
      <x:c r="X327" s="2" t="b">
        <x:f>INDEX('Dated offers'!$N$7:$N$305,MATCH($Z327,'Dated offers'!$A$7:$A$305,0))</x:f>
        <x:v>0</x:v>
      </x:c>
      <x:c r="Y327" s="2" t="str">
        <x:f>INDEX('Dated offers'!$O$7:$O$305,MATCH($Z327,'Dated offers'!$A$7:$A$305,0))</x:f>
        <x:v>Unreserved inventory snapshot</x:v>
      </x:c>
      <x:c r="Z327" s="17" t="str">
        <x:v>OF0167</x:v>
      </x:c>
      <x:c r="AA327" s="2"/>
      <x:c r="AB327" s="2" t="str">
        <x:f>INDEX('Dated offers'!$Q$7:$Q$305,MATCH($Z327,'Dated offers'!$A$7:$A$305,0))</x:f>
        <x:v>https://www.digikey.com/en/products/detail/vishay/AC01000004708JA100/596586</x:v>
      </x:c>
    </x:row>
    <x:row r="328" ht="24" customHeight="1">
      <x:c r="A328" s="2" t="str">
        <x:v>100 boards / nominal</x:v>
      </x:c>
      <x:c r="B328" s="17" t="str">
        <x:v>AT93C46DN-SH-T</x:v>
      </x:c>
      <x:c r="C328" s="18" t="n">
        <x:v>100</x:v>
      </x:c>
      <x:c r="D328" s="27" t="n">
        <x:v>0</x:v>
      </x:c>
      <x:c r="E328" s="18" t="n">
        <x:f>INDEX('Assembly BOM'!$C$7:$C$162,MATCH($B328,'Assembly BOM'!$A$7:$A$162,0))</x:f>
        <x:v>1</x:v>
      </x:c>
      <x:c r="F328" s="18" t="n">
        <x:f>C328*E328</x:f>
        <x:v>100</x:v>
      </x:c>
      <x:c r="G328" s="18" t="n">
        <x:f>ROUNDUP(F328*(1+D328),0)</x:f>
        <x:v>100</x:v>
      </x:c>
      <x:c r="H328" s="18" t="n">
        <x:f>INDEX('Dated offers'!$F$7:$F$305,MATCH($Z328,'Dated offers'!$A$7:$A$305,0))</x:f>
        <x:v>1</x:v>
      </x:c>
      <x:c r="I328" s="18" t="n">
        <x:f>INDEX('Dated offers'!$G$7:$G$305,MATCH($Z328,'Dated offers'!$A$7:$A$305,0))</x:f>
        <x:v>1</x:v>
      </x:c>
      <x:c r="J328" s="18" t="n">
        <x:f>CEILING(MAX(G328,H328),I328)</x:f>
        <x:v>100</x:v>
      </x:c>
      <x:c r="K328" s="18" t="n">
        <x:v>100</x:v>
      </x:c>
      <x:c r="L328" s="18" t="n">
        <x:f>INDEX('Dated offers'!$I$7:$I$305,MATCH($Z328,'Dated offers'!$A$7:$A$305,0))</x:f>
        <x:v>1</x:v>
      </x:c>
      <x:c r="M328" s="25" t="n">
        <x:f>INDEX('Dated offers'!$J$7:$J$305,MATCH($Z328,'Dated offers'!$A$7:$A$305,0))</x:f>
        <x:v>0.28</x:v>
      </x:c>
      <x:c r="N328" s="25" t="n">
        <x:f>INDEX('Dated offers'!$K$7:$K$305,MATCH($Z328,'Dated offers'!$A$7:$A$305,0))</x:f>
        <x:v>0</x:v>
      </x:c>
      <x:c r="O328" s="25" t="n">
        <x:f>F328*M328</x:f>
        <x:v>28.000000000000004</x:v>
      </x:c>
      <x:c r="P328" s="25" t="n">
        <x:f>G328*M328</x:f>
        <x:v>28.000000000000004</x:v>
      </x:c>
      <x:c r="Q328" s="25" t="n">
        <x:f>K328*M328+N328</x:f>
        <x:v>28.000000000000004</x:v>
      </x:c>
      <x:c r="R328" s="18" t="n">
        <x:f>K328-G328</x:f>
        <x:v>0</x:v>
      </x:c>
      <x:c r="S328" s="18" t="n">
        <x:f>INDEX('Dated offers'!$H$7:$H$305,MATCH($Z328,'Dated offers'!$A$7:$A$305,0))</x:f>
        <x:v>24535</x:v>
      </x:c>
      <x:c r="T328" s="2" t="str">
        <x:f>IF(K328&lt;G328,"Order below requirement",IF(K328&lt;L328,"Below price tier",IF(ISNUMBER(S328),IF(K328&gt;S328,"Quantity exceeds snapshot","Within quantity snapshot"),"Stock not stated")))</x:f>
        <x:v>Within quantity snapshot</x:v>
      </x:c>
      <x:c r="U328" s="2" t="str">
        <x:f>INDEX('Dated offers'!$C$7:$C$305,MATCH($Z328,'Dated offers'!$A$7:$A$305,0))</x:f>
        <x:v>DigiKey</x:v>
      </x:c>
      <x:c r="V328" s="2" t="str">
        <x:f>INDEX('Dated offers'!$D$7:$D$305,MATCH($Z328,'Dated offers'!$A$7:$A$305,0))</x:f>
        <x:v>Not stated</x:v>
      </x:c>
      <x:c r="W328" s="24" t="n">
        <x:f>INDEX('Dated offers'!$E$7:$E$305,MATCH($Z328,'Dated offers'!$A$7:$A$305,0))</x:f>
        <x:v>46307.478072708334</x:v>
      </x:c>
      <x:c r="X328" s="2" t="b">
        <x:f>INDEX('Dated offers'!$N$7:$N$305,MATCH($Z328,'Dated offers'!$A$7:$A$305,0))</x:f>
        <x:v>0</x:v>
      </x:c>
      <x:c r="Y328" s="2" t="str">
        <x:f>INDEX('Dated offers'!$O$7:$O$305,MATCH($Z328,'Dated offers'!$A$7:$A$305,0))</x:f>
        <x:v>Unreserved inventory snapshot</x:v>
      </x:c>
      <x:c r="Z328" s="17" t="str">
        <x:v>OF0010</x:v>
      </x:c>
      <x:c r="AA328" s="2"/>
      <x:c r="AB328" s="2" t="str">
        <x:f>INDEX('Dated offers'!$Q$7:$Q$305,MATCH($Z328,'Dated offers'!$A$7:$A$305,0))</x:f>
        <x:v>https://www.digikey.com/en/products/detail/microchip-technology/AT93C46DN-SH-T/1566800</x:v>
      </x:c>
    </x:row>
    <x:row r="329" ht="24" customHeight="1">
      <x:c r="A329" s="2" t="str">
        <x:v>100 boards / nominal</x:v>
      </x:c>
      <x:c r="B329" s="17" t="str">
        <x:v>B2B-XH-A(LF)(SN)</x:v>
      </x:c>
      <x:c r="C329" s="18" t="n">
        <x:v>100</x:v>
      </x:c>
      <x:c r="D329" s="27" t="n">
        <x:v>0</x:v>
      </x:c>
      <x:c r="E329" s="18" t="n">
        <x:f>INDEX('Assembly BOM'!$C$7:$C$162,MATCH($B329,'Assembly BOM'!$A$7:$A$162,0))</x:f>
        <x:v>1</x:v>
      </x:c>
      <x:c r="F329" s="18" t="n">
        <x:f>C329*E329</x:f>
        <x:v>100</x:v>
      </x:c>
      <x:c r="G329" s="18" t="n">
        <x:f>ROUNDUP(F329*(1+D329),0)</x:f>
        <x:v>100</x:v>
      </x:c>
      <x:c r="H329" s="18" t="n">
        <x:f>INDEX('Dated offers'!$F$7:$F$305,MATCH($Z329,'Dated offers'!$A$7:$A$305,0))</x:f>
        <x:v>20</x:v>
      </x:c>
      <x:c r="I329" s="18" t="n">
        <x:f>INDEX('Dated offers'!$G$7:$G$305,MATCH($Z329,'Dated offers'!$A$7:$A$305,0))</x:f>
        <x:v>20</x:v>
      </x:c>
      <x:c r="J329" s="18" t="n">
        <x:f>CEILING(MAX(G329,H329),I329)</x:f>
        <x:v>100</x:v>
      </x:c>
      <x:c r="K329" s="18" t="n">
        <x:v>100</x:v>
      </x:c>
      <x:c r="L329" s="18" t="n">
        <x:f>INDEX('Dated offers'!$I$7:$I$305,MATCH($Z329,'Dated offers'!$A$7:$A$305,0))</x:f>
        <x:v>20</x:v>
      </x:c>
      <x:c r="M329" s="25" t="n">
        <x:f>INDEX('Dated offers'!$J$7:$J$305,MATCH($Z329,'Dated offers'!$A$7:$A$305,0))</x:f>
        <x:v>0.0409</x:v>
      </x:c>
      <x:c r="N329" s="25" t="n">
        <x:f>INDEX('Dated offers'!$K$7:$K$305,MATCH($Z329,'Dated offers'!$A$7:$A$305,0))</x:f>
        <x:v>0</x:v>
      </x:c>
      <x:c r="O329" s="25" t="n">
        <x:f>F329*M329</x:f>
        <x:v>4.09</x:v>
      </x:c>
      <x:c r="P329" s="25" t="n">
        <x:f>G329*M329</x:f>
        <x:v>4.09</x:v>
      </x:c>
      <x:c r="Q329" s="25" t="n">
        <x:f>K329*M329+N329</x:f>
        <x:v>4.09</x:v>
      </x:c>
      <x:c r="R329" s="18" t="n">
        <x:f>K329-G329</x:f>
        <x:v>0</x:v>
      </x:c>
      <x:c r="S329" s="18" t="n">
        <x:f>INDEX('Dated offers'!$H$7:$H$305,MATCH($Z329,'Dated offers'!$A$7:$A$305,0))</x:f>
        <x:v>238920</x:v>
      </x:c>
      <x:c r="T329" s="2" t="str">
        <x:f>IF(K329&lt;G329,"Order below requirement",IF(K329&lt;L329,"Below price tier",IF(ISNUMBER(S329),IF(K329&gt;S329,"Quantity exceeds snapshot","Within quantity snapshot"),"Stock not stated")))</x:f>
        <x:v>Within quantity snapshot</x:v>
      </x:c>
      <x:c r="U329" s="2" t="str">
        <x:f>INDEX('Dated offers'!$C$7:$C$305,MATCH($Z329,'Dated offers'!$A$7:$A$305,0))</x:f>
        <x:v>LCSC</x:v>
      </x:c>
      <x:c r="V329" s="2" t="str">
        <x:f>INDEX('Dated offers'!$D$7:$D$305,MATCH($Z329,'Dated offers'!$A$7:$A$305,0))</x:f>
        <x:v>C158012</x:v>
      </x:c>
      <x:c r="W329" s="24" t="n">
        <x:f>INDEX('Dated offers'!$E$7:$E$305,MATCH($Z329,'Dated offers'!$A$7:$A$305,0))</x:f>
        <x:v>46307.447395428244</x:v>
      </x:c>
      <x:c r="X329" s="2" t="b">
        <x:f>INDEX('Dated offers'!$N$7:$N$305,MATCH($Z329,'Dated offers'!$A$7:$A$305,0))</x:f>
        <x:v>0</x:v>
      </x:c>
      <x:c r="Y329" s="2" t="str">
        <x:f>INDEX('Dated offers'!$O$7:$O$305,MATCH($Z329,'Dated offers'!$A$7:$A$305,0))</x:f>
        <x:v>Unreserved inventory snapshot</x:v>
      </x:c>
      <x:c r="Z329" s="17" t="str">
        <x:v>OF0011</x:v>
      </x:c>
      <x:c r="AA329" s="2"/>
      <x:c r="AB329" s="2" t="str">
        <x:f>INDEX('Dated offers'!$Q$7:$Q$305,MATCH($Z329,'Dated offers'!$A$7:$A$305,0))</x:f>
        <x:v>https://www.lcsc.com/product-detail/C158012.html</x:v>
      </x:c>
    </x:row>
    <x:row r="330" ht="24" customHeight="1">
      <x:c r="A330" s="2" t="str">
        <x:v>100 boards / nominal</x:v>
      </x:c>
      <x:c r="B330" s="17" t="str">
        <x:v>B3U-1000P</x:v>
      </x:c>
      <x:c r="C330" s="18" t="n">
        <x:v>100</x:v>
      </x:c>
      <x:c r="D330" s="27" t="n">
        <x:v>0</x:v>
      </x:c>
      <x:c r="E330" s="18" t="n">
        <x:f>INDEX('Assembly BOM'!$C$7:$C$162,MATCH($B330,'Assembly BOM'!$A$7:$A$162,0))</x:f>
        <x:v>2</x:v>
      </x:c>
      <x:c r="F330" s="18" t="n">
        <x:f>C330*E330</x:f>
        <x:v>200</x:v>
      </x:c>
      <x:c r="G330" s="18" t="n">
        <x:f>ROUNDUP(F330*(1+D330),0)</x:f>
        <x:v>200</x:v>
      </x:c>
      <x:c r="H330" s="18" t="n">
        <x:f>INDEX('Dated offers'!$F$7:$F$305,MATCH($Z330,'Dated offers'!$A$7:$A$305,0))</x:f>
        <x:v>5</x:v>
      </x:c>
      <x:c r="I330" s="18" t="n">
        <x:f>INDEX('Dated offers'!$G$7:$G$305,MATCH($Z330,'Dated offers'!$A$7:$A$305,0))</x:f>
        <x:v>5</x:v>
      </x:c>
      <x:c r="J330" s="18" t="n">
        <x:f>CEILING(MAX(G330,H330),I330)</x:f>
        <x:v>200</x:v>
      </x:c>
      <x:c r="K330" s="18" t="n">
        <x:v>200</x:v>
      </x:c>
      <x:c r="L330" s="18" t="n">
        <x:f>INDEX('Dated offers'!$I$7:$I$305,MATCH($Z330,'Dated offers'!$A$7:$A$305,0))</x:f>
        <x:v>150</x:v>
      </x:c>
      <x:c r="M330" s="25" t="n">
        <x:f>INDEX('Dated offers'!$J$7:$J$305,MATCH($Z330,'Dated offers'!$A$7:$A$305,0))</x:f>
        <x:v>0.1282</x:v>
      </x:c>
      <x:c r="N330" s="25" t="n">
        <x:f>INDEX('Dated offers'!$K$7:$K$305,MATCH($Z330,'Dated offers'!$A$7:$A$305,0))</x:f>
        <x:v>0</x:v>
      </x:c>
      <x:c r="O330" s="25" t="n">
        <x:f>F330*M330</x:f>
        <x:v>25.64</x:v>
      </x:c>
      <x:c r="P330" s="25" t="n">
        <x:f>G330*M330</x:f>
        <x:v>25.64</x:v>
      </x:c>
      <x:c r="Q330" s="25" t="n">
        <x:f>K330*M330+N330</x:f>
        <x:v>25.64</x:v>
      </x:c>
      <x:c r="R330" s="18" t="n">
        <x:f>K330-G330</x:f>
        <x:v>0</x:v>
      </x:c>
      <x:c r="S330" s="18" t="n">
        <x:f>INDEX('Dated offers'!$H$7:$H$305,MATCH($Z330,'Dated offers'!$A$7:$A$305,0))</x:f>
        <x:v>120135</x:v>
      </x:c>
      <x:c r="T330" s="2" t="str">
        <x:f>IF(K330&lt;G330,"Order below requirement",IF(K330&lt;L330,"Below price tier",IF(ISNUMBER(S330),IF(K330&gt;S330,"Quantity exceeds snapshot","Within quantity snapshot"),"Stock not stated")))</x:f>
        <x:v>Within quantity snapshot</x:v>
      </x:c>
      <x:c r="U330" s="2" t="str">
        <x:f>INDEX('Dated offers'!$C$7:$C$305,MATCH($Z330,'Dated offers'!$A$7:$A$305,0))</x:f>
        <x:v>LCSC</x:v>
      </x:c>
      <x:c r="V330" s="2" t="str">
        <x:f>INDEX('Dated offers'!$D$7:$D$305,MATCH($Z330,'Dated offers'!$A$7:$A$305,0))</x:f>
        <x:v>C231329</x:v>
      </x:c>
      <x:c r="W330" s="24" t="n">
        <x:f>INDEX('Dated offers'!$E$7:$E$305,MATCH($Z330,'Dated offers'!$A$7:$A$305,0))</x:f>
        <x:v>46307.44739550926</x:v>
      </x:c>
      <x:c r="X330" s="2" t="b">
        <x:f>INDEX('Dated offers'!$N$7:$N$305,MATCH($Z330,'Dated offers'!$A$7:$A$305,0))</x:f>
        <x:v>0</x:v>
      </x:c>
      <x:c r="Y330" s="2" t="str">
        <x:f>INDEX('Dated offers'!$O$7:$O$305,MATCH($Z330,'Dated offers'!$A$7:$A$305,0))</x:f>
        <x:v>Unreserved inventory snapshot</x:v>
      </x:c>
      <x:c r="Z330" s="17" t="str">
        <x:v>OF0168</x:v>
      </x:c>
      <x:c r="AA330" s="2"/>
      <x:c r="AB330" s="2" t="str">
        <x:f>INDEX('Dated offers'!$Q$7:$Q$305,MATCH($Z330,'Dated offers'!$A$7:$A$305,0))</x:f>
        <x:v>https://www.lcsc.com/product-detail/C231329.html</x:v>
      </x:c>
    </x:row>
    <x:row r="331" ht="24" customHeight="1">
      <x:c r="A331" s="2" t="str">
        <x:v>100 boards / nominal</x:v>
      </x:c>
      <x:c r="B331" s="17" t="str">
        <x:v>BLM18PG330SN1D</x:v>
      </x:c>
      <x:c r="C331" s="18" t="n">
        <x:v>100</x:v>
      </x:c>
      <x:c r="D331" s="27" t="n">
        <x:v>0</x:v>
      </x:c>
      <x:c r="E331" s="18" t="n">
        <x:f>INDEX('Assembly BOM'!$C$7:$C$162,MATCH($B331,'Assembly BOM'!$A$7:$A$162,0))</x:f>
        <x:v>1</x:v>
      </x:c>
      <x:c r="F331" s="18" t="n">
        <x:f>C331*E331</x:f>
        <x:v>100</x:v>
      </x:c>
      <x:c r="G331" s="18" t="n">
        <x:f>ROUNDUP(F331*(1+D331),0)</x:f>
        <x:v>100</x:v>
      </x:c>
      <x:c r="H331" s="18" t="n">
        <x:f>INDEX('Dated offers'!$F$7:$F$305,MATCH($Z331,'Dated offers'!$A$7:$A$305,0))</x:f>
        <x:v>1</x:v>
      </x:c>
      <x:c r="I331" s="18" t="n">
        <x:f>INDEX('Dated offers'!$G$7:$G$305,MATCH($Z331,'Dated offers'!$A$7:$A$305,0))</x:f>
        <x:v>1</x:v>
      </x:c>
      <x:c r="J331" s="18" t="n">
        <x:f>CEILING(MAX(G331,H331),I331)</x:f>
        <x:v>100</x:v>
      </x:c>
      <x:c r="K331" s="18" t="n">
        <x:v>100</x:v>
      </x:c>
      <x:c r="L331" s="18" t="n">
        <x:f>INDEX('Dated offers'!$I$7:$I$305,MATCH($Z331,'Dated offers'!$A$7:$A$305,0))</x:f>
        <x:v>100</x:v>
      </x:c>
      <x:c r="M331" s="25" t="n">
        <x:f>INDEX('Dated offers'!$J$7:$J$305,MATCH($Z331,'Dated offers'!$A$7:$A$305,0))</x:f>
        <x:v>0.0457</x:v>
      </x:c>
      <x:c r="N331" s="25" t="n">
        <x:f>INDEX('Dated offers'!$K$7:$K$305,MATCH($Z331,'Dated offers'!$A$7:$A$305,0))</x:f>
        <x:v>0</x:v>
      </x:c>
      <x:c r="O331" s="25" t="n">
        <x:f>F331*M331</x:f>
        <x:v>4.569999999999999</x:v>
      </x:c>
      <x:c r="P331" s="25" t="n">
        <x:f>G331*M331</x:f>
        <x:v>4.569999999999999</x:v>
      </x:c>
      <x:c r="Q331" s="25" t="n">
        <x:f>K331*M331+N331</x:f>
        <x:v>4.569999999999999</x:v>
      </x:c>
      <x:c r="R331" s="18" t="n">
        <x:f>K331-G331</x:f>
        <x:v>0</x:v>
      </x:c>
      <x:c r="S331" s="18" t="n">
        <x:f>INDEX('Dated offers'!$H$7:$H$305,MATCH($Z331,'Dated offers'!$A$7:$A$305,0))</x:f>
        <x:v>329009</x:v>
      </x:c>
      <x:c r="T331" s="2" t="str">
        <x:f>IF(K331&lt;G331,"Order below requirement",IF(K331&lt;L331,"Below price tier",IF(ISNUMBER(S331),IF(K331&gt;S331,"Quantity exceeds snapshot","Within quantity snapshot"),"Stock not stated")))</x:f>
        <x:v>Within quantity snapshot</x:v>
      </x:c>
      <x:c r="U331" s="2" t="str">
        <x:f>INDEX('Dated offers'!$C$7:$C$305,MATCH($Z331,'Dated offers'!$A$7:$A$305,0))</x:f>
        <x:v>DigiKey</x:v>
      </x:c>
      <x:c r="V331" s="2" t="str">
        <x:f>INDEX('Dated offers'!$D$7:$D$305,MATCH($Z331,'Dated offers'!$A$7:$A$305,0))</x:f>
        <x:v>Not stated</x:v>
      </x:c>
      <x:c r="W331" s="24" t="n">
        <x:f>INDEX('Dated offers'!$E$7:$E$305,MATCH($Z331,'Dated offers'!$A$7:$A$305,0))</x:f>
        <x:v>46307.47807266204</x:v>
      </x:c>
      <x:c r="X331" s="2" t="b">
        <x:f>INDEX('Dated offers'!$N$7:$N$305,MATCH($Z331,'Dated offers'!$A$7:$A$305,0))</x:f>
        <x:v>0</x:v>
      </x:c>
      <x:c r="Y331" s="2" t="str">
        <x:f>INDEX('Dated offers'!$O$7:$O$305,MATCH($Z331,'Dated offers'!$A$7:$A$305,0))</x:f>
        <x:v>Unreserved inventory snapshot</x:v>
      </x:c>
      <x:c r="Z331" s="17" t="str">
        <x:v>OF0169</x:v>
      </x:c>
      <x:c r="AA331" s="2"/>
      <x:c r="AB331" s="2" t="str">
        <x:f>INDEX('Dated offers'!$Q$7:$Q$305,MATCH($Z331,'Dated offers'!$A$7:$A$305,0))</x:f>
        <x:v>https://www.digikey.com/en/products/detail/murata-electronics/BLM18PG330SN1D/1948325</x:v>
      </x:c>
    </x:row>
    <x:row r="332" ht="24" customHeight="1">
      <x:c r="A332" s="2" t="str">
        <x:v>100 boards / nominal</x:v>
      </x:c>
      <x:c r="B332" s="17" t="str">
        <x:v>BZT52C6V2-7-F</x:v>
      </x:c>
      <x:c r="C332" s="18" t="n">
        <x:v>100</x:v>
      </x:c>
      <x:c r="D332" s="27" t="n">
        <x:v>0</x:v>
      </x:c>
      <x:c r="E332" s="18" t="n">
        <x:f>INDEX('Assembly BOM'!$C$7:$C$162,MATCH($B332,'Assembly BOM'!$A$7:$A$162,0))</x:f>
        <x:v>1</x:v>
      </x:c>
      <x:c r="F332" s="18" t="n">
        <x:f>C332*E332</x:f>
        <x:v>100</x:v>
      </x:c>
      <x:c r="G332" s="18" t="n">
        <x:f>ROUNDUP(F332*(1+D332),0)</x:f>
        <x:v>100</x:v>
      </x:c>
      <x:c r="H332" s="18" t="n">
        <x:f>INDEX('Dated offers'!$F$7:$F$305,MATCH($Z332,'Dated offers'!$A$7:$A$305,0))</x:f>
        <x:v>10</x:v>
      </x:c>
      <x:c r="I332" s="18" t="n">
        <x:f>INDEX('Dated offers'!$G$7:$G$305,MATCH($Z332,'Dated offers'!$A$7:$A$305,0))</x:f>
        <x:v>10</x:v>
      </x:c>
      <x:c r="J332" s="18" t="n">
        <x:f>CEILING(MAX(G332,H332),I332)</x:f>
        <x:v>100</x:v>
      </x:c>
      <x:c r="K332" s="18" t="n">
        <x:v>100</x:v>
      </x:c>
      <x:c r="L332" s="18" t="n">
        <x:f>INDEX('Dated offers'!$I$7:$I$305,MATCH($Z332,'Dated offers'!$A$7:$A$305,0))</x:f>
        <x:v>100</x:v>
      </x:c>
      <x:c r="M332" s="25" t="n">
        <x:f>INDEX('Dated offers'!$J$7:$J$305,MATCH($Z332,'Dated offers'!$A$7:$A$305,0))</x:f>
        <x:v>0.038</x:v>
      </x:c>
      <x:c r="N332" s="25" t="n">
        <x:f>INDEX('Dated offers'!$K$7:$K$305,MATCH($Z332,'Dated offers'!$A$7:$A$305,0))</x:f>
        <x:v>0</x:v>
      </x:c>
      <x:c r="O332" s="25" t="n">
        <x:f>F332*M332</x:f>
        <x:v>3.8</x:v>
      </x:c>
      <x:c r="P332" s="25" t="n">
        <x:f>G332*M332</x:f>
        <x:v>3.8</x:v>
      </x:c>
      <x:c r="Q332" s="25" t="n">
        <x:f>K332*M332+N332</x:f>
        <x:v>3.8</x:v>
      </x:c>
      <x:c r="R332" s="18" t="n">
        <x:f>K332-G332</x:f>
        <x:v>0</x:v>
      </x:c>
      <x:c r="S332" s="18" t="n">
        <x:f>INDEX('Dated offers'!$H$7:$H$305,MATCH($Z332,'Dated offers'!$A$7:$A$305,0))</x:f>
        <x:v>18480</x:v>
      </x:c>
      <x:c r="T332" s="2" t="str">
        <x:f>IF(K332&lt;G332,"Order below requirement",IF(K332&lt;L332,"Below price tier",IF(ISNUMBER(S332),IF(K332&gt;S332,"Quantity exceeds snapshot","Within quantity snapshot"),"Stock not stated")))</x:f>
        <x:v>Within quantity snapshot</x:v>
      </x:c>
      <x:c r="U332" s="2" t="str">
        <x:f>INDEX('Dated offers'!$C$7:$C$305,MATCH($Z332,'Dated offers'!$A$7:$A$305,0))</x:f>
        <x:v>LCSC</x:v>
      </x:c>
      <x:c r="V332" s="2" t="str">
        <x:f>INDEX('Dated offers'!$D$7:$D$305,MATCH($Z332,'Dated offers'!$A$7:$A$305,0))</x:f>
        <x:v>C397931</x:v>
      </x:c>
      <x:c r="W332" s="24" t="n">
        <x:f>INDEX('Dated offers'!$E$7:$E$305,MATCH($Z332,'Dated offers'!$A$7:$A$305,0))</x:f>
        <x:v>46307.44740135417</x:v>
      </x:c>
      <x:c r="X332" s="2" t="b">
        <x:f>INDEX('Dated offers'!$N$7:$N$305,MATCH($Z332,'Dated offers'!$A$7:$A$305,0))</x:f>
        <x:v>0</x:v>
      </x:c>
      <x:c r="Y332" s="2" t="str">
        <x:f>INDEX('Dated offers'!$O$7:$O$305,MATCH($Z332,'Dated offers'!$A$7:$A$305,0))</x:f>
        <x:v>Unreserved inventory snapshot</x:v>
      </x:c>
      <x:c r="Z332" s="17" t="str">
        <x:v>OF0170</x:v>
      </x:c>
      <x:c r="AA332" s="2"/>
      <x:c r="AB332" s="2" t="str">
        <x:f>INDEX('Dated offers'!$Q$7:$Q$305,MATCH($Z332,'Dated offers'!$A$7:$A$305,0))</x:f>
        <x:v>https://www.lcsc.com/product-detail/C397931.html</x:v>
      </x:c>
    </x:row>
    <x:row r="333" ht="24" customHeight="1">
      <x:c r="A333" s="2" t="str">
        <x:v>100 boards / nominal</x:v>
      </x:c>
      <x:c r="B333" s="17" t="str">
        <x:v>C0402C102K5RACTU</x:v>
      </x:c>
      <x:c r="C333" s="18" t="n">
        <x:v>100</x:v>
      </x:c>
      <x:c r="D333" s="27" t="n">
        <x:v>0</x:v>
      </x:c>
      <x:c r="E333" s="18" t="n">
        <x:f>INDEX('Assembly BOM'!$C$7:$C$162,MATCH($B333,'Assembly BOM'!$A$7:$A$162,0))</x:f>
        <x:v>2</x:v>
      </x:c>
      <x:c r="F333" s="18" t="n">
        <x:f>C333*E333</x:f>
        <x:v>200</x:v>
      </x:c>
      <x:c r="G333" s="18" t="n">
        <x:f>ROUNDUP(F333*(1+D333),0)</x:f>
        <x:v>200</x:v>
      </x:c>
      <x:c r="H333" s="18" t="n">
        <x:f>INDEX('Dated offers'!$F$7:$F$305,MATCH($Z333,'Dated offers'!$A$7:$A$305,0))</x:f>
        <x:v>1</x:v>
      </x:c>
      <x:c r="I333" s="18" t="n">
        <x:f>INDEX('Dated offers'!$G$7:$G$305,MATCH($Z333,'Dated offers'!$A$7:$A$305,0))</x:f>
        <x:v>1</x:v>
      </x:c>
      <x:c r="J333" s="18" t="n">
        <x:f>CEILING(MAX(G333,H333),I333)</x:f>
        <x:v>200</x:v>
      </x:c>
      <x:c r="K333" s="18" t="n">
        <x:v>200</x:v>
      </x:c>
      <x:c r="L333" s="18" t="n">
        <x:f>INDEX('Dated offers'!$I$7:$I$305,MATCH($Z333,'Dated offers'!$A$7:$A$305,0))</x:f>
        <x:v>100</x:v>
      </x:c>
      <x:c r="M333" s="25" t="n">
        <x:f>INDEX('Dated offers'!$J$7:$J$305,MATCH($Z333,'Dated offers'!$A$7:$A$305,0))</x:f>
        <x:v>0.0202</x:v>
      </x:c>
      <x:c r="N333" s="25" t="n">
        <x:f>INDEX('Dated offers'!$K$7:$K$305,MATCH($Z333,'Dated offers'!$A$7:$A$305,0))</x:f>
        <x:v>0</x:v>
      </x:c>
      <x:c r="O333" s="25" t="n">
        <x:f>F333*M333</x:f>
        <x:v>4.04</x:v>
      </x:c>
      <x:c r="P333" s="25" t="n">
        <x:f>G333*M333</x:f>
        <x:v>4.04</x:v>
      </x:c>
      <x:c r="Q333" s="25" t="n">
        <x:f>K333*M333+N333</x:f>
        <x:v>4.04</x:v>
      </x:c>
      <x:c r="R333" s="18" t="n">
        <x:f>K333-G333</x:f>
        <x:v>0</x:v>
      </x:c>
      <x:c r="S333" s="18" t="n">
        <x:f>INDEX('Dated offers'!$H$7:$H$305,MATCH($Z333,'Dated offers'!$A$7:$A$305,0))</x:f>
        <x:v>1816650</x:v>
      </x:c>
      <x:c r="T333" s="2" t="str">
        <x:f>IF(K333&lt;G333,"Order below requirement",IF(K333&lt;L333,"Below price tier",IF(ISNUMBER(S333),IF(K333&gt;S333,"Quantity exceeds snapshot","Within quantity snapshot"),"Stock not stated")))</x:f>
        <x:v>Within quantity snapshot</x:v>
      </x:c>
      <x:c r="U333" s="2" t="str">
        <x:f>INDEX('Dated offers'!$C$7:$C$305,MATCH($Z333,'Dated offers'!$A$7:$A$305,0))</x:f>
        <x:v>DigiKey</x:v>
      </x:c>
      <x:c r="V333" s="2" t="str">
        <x:f>INDEX('Dated offers'!$D$7:$D$305,MATCH($Z333,'Dated offers'!$A$7:$A$305,0))</x:f>
        <x:v>Not stated</x:v>
      </x:c>
      <x:c r="W333" s="24" t="n">
        <x:f>INDEX('Dated offers'!$E$7:$E$305,MATCH($Z333,'Dated offers'!$A$7:$A$305,0))</x:f>
        <x:v>46307.47807269676</x:v>
      </x:c>
      <x:c r="X333" s="2" t="b">
        <x:f>INDEX('Dated offers'!$N$7:$N$305,MATCH($Z333,'Dated offers'!$A$7:$A$305,0))</x:f>
        <x:v>0</x:v>
      </x:c>
      <x:c r="Y333" s="2" t="str">
        <x:f>INDEX('Dated offers'!$O$7:$O$305,MATCH($Z333,'Dated offers'!$A$7:$A$305,0))</x:f>
        <x:v>Unreserved inventory snapshot</x:v>
      </x:c>
      <x:c r="Z333" s="17" t="str">
        <x:v>OF0171</x:v>
      </x:c>
      <x:c r="AA333" s="2"/>
      <x:c r="AB333" s="2" t="str">
        <x:f>INDEX('Dated offers'!$Q$7:$Q$305,MATCH($Z333,'Dated offers'!$A$7:$A$305,0))</x:f>
        <x:v>https://www.digikey.com/en/products/detail/kemet/C0402C102K5RACTU/411034</x:v>
      </x:c>
    </x:row>
    <x:row r="334" ht="24" customHeight="1">
      <x:c r="A334" s="2" t="str">
        <x:v>100 boards / nominal</x:v>
      </x:c>
      <x:c r="B334" s="17" t="str">
        <x:v>C0402C220J5GACTU</x:v>
      </x:c>
      <x:c r="C334" s="18" t="n">
        <x:v>100</x:v>
      </x:c>
      <x:c r="D334" s="27" t="n">
        <x:v>0</x:v>
      </x:c>
      <x:c r="E334" s="18" t="n">
        <x:f>INDEX('Assembly BOM'!$C$7:$C$162,MATCH($B334,'Assembly BOM'!$A$7:$A$162,0))</x:f>
        <x:v>1</x:v>
      </x:c>
      <x:c r="F334" s="18" t="n">
        <x:f>C334*E334</x:f>
        <x:v>100</x:v>
      </x:c>
      <x:c r="G334" s="18" t="n">
        <x:f>ROUNDUP(F334*(1+D334),0)</x:f>
        <x:v>100</x:v>
      </x:c>
      <x:c r="H334" s="18" t="n">
        <x:f>INDEX('Dated offers'!$F$7:$F$305,MATCH($Z334,'Dated offers'!$A$7:$A$305,0))</x:f>
        <x:v>1</x:v>
      </x:c>
      <x:c r="I334" s="18" t="n">
        <x:f>INDEX('Dated offers'!$G$7:$G$305,MATCH($Z334,'Dated offers'!$A$7:$A$305,0))</x:f>
        <x:v>1</x:v>
      </x:c>
      <x:c r="J334" s="18" t="n">
        <x:f>CEILING(MAX(G334,H334),I334)</x:f>
        <x:v>100</x:v>
      </x:c>
      <x:c r="K334" s="18" t="n">
        <x:v>100</x:v>
      </x:c>
      <x:c r="L334" s="18" t="n">
        <x:f>INDEX('Dated offers'!$I$7:$I$305,MATCH($Z334,'Dated offers'!$A$7:$A$305,0))</x:f>
        <x:v>100</x:v>
      </x:c>
      <x:c r="M334" s="25" t="n">
        <x:f>INDEX('Dated offers'!$J$7:$J$305,MATCH($Z334,'Dated offers'!$A$7:$A$305,0))</x:f>
        <x:v>0.0234</x:v>
      </x:c>
      <x:c r="N334" s="25" t="n">
        <x:f>INDEX('Dated offers'!$K$7:$K$305,MATCH($Z334,'Dated offers'!$A$7:$A$305,0))</x:f>
        <x:v>0</x:v>
      </x:c>
      <x:c r="O334" s="25" t="n">
        <x:f>F334*M334</x:f>
        <x:v>2.34</x:v>
      </x:c>
      <x:c r="P334" s="25" t="n">
        <x:f>G334*M334</x:f>
        <x:v>2.34</x:v>
      </x:c>
      <x:c r="Q334" s="25" t="n">
        <x:f>K334*M334+N334</x:f>
        <x:v>2.34</x:v>
      </x:c>
      <x:c r="R334" s="18" t="n">
        <x:f>K334-G334</x:f>
        <x:v>0</x:v>
      </x:c>
      <x:c r="S334" s="18" t="n">
        <x:f>INDEX('Dated offers'!$H$7:$H$305,MATCH($Z334,'Dated offers'!$A$7:$A$305,0))</x:f>
        <x:v>489655</x:v>
      </x:c>
      <x:c r="T334" s="2" t="str">
        <x:f>IF(K334&lt;G334,"Order below requirement",IF(K334&lt;L334,"Below price tier",IF(ISNUMBER(S334),IF(K334&gt;S334,"Quantity exceeds snapshot","Within quantity snapshot"),"Stock not stated")))</x:f>
        <x:v>Within quantity snapshot</x:v>
      </x:c>
      <x:c r="U334" s="2" t="str">
        <x:f>INDEX('Dated offers'!$C$7:$C$305,MATCH($Z334,'Dated offers'!$A$7:$A$305,0))</x:f>
        <x:v>DigiKey</x:v>
      </x:c>
      <x:c r="V334" s="2" t="str">
        <x:f>INDEX('Dated offers'!$D$7:$D$305,MATCH($Z334,'Dated offers'!$A$7:$A$305,0))</x:f>
        <x:v>Not stated</x:v>
      </x:c>
      <x:c r="W334" s="24" t="n">
        <x:f>INDEX('Dated offers'!$E$7:$E$305,MATCH($Z334,'Dated offers'!$A$7:$A$305,0))</x:f>
        <x:v>46307.47807266204</x:v>
      </x:c>
      <x:c r="X334" s="2" t="b">
        <x:f>INDEX('Dated offers'!$N$7:$N$305,MATCH($Z334,'Dated offers'!$A$7:$A$305,0))</x:f>
        <x:v>0</x:v>
      </x:c>
      <x:c r="Y334" s="2" t="str">
        <x:f>INDEX('Dated offers'!$O$7:$O$305,MATCH($Z334,'Dated offers'!$A$7:$A$305,0))</x:f>
        <x:v>Unreserved inventory snapshot</x:v>
      </x:c>
      <x:c r="Z334" s="17" t="str">
        <x:v>OF0172</x:v>
      </x:c>
      <x:c r="AA334" s="2"/>
      <x:c r="AB334" s="2" t="str">
        <x:f>INDEX('Dated offers'!$Q$7:$Q$305,MATCH($Z334,'Dated offers'!$A$7:$A$305,0))</x:f>
        <x:v>https://www.digikey.com/en/products/detail/kemet/C0402C220J5GACTU/411017</x:v>
      </x:c>
    </x:row>
    <x:row r="335" ht="24" customHeight="1">
      <x:c r="A335" s="2" t="str">
        <x:v>100 boards / nominal</x:v>
      </x:c>
      <x:c r="B335" s="17" t="str">
        <x:v>C0402C222K5RACTU</x:v>
      </x:c>
      <x:c r="C335" s="18" t="n">
        <x:v>100</x:v>
      </x:c>
      <x:c r="D335" s="27" t="n">
        <x:v>0</x:v>
      </x:c>
      <x:c r="E335" s="18" t="n">
        <x:f>INDEX('Assembly BOM'!$C$7:$C$162,MATCH($B335,'Assembly BOM'!$A$7:$A$162,0))</x:f>
        <x:v>1</x:v>
      </x:c>
      <x:c r="F335" s="18" t="n">
        <x:f>C335*E335</x:f>
        <x:v>100</x:v>
      </x:c>
      <x:c r="G335" s="18" t="n">
        <x:f>ROUNDUP(F335*(1+D335),0)</x:f>
        <x:v>100</x:v>
      </x:c>
      <x:c r="H335" s="18" t="n">
        <x:f>INDEX('Dated offers'!$F$7:$F$305,MATCH($Z335,'Dated offers'!$A$7:$A$305,0))</x:f>
        <x:v>1</x:v>
      </x:c>
      <x:c r="I335" s="18" t="n">
        <x:f>INDEX('Dated offers'!$G$7:$G$305,MATCH($Z335,'Dated offers'!$A$7:$A$305,0))</x:f>
        <x:v>1</x:v>
      </x:c>
      <x:c r="J335" s="18" t="n">
        <x:f>CEILING(MAX(G335,H335),I335)</x:f>
        <x:v>100</x:v>
      </x:c>
      <x:c r="K335" s="18" t="n">
        <x:v>100</x:v>
      </x:c>
      <x:c r="L335" s="18" t="n">
        <x:f>INDEX('Dated offers'!$I$7:$I$305,MATCH($Z335,'Dated offers'!$A$7:$A$305,0))</x:f>
        <x:v>100</x:v>
      </x:c>
      <x:c r="M335" s="25" t="n">
        <x:f>INDEX('Dated offers'!$J$7:$J$305,MATCH($Z335,'Dated offers'!$A$7:$A$305,0))</x:f>
        <x:v>0.0223</x:v>
      </x:c>
      <x:c r="N335" s="25" t="n">
        <x:f>INDEX('Dated offers'!$K$7:$K$305,MATCH($Z335,'Dated offers'!$A$7:$A$305,0))</x:f>
        <x:v>0</x:v>
      </x:c>
      <x:c r="O335" s="25" t="n">
        <x:f>F335*M335</x:f>
        <x:v>2.23</x:v>
      </x:c>
      <x:c r="P335" s="25" t="n">
        <x:f>G335*M335</x:f>
        <x:v>2.23</x:v>
      </x:c>
      <x:c r="Q335" s="25" t="n">
        <x:f>K335*M335+N335</x:f>
        <x:v>2.23</x:v>
      </x:c>
      <x:c r="R335" s="18" t="n">
        <x:f>K335-G335</x:f>
        <x:v>0</x:v>
      </x:c>
      <x:c r="S335" s="18" t="n">
        <x:f>INDEX('Dated offers'!$H$7:$H$305,MATCH($Z335,'Dated offers'!$A$7:$A$305,0))</x:f>
        <x:v>100284</x:v>
      </x:c>
      <x:c r="T335" s="2" t="str">
        <x:f>IF(K335&lt;G335,"Order below requirement",IF(K335&lt;L335,"Below price tier",IF(ISNUMBER(S335),IF(K335&gt;S335,"Quantity exceeds snapshot","Within quantity snapshot"),"Stock not stated")))</x:f>
        <x:v>Within quantity snapshot</x:v>
      </x:c>
      <x:c r="U335" s="2" t="str">
        <x:f>INDEX('Dated offers'!$C$7:$C$305,MATCH($Z335,'Dated offers'!$A$7:$A$305,0))</x:f>
        <x:v>DigiKey</x:v>
      </x:c>
      <x:c r="V335" s="2" t="str">
        <x:f>INDEX('Dated offers'!$D$7:$D$305,MATCH($Z335,'Dated offers'!$A$7:$A$305,0))</x:f>
        <x:v>Not stated</x:v>
      </x:c>
      <x:c r="W335" s="24" t="n">
        <x:f>INDEX('Dated offers'!$E$7:$E$305,MATCH($Z335,'Dated offers'!$A$7:$A$305,0))</x:f>
        <x:v>46307.47807262732</x:v>
      </x:c>
      <x:c r="X335" s="2" t="b">
        <x:f>INDEX('Dated offers'!$N$7:$N$305,MATCH($Z335,'Dated offers'!$A$7:$A$305,0))</x:f>
        <x:v>0</x:v>
      </x:c>
      <x:c r="Y335" s="2" t="str">
        <x:f>INDEX('Dated offers'!$O$7:$O$305,MATCH($Z335,'Dated offers'!$A$7:$A$305,0))</x:f>
        <x:v>Unreserved inventory snapshot</x:v>
      </x:c>
      <x:c r="Z335" s="17" t="str">
        <x:v>OF0173</x:v>
      </x:c>
      <x:c r="AA335" s="2"/>
      <x:c r="AB335" s="2" t="str">
        <x:f>INDEX('Dated offers'!$Q$7:$Q$305,MATCH($Z335,'Dated offers'!$A$7:$A$305,0))</x:f>
        <x:v>https://www.digikey.com/en/products/detail/kemet/C0402C222K5RACTU/501970</x:v>
      </x:c>
    </x:row>
    <x:row r="336" ht="24" customHeight="1">
      <x:c r="A336" s="2" t="str">
        <x:v>100 boards / nominal</x:v>
      </x:c>
      <x:c r="B336" s="17" t="str">
        <x:v>C0402C330J5GACTU</x:v>
      </x:c>
      <x:c r="C336" s="18" t="n">
        <x:v>100</x:v>
      </x:c>
      <x:c r="D336" s="27" t="n">
        <x:v>0</x:v>
      </x:c>
      <x:c r="E336" s="18" t="n">
        <x:f>INDEX('Assembly BOM'!$C$7:$C$162,MATCH($B336,'Assembly BOM'!$A$7:$A$162,0))</x:f>
        <x:v>1</x:v>
      </x:c>
      <x:c r="F336" s="18" t="n">
        <x:f>C336*E336</x:f>
        <x:v>100</x:v>
      </x:c>
      <x:c r="G336" s="18" t="n">
        <x:f>ROUNDUP(F336*(1+D336),0)</x:f>
        <x:v>100</x:v>
      </x:c>
      <x:c r="H336" s="18" t="n">
        <x:f>INDEX('Dated offers'!$F$7:$F$305,MATCH($Z336,'Dated offers'!$A$7:$A$305,0))</x:f>
        <x:v>1</x:v>
      </x:c>
      <x:c r="I336" s="18" t="n">
        <x:f>INDEX('Dated offers'!$G$7:$G$305,MATCH($Z336,'Dated offers'!$A$7:$A$305,0))</x:f>
        <x:v>1</x:v>
      </x:c>
      <x:c r="J336" s="18" t="n">
        <x:f>CEILING(MAX(G336,H336),I336)</x:f>
        <x:v>100</x:v>
      </x:c>
      <x:c r="K336" s="18" t="n">
        <x:v>100</x:v>
      </x:c>
      <x:c r="L336" s="18" t="n">
        <x:f>INDEX('Dated offers'!$I$7:$I$305,MATCH($Z336,'Dated offers'!$A$7:$A$305,0))</x:f>
        <x:v>100</x:v>
      </x:c>
      <x:c r="M336" s="25" t="n">
        <x:f>INDEX('Dated offers'!$J$7:$J$305,MATCH($Z336,'Dated offers'!$A$7:$A$305,0))</x:f>
        <x:v>0.0234</x:v>
      </x:c>
      <x:c r="N336" s="25" t="n">
        <x:f>INDEX('Dated offers'!$K$7:$K$305,MATCH($Z336,'Dated offers'!$A$7:$A$305,0))</x:f>
        <x:v>0</x:v>
      </x:c>
      <x:c r="O336" s="25" t="n">
        <x:f>F336*M336</x:f>
        <x:v>2.34</x:v>
      </x:c>
      <x:c r="P336" s="25" t="n">
        <x:f>G336*M336</x:f>
        <x:v>2.34</x:v>
      </x:c>
      <x:c r="Q336" s="25" t="n">
        <x:f>K336*M336+N336</x:f>
        <x:v>2.34</x:v>
      </x:c>
      <x:c r="R336" s="18" t="n">
        <x:f>K336-G336</x:f>
        <x:v>0</x:v>
      </x:c>
      <x:c r="S336" s="18" t="n">
        <x:f>INDEX('Dated offers'!$H$7:$H$305,MATCH($Z336,'Dated offers'!$A$7:$A$305,0))</x:f>
        <x:v>277240</x:v>
      </x:c>
      <x:c r="T336" s="2" t="str">
        <x:f>IF(K336&lt;G336,"Order below requirement",IF(K336&lt;L336,"Below price tier",IF(ISNUMBER(S336),IF(K336&gt;S336,"Quantity exceeds snapshot","Within quantity snapshot"),"Stock not stated")))</x:f>
        <x:v>Within quantity snapshot</x:v>
      </x:c>
      <x:c r="U336" s="2" t="str">
        <x:f>INDEX('Dated offers'!$C$7:$C$305,MATCH($Z336,'Dated offers'!$A$7:$A$305,0))</x:f>
        <x:v>DigiKey</x:v>
      </x:c>
      <x:c r="V336" s="2" t="str">
        <x:f>INDEX('Dated offers'!$D$7:$D$305,MATCH($Z336,'Dated offers'!$A$7:$A$305,0))</x:f>
        <x:v>Not stated</x:v>
      </x:c>
      <x:c r="W336" s="24" t="n">
        <x:f>INDEX('Dated offers'!$E$7:$E$305,MATCH($Z336,'Dated offers'!$A$7:$A$305,0))</x:f>
        <x:v>46307.47807262732</x:v>
      </x:c>
      <x:c r="X336" s="2" t="b">
        <x:f>INDEX('Dated offers'!$N$7:$N$305,MATCH($Z336,'Dated offers'!$A$7:$A$305,0))</x:f>
        <x:v>0</x:v>
      </x:c>
      <x:c r="Y336" s="2" t="str">
        <x:f>INDEX('Dated offers'!$O$7:$O$305,MATCH($Z336,'Dated offers'!$A$7:$A$305,0))</x:f>
        <x:v>Unreserved inventory snapshot</x:v>
      </x:c>
      <x:c r="Z336" s="17" t="str">
        <x:v>OF0174</x:v>
      </x:c>
      <x:c r="AA336" s="2"/>
      <x:c r="AB336" s="2" t="str">
        <x:f>INDEX('Dated offers'!$Q$7:$Q$305,MATCH($Z336,'Dated offers'!$A$7:$A$305,0))</x:f>
        <x:v>https://www.digikey.com/en/products/detail/kemet/C0402C330J5GACTU/411019</x:v>
      </x:c>
    </x:row>
    <x:row r="337" ht="24" customHeight="1">
      <x:c r="A337" s="2" t="str">
        <x:v>100 boards / nominal</x:v>
      </x:c>
      <x:c r="B337" s="17" t="str">
        <x:v>C0402C332K5RACTU</x:v>
      </x:c>
      <x:c r="C337" s="18" t="n">
        <x:v>100</x:v>
      </x:c>
      <x:c r="D337" s="27" t="n">
        <x:v>0</x:v>
      </x:c>
      <x:c r="E337" s="18" t="n">
        <x:f>INDEX('Assembly BOM'!$C$7:$C$162,MATCH($B337,'Assembly BOM'!$A$7:$A$162,0))</x:f>
        <x:v>1</x:v>
      </x:c>
      <x:c r="F337" s="18" t="n">
        <x:f>C337*E337</x:f>
        <x:v>100</x:v>
      </x:c>
      <x:c r="G337" s="18" t="n">
        <x:f>ROUNDUP(F337*(1+D337),0)</x:f>
        <x:v>100</x:v>
      </x:c>
      <x:c r="H337" s="18" t="n">
        <x:f>INDEX('Dated offers'!$F$7:$F$305,MATCH($Z337,'Dated offers'!$A$7:$A$305,0))</x:f>
        <x:v>1</x:v>
      </x:c>
      <x:c r="I337" s="18" t="n">
        <x:f>INDEX('Dated offers'!$G$7:$G$305,MATCH($Z337,'Dated offers'!$A$7:$A$305,0))</x:f>
        <x:v>1</x:v>
      </x:c>
      <x:c r="J337" s="18" t="n">
        <x:f>CEILING(MAX(G337,H337),I337)</x:f>
        <x:v>100</x:v>
      </x:c>
      <x:c r="K337" s="18" t="n">
        <x:v>100</x:v>
      </x:c>
      <x:c r="L337" s="18" t="n">
        <x:f>INDEX('Dated offers'!$I$7:$I$305,MATCH($Z337,'Dated offers'!$A$7:$A$305,0))</x:f>
        <x:v>100</x:v>
      </x:c>
      <x:c r="M337" s="25" t="n">
        <x:f>INDEX('Dated offers'!$J$7:$J$305,MATCH($Z337,'Dated offers'!$A$7:$A$305,0))</x:f>
        <x:v>0.0275</x:v>
      </x:c>
      <x:c r="N337" s="25" t="n">
        <x:f>INDEX('Dated offers'!$K$7:$K$305,MATCH($Z337,'Dated offers'!$A$7:$A$305,0))</x:f>
        <x:v>0</x:v>
      </x:c>
      <x:c r="O337" s="25" t="n">
        <x:f>F337*M337</x:f>
        <x:v>2.75</x:v>
      </x:c>
      <x:c r="P337" s="25" t="n">
        <x:f>G337*M337</x:f>
        <x:v>2.75</x:v>
      </x:c>
      <x:c r="Q337" s="25" t="n">
        <x:f>K337*M337+N337</x:f>
        <x:v>2.75</x:v>
      </x:c>
      <x:c r="R337" s="18" t="n">
        <x:f>K337-G337</x:f>
        <x:v>0</x:v>
      </x:c>
      <x:c r="S337" s="18" t="n">
        <x:f>INDEX('Dated offers'!$H$7:$H$305,MATCH($Z337,'Dated offers'!$A$7:$A$305,0))</x:f>
        <x:v>225921</x:v>
      </x:c>
      <x:c r="T337" s="2" t="str">
        <x:f>IF(K337&lt;G337,"Order below requirement",IF(K337&lt;L337,"Below price tier",IF(ISNUMBER(S337),IF(K337&gt;S337,"Quantity exceeds snapshot","Within quantity snapshot"),"Stock not stated")))</x:f>
        <x:v>Within quantity snapshot</x:v>
      </x:c>
      <x:c r="U337" s="2" t="str">
        <x:f>INDEX('Dated offers'!$C$7:$C$305,MATCH($Z337,'Dated offers'!$A$7:$A$305,0))</x:f>
        <x:v>DigiKey</x:v>
      </x:c>
      <x:c r="V337" s="2" t="str">
        <x:f>INDEX('Dated offers'!$D$7:$D$305,MATCH($Z337,'Dated offers'!$A$7:$A$305,0))</x:f>
        <x:v>Not stated</x:v>
      </x:c>
      <x:c r="W337" s="24" t="n">
        <x:f>INDEX('Dated offers'!$E$7:$E$305,MATCH($Z337,'Dated offers'!$A$7:$A$305,0))</x:f>
        <x:v>46307.47807262732</x:v>
      </x:c>
      <x:c r="X337" s="2" t="b">
        <x:f>INDEX('Dated offers'!$N$7:$N$305,MATCH($Z337,'Dated offers'!$A$7:$A$305,0))</x:f>
        <x:v>0</x:v>
      </x:c>
      <x:c r="Y337" s="2" t="str">
        <x:f>INDEX('Dated offers'!$O$7:$O$305,MATCH($Z337,'Dated offers'!$A$7:$A$305,0))</x:f>
        <x:v>Unreserved inventory snapshot</x:v>
      </x:c>
      <x:c r="Z337" s="17" t="str">
        <x:v>OF0175</x:v>
      </x:c>
      <x:c r="AA337" s="2"/>
      <x:c r="AB337" s="2" t="str">
        <x:f>INDEX('Dated offers'!$Q$7:$Q$305,MATCH($Z337,'Dated offers'!$A$7:$A$305,0))</x:f>
        <x:v>https://www.digikey.com/en/products/detail/kemet/C0402C332K5RACTU/501999</x:v>
      </x:c>
    </x:row>
    <x:row r="338" ht="24" customHeight="1">
      <x:c r="A338" s="2" t="str">
        <x:v>100 boards / nominal</x:v>
      </x:c>
      <x:c r="B338" s="17" t="str">
        <x:v>C0402C391J5GACTU</x:v>
      </x:c>
      <x:c r="C338" s="18" t="n">
        <x:v>100</x:v>
      </x:c>
      <x:c r="D338" s="27" t="n">
        <x:v>0</x:v>
      </x:c>
      <x:c r="E338" s="18" t="n">
        <x:f>INDEX('Assembly BOM'!$C$7:$C$162,MATCH($B338,'Assembly BOM'!$A$7:$A$162,0))</x:f>
        <x:v>1</x:v>
      </x:c>
      <x:c r="F338" s="18" t="n">
        <x:f>C338*E338</x:f>
        <x:v>100</x:v>
      </x:c>
      <x:c r="G338" s="18" t="n">
        <x:f>ROUNDUP(F338*(1+D338),0)</x:f>
        <x:v>100</x:v>
      </x:c>
      <x:c r="H338" s="18" t="n">
        <x:f>INDEX('Dated offers'!$F$7:$F$305,MATCH($Z338,'Dated offers'!$A$7:$A$305,0))</x:f>
        <x:v>1</x:v>
      </x:c>
      <x:c r="I338" s="18" t="n">
        <x:f>INDEX('Dated offers'!$G$7:$G$305,MATCH($Z338,'Dated offers'!$A$7:$A$305,0))</x:f>
        <x:v>1</x:v>
      </x:c>
      <x:c r="J338" s="18" t="n">
        <x:f>CEILING(MAX(G338,H338),I338)</x:f>
        <x:v>100</x:v>
      </x:c>
      <x:c r="K338" s="18" t="n">
        <x:v>100</x:v>
      </x:c>
      <x:c r="L338" s="18" t="n">
        <x:f>INDEX('Dated offers'!$I$7:$I$305,MATCH($Z338,'Dated offers'!$A$7:$A$305,0))</x:f>
        <x:v>100</x:v>
      </x:c>
      <x:c r="M338" s="25" t="n">
        <x:f>INDEX('Dated offers'!$J$7:$J$305,MATCH($Z338,'Dated offers'!$A$7:$A$305,0))</x:f>
        <x:v>0.2202</x:v>
      </x:c>
      <x:c r="N338" s="25" t="n">
        <x:f>INDEX('Dated offers'!$K$7:$K$305,MATCH($Z338,'Dated offers'!$A$7:$A$305,0))</x:f>
        <x:v>0</x:v>
      </x:c>
      <x:c r="O338" s="25" t="n">
        <x:f>F338*M338</x:f>
        <x:v>22.02</x:v>
      </x:c>
      <x:c r="P338" s="25" t="n">
        <x:f>G338*M338</x:f>
        <x:v>22.02</x:v>
      </x:c>
      <x:c r="Q338" s="25" t="n">
        <x:f>K338*M338+N338</x:f>
        <x:v>22.02</x:v>
      </x:c>
      <x:c r="R338" s="18" t="n">
        <x:f>K338-G338</x:f>
        <x:v>0</x:v>
      </x:c>
      <x:c r="S338" s="18" t="n">
        <x:f>INDEX('Dated offers'!$H$7:$H$305,MATCH($Z338,'Dated offers'!$A$7:$A$305,0))</x:f>
        <x:v>32647</x:v>
      </x:c>
      <x:c r="T338" s="2" t="str">
        <x:f>IF(K338&lt;G338,"Order below requirement",IF(K338&lt;L338,"Below price tier",IF(ISNUMBER(S338),IF(K338&gt;S338,"Quantity exceeds snapshot","Within quantity snapshot"),"Stock not stated")))</x:f>
        <x:v>Within quantity snapshot</x:v>
      </x:c>
      <x:c r="U338" s="2" t="str">
        <x:f>INDEX('Dated offers'!$C$7:$C$305,MATCH($Z338,'Dated offers'!$A$7:$A$305,0))</x:f>
        <x:v>DigiKey</x:v>
      </x:c>
      <x:c r="V338" s="2" t="str">
        <x:f>INDEX('Dated offers'!$D$7:$D$305,MATCH($Z338,'Dated offers'!$A$7:$A$305,0))</x:f>
        <x:v>Not stated</x:v>
      </x:c>
      <x:c r="W338" s="24" t="n">
        <x:f>INDEX('Dated offers'!$E$7:$E$305,MATCH($Z338,'Dated offers'!$A$7:$A$305,0))</x:f>
        <x:v>46307.47807262732</x:v>
      </x:c>
      <x:c r="X338" s="2" t="b">
        <x:f>INDEX('Dated offers'!$N$7:$N$305,MATCH($Z338,'Dated offers'!$A$7:$A$305,0))</x:f>
        <x:v>0</x:v>
      </x:c>
      <x:c r="Y338" s="2" t="str">
        <x:f>INDEX('Dated offers'!$O$7:$O$305,MATCH($Z338,'Dated offers'!$A$7:$A$305,0))</x:f>
        <x:v>Unreserved inventory snapshot</x:v>
      </x:c>
      <x:c r="Z338" s="17" t="str">
        <x:v>OF0176</x:v>
      </x:c>
      <x:c r="AA338" s="2"/>
      <x:c r="AB338" s="2" t="str">
        <x:f>INDEX('Dated offers'!$Q$7:$Q$305,MATCH($Z338,'Dated offers'!$A$7:$A$305,0))</x:f>
        <x:v>https://www.digikey.com/en/products/detail/kemet/C0402C391J5GACTU/2196662</x:v>
      </x:c>
    </x:row>
    <x:row r="339" ht="24" customHeight="1">
      <x:c r="A339" s="2" t="str">
        <x:v>100 boards / nominal</x:v>
      </x:c>
      <x:c r="B339" s="17" t="str">
        <x:v>C0603C224K4RACTU</x:v>
      </x:c>
      <x:c r="C339" s="18" t="n">
        <x:v>100</x:v>
      </x:c>
      <x:c r="D339" s="27" t="n">
        <x:v>0</x:v>
      </x:c>
      <x:c r="E339" s="18" t="n">
        <x:f>INDEX('Assembly BOM'!$C$7:$C$162,MATCH($B339,'Assembly BOM'!$A$7:$A$162,0))</x:f>
        <x:v>1</x:v>
      </x:c>
      <x:c r="F339" s="18" t="n">
        <x:f>C339*E339</x:f>
        <x:v>100</x:v>
      </x:c>
      <x:c r="G339" s="18" t="n">
        <x:f>ROUNDUP(F339*(1+D339),0)</x:f>
        <x:v>100</x:v>
      </x:c>
      <x:c r="H339" s="18" t="n">
        <x:f>INDEX('Dated offers'!$F$7:$F$305,MATCH($Z339,'Dated offers'!$A$7:$A$305,0))</x:f>
        <x:v>1</x:v>
      </x:c>
      <x:c r="I339" s="18" t="n">
        <x:f>INDEX('Dated offers'!$G$7:$G$305,MATCH($Z339,'Dated offers'!$A$7:$A$305,0))</x:f>
        <x:v>1</x:v>
      </x:c>
      <x:c r="J339" s="18" t="n">
        <x:f>CEILING(MAX(G339,H339),I339)</x:f>
        <x:v>100</x:v>
      </x:c>
      <x:c r="K339" s="18" t="n">
        <x:v>100</x:v>
      </x:c>
      <x:c r="L339" s="18" t="n">
        <x:f>INDEX('Dated offers'!$I$7:$I$305,MATCH($Z339,'Dated offers'!$A$7:$A$305,0))</x:f>
        <x:v>100</x:v>
      </x:c>
      <x:c r="M339" s="25" t="n">
        <x:f>INDEX('Dated offers'!$J$7:$J$305,MATCH($Z339,'Dated offers'!$A$7:$A$305,0))</x:f>
        <x:v>0.2288</x:v>
      </x:c>
      <x:c r="N339" s="25" t="n">
        <x:f>INDEX('Dated offers'!$K$7:$K$305,MATCH($Z339,'Dated offers'!$A$7:$A$305,0))</x:f>
        <x:v>0</x:v>
      </x:c>
      <x:c r="O339" s="25" t="n">
        <x:f>F339*M339</x:f>
        <x:v>22.88</x:v>
      </x:c>
      <x:c r="P339" s="25" t="n">
        <x:f>G339*M339</x:f>
        <x:v>22.88</x:v>
      </x:c>
      <x:c r="Q339" s="25" t="n">
        <x:f>K339*M339+N339</x:f>
        <x:v>22.88</x:v>
      </x:c>
      <x:c r="R339" s="18" t="n">
        <x:f>K339-G339</x:f>
        <x:v>0</x:v>
      </x:c>
      <x:c r="S339" s="18" t="n">
        <x:f>INDEX('Dated offers'!$H$7:$H$305,MATCH($Z339,'Dated offers'!$A$7:$A$305,0))</x:f>
        <x:v>823</x:v>
      </x:c>
      <x:c r="T339" s="2" t="str">
        <x:f>IF(K339&lt;G339,"Order below requirement",IF(K339&lt;L339,"Below price tier",IF(ISNUMBER(S339),IF(K339&gt;S339,"Quantity exceeds snapshot","Within quantity snapshot"),"Stock not stated")))</x:f>
        <x:v>Within quantity snapshot</x:v>
      </x:c>
      <x:c r="U339" s="2" t="str">
        <x:f>INDEX('Dated offers'!$C$7:$C$305,MATCH($Z339,'Dated offers'!$A$7:$A$305,0))</x:f>
        <x:v>DigiKey</x:v>
      </x:c>
      <x:c r="V339" s="2" t="str">
        <x:f>INDEX('Dated offers'!$D$7:$D$305,MATCH($Z339,'Dated offers'!$A$7:$A$305,0))</x:f>
        <x:v>Not stated</x:v>
      </x:c>
      <x:c r="W339" s="24" t="n">
        <x:f>INDEX('Dated offers'!$E$7:$E$305,MATCH($Z339,'Dated offers'!$A$7:$A$305,0))</x:f>
        <x:v>46307.47807262732</x:v>
      </x:c>
      <x:c r="X339" s="2" t="b">
        <x:f>INDEX('Dated offers'!$N$7:$N$305,MATCH($Z339,'Dated offers'!$A$7:$A$305,0))</x:f>
        <x:v>0</x:v>
      </x:c>
      <x:c r="Y339" s="2" t="str">
        <x:f>INDEX('Dated offers'!$O$7:$O$305,MATCH($Z339,'Dated offers'!$A$7:$A$305,0))</x:f>
        <x:v>Unreserved inventory snapshot</x:v>
      </x:c>
      <x:c r="Z339" s="17" t="str">
        <x:v>OF0177</x:v>
      </x:c>
      <x:c r="AA339" s="2"/>
      <x:c r="AB339" s="2" t="str">
        <x:f>INDEX('Dated offers'!$Q$7:$Q$305,MATCH($Z339,'Dated offers'!$A$7:$A$305,0))</x:f>
        <x:v>https://www.digikey.com/en/products/detail/kemet/C0603C224K4RACTU/2057822</x:v>
      </x:c>
    </x:row>
    <x:row r="340" ht="24" customHeight="1">
      <x:c r="A340" s="2" t="str">
        <x:v>100 boards / nominal</x:v>
      </x:c>
      <x:c r="B340" s="17" t="str">
        <x:v>C0805C102JAGACTU</x:v>
      </x:c>
      <x:c r="C340" s="18" t="n">
        <x:v>100</x:v>
      </x:c>
      <x:c r="D340" s="27" t="n">
        <x:v>0</x:v>
      </x:c>
      <x:c r="E340" s="18" t="n">
        <x:f>INDEX('Assembly BOM'!$C$7:$C$162,MATCH($B340,'Assembly BOM'!$A$7:$A$162,0))</x:f>
        <x:v>2</x:v>
      </x:c>
      <x:c r="F340" s="18" t="n">
        <x:f>C340*E340</x:f>
        <x:v>200</x:v>
      </x:c>
      <x:c r="G340" s="18" t="n">
        <x:f>ROUNDUP(F340*(1+D340),0)</x:f>
        <x:v>200</x:v>
      </x:c>
      <x:c r="H340" s="18" t="n">
        <x:f>INDEX('Dated offers'!$F$7:$F$305,MATCH($Z340,'Dated offers'!$A$7:$A$305,0))</x:f>
        <x:v>1</x:v>
      </x:c>
      <x:c r="I340" s="18" t="n">
        <x:f>INDEX('Dated offers'!$G$7:$G$305,MATCH($Z340,'Dated offers'!$A$7:$A$305,0))</x:f>
        <x:v>1</x:v>
      </x:c>
      <x:c r="J340" s="18" t="n">
        <x:f>CEILING(MAX(G340,H340),I340)</x:f>
        <x:v>200</x:v>
      </x:c>
      <x:c r="K340" s="18" t="n">
        <x:v>200</x:v>
      </x:c>
      <x:c r="L340" s="18" t="n">
        <x:f>INDEX('Dated offers'!$I$7:$I$305,MATCH($Z340,'Dated offers'!$A$7:$A$305,0))</x:f>
        <x:v>100</x:v>
      </x:c>
      <x:c r="M340" s="25" t="n">
        <x:f>INDEX('Dated offers'!$J$7:$J$305,MATCH($Z340,'Dated offers'!$A$7:$A$305,0))</x:f>
        <x:v>0.2705</x:v>
      </x:c>
      <x:c r="N340" s="25" t="n">
        <x:f>INDEX('Dated offers'!$K$7:$K$305,MATCH($Z340,'Dated offers'!$A$7:$A$305,0))</x:f>
        <x:v>0</x:v>
      </x:c>
      <x:c r="O340" s="25" t="n">
        <x:f>F340*M340</x:f>
        <x:v>54.1</x:v>
      </x:c>
      <x:c r="P340" s="25" t="n">
        <x:f>G340*M340</x:f>
        <x:v>54.1</x:v>
      </x:c>
      <x:c r="Q340" s="25" t="n">
        <x:f>K340*M340+N340</x:f>
        <x:v>54.1</x:v>
      </x:c>
      <x:c r="R340" s="18" t="n">
        <x:f>K340-G340</x:f>
        <x:v>0</x:v>
      </x:c>
      <x:c r="S340" s="18" t="n">
        <x:f>INDEX('Dated offers'!$H$7:$H$305,MATCH($Z340,'Dated offers'!$A$7:$A$305,0))</x:f>
        <x:v>6914</x:v>
      </x:c>
      <x:c r="T340" s="2" t="str">
        <x:f>IF(K340&lt;G340,"Order below requirement",IF(K340&lt;L340,"Below price tier",IF(ISNUMBER(S340),IF(K340&gt;S340,"Quantity exceeds snapshot","Within quantity snapshot"),"Stock not stated")))</x:f>
        <x:v>Within quantity snapshot</x:v>
      </x:c>
      <x:c r="U340" s="2" t="str">
        <x:f>INDEX('Dated offers'!$C$7:$C$305,MATCH($Z340,'Dated offers'!$A$7:$A$305,0))</x:f>
        <x:v>DigiKey</x:v>
      </x:c>
      <x:c r="V340" s="2" t="str">
        <x:f>INDEX('Dated offers'!$D$7:$D$305,MATCH($Z340,'Dated offers'!$A$7:$A$305,0))</x:f>
        <x:v>Not stated</x:v>
      </x:c>
      <x:c r="W340" s="24" t="n">
        <x:f>INDEX('Dated offers'!$E$7:$E$305,MATCH($Z340,'Dated offers'!$A$7:$A$305,0))</x:f>
        <x:v>46307.47807262732</x:v>
      </x:c>
      <x:c r="X340" s="2" t="b">
        <x:f>INDEX('Dated offers'!$N$7:$N$305,MATCH($Z340,'Dated offers'!$A$7:$A$305,0))</x:f>
        <x:v>0</x:v>
      </x:c>
      <x:c r="Y340" s="2" t="str">
        <x:f>INDEX('Dated offers'!$O$7:$O$305,MATCH($Z340,'Dated offers'!$A$7:$A$305,0))</x:f>
        <x:v>Unreserved inventory snapshot</x:v>
      </x:c>
      <x:c r="Z340" s="17" t="str">
        <x:v>OF0178</x:v>
      </x:c>
      <x:c r="AA340" s="2"/>
      <x:c r="AB340" s="2" t="str">
        <x:f>INDEX('Dated offers'!$Q$7:$Q$305,MATCH($Z340,'Dated offers'!$A$7:$A$305,0))</x:f>
        <x:v>https://www.digikey.com/en/products/detail/kemet/C0805C102JAGACTU/7382555</x:v>
      </x:c>
    </x:row>
    <x:row r="341" ht="24" customHeight="1">
      <x:c r="A341" s="2" t="str">
        <x:v>100 boards / nominal</x:v>
      </x:c>
      <x:c r="B341" s="17" t="str">
        <x:v>C0805C103K1RACTU</x:v>
      </x:c>
      <x:c r="C341" s="18" t="n">
        <x:v>100</x:v>
      </x:c>
      <x:c r="D341" s="27" t="n">
        <x:v>0</x:v>
      </x:c>
      <x:c r="E341" s="18" t="n">
        <x:f>INDEX('Assembly BOM'!$C$7:$C$162,MATCH($B341,'Assembly BOM'!$A$7:$A$162,0))</x:f>
        <x:v>2</x:v>
      </x:c>
      <x:c r="F341" s="18" t="n">
        <x:f>C341*E341</x:f>
        <x:v>200</x:v>
      </x:c>
      <x:c r="G341" s="18" t="n">
        <x:f>ROUNDUP(F341*(1+D341),0)</x:f>
        <x:v>200</x:v>
      </x:c>
      <x:c r="H341" s="18" t="n">
        <x:f>INDEX('Dated offers'!$F$7:$F$305,MATCH($Z341,'Dated offers'!$A$7:$A$305,0))</x:f>
        <x:v>1</x:v>
      </x:c>
      <x:c r="I341" s="18" t="n">
        <x:f>INDEX('Dated offers'!$G$7:$G$305,MATCH($Z341,'Dated offers'!$A$7:$A$305,0))</x:f>
        <x:v>1</x:v>
      </x:c>
      <x:c r="J341" s="18" t="n">
        <x:f>CEILING(MAX(G341,H341),I341)</x:f>
        <x:v>200</x:v>
      </x:c>
      <x:c r="K341" s="18" t="n">
        <x:v>200</x:v>
      </x:c>
      <x:c r="L341" s="18" t="n">
        <x:f>INDEX('Dated offers'!$I$7:$I$305,MATCH($Z341,'Dated offers'!$A$7:$A$305,0))</x:f>
        <x:v>100</x:v>
      </x:c>
      <x:c r="M341" s="25" t="n">
        <x:f>INDEX('Dated offers'!$J$7:$J$305,MATCH($Z341,'Dated offers'!$A$7:$A$305,0))</x:f>
        <x:v>0.035</x:v>
      </x:c>
      <x:c r="N341" s="25" t="n">
        <x:f>INDEX('Dated offers'!$K$7:$K$305,MATCH($Z341,'Dated offers'!$A$7:$A$305,0))</x:f>
        <x:v>0</x:v>
      </x:c>
      <x:c r="O341" s="25" t="n">
        <x:f>F341*M341</x:f>
        <x:v>7.000000000000001</x:v>
      </x:c>
      <x:c r="P341" s="25" t="n">
        <x:f>G341*M341</x:f>
        <x:v>7.000000000000001</x:v>
      </x:c>
      <x:c r="Q341" s="25" t="n">
        <x:f>K341*M341+N341</x:f>
        <x:v>7.000000000000001</x:v>
      </x:c>
      <x:c r="R341" s="18" t="n">
        <x:f>K341-G341</x:f>
        <x:v>0</x:v>
      </x:c>
      <x:c r="S341" s="18" t="n">
        <x:f>INDEX('Dated offers'!$H$7:$H$305,MATCH($Z341,'Dated offers'!$A$7:$A$305,0))</x:f>
        <x:v>329236</x:v>
      </x:c>
      <x:c r="T341" s="2" t="str">
        <x:f>IF(K341&lt;G341,"Order below requirement",IF(K341&lt;L341,"Below price tier",IF(ISNUMBER(S341),IF(K341&gt;S341,"Quantity exceeds snapshot","Within quantity snapshot"),"Stock not stated")))</x:f>
        <x:v>Within quantity snapshot</x:v>
      </x:c>
      <x:c r="U341" s="2" t="str">
        <x:f>INDEX('Dated offers'!$C$7:$C$305,MATCH($Z341,'Dated offers'!$A$7:$A$305,0))</x:f>
        <x:v>DigiKey</x:v>
      </x:c>
      <x:c r="V341" s="2" t="str">
        <x:f>INDEX('Dated offers'!$D$7:$D$305,MATCH($Z341,'Dated offers'!$A$7:$A$305,0))</x:f>
        <x:v>Not stated</x:v>
      </x:c>
      <x:c r="W341" s="24" t="n">
        <x:f>INDEX('Dated offers'!$E$7:$E$305,MATCH($Z341,'Dated offers'!$A$7:$A$305,0))</x:f>
        <x:v>46307.47807262732</x:v>
      </x:c>
      <x:c r="X341" s="2" t="b">
        <x:f>INDEX('Dated offers'!$N$7:$N$305,MATCH($Z341,'Dated offers'!$A$7:$A$305,0))</x:f>
        <x:v>0</x:v>
      </x:c>
      <x:c r="Y341" s="2" t="str">
        <x:f>INDEX('Dated offers'!$O$7:$O$305,MATCH($Z341,'Dated offers'!$A$7:$A$305,0))</x:f>
        <x:v>Unreserved inventory snapshot</x:v>
      </x:c>
      <x:c r="Z341" s="17" t="str">
        <x:v>OF0179</x:v>
      </x:c>
      <x:c r="AA341" s="2"/>
      <x:c r="AB341" s="2" t="str">
        <x:f>INDEX('Dated offers'!$Q$7:$Q$305,MATCH($Z341,'Dated offers'!$A$7:$A$305,0))</x:f>
        <x:v>https://www.digikey.com/en/products/detail/kemet/C0805C103K1RACTU/411158</x:v>
      </x:c>
    </x:row>
    <x:row r="342" ht="24" customHeight="1">
      <x:c r="A342" s="2" t="str">
        <x:v>100 boards / nominal</x:v>
      </x:c>
      <x:c r="B342" s="17" t="str">
        <x:v>C0805C223K1RACTU</x:v>
      </x:c>
      <x:c r="C342" s="18" t="n">
        <x:v>100</x:v>
      </x:c>
      <x:c r="D342" s="27" t="n">
        <x:v>0</x:v>
      </x:c>
      <x:c r="E342" s="18" t="n">
        <x:f>INDEX('Assembly BOM'!$C$7:$C$162,MATCH($B342,'Assembly BOM'!$A$7:$A$162,0))</x:f>
        <x:v>4</x:v>
      </x:c>
      <x:c r="F342" s="18" t="n">
        <x:f>C342*E342</x:f>
        <x:v>400</x:v>
      </x:c>
      <x:c r="G342" s="18" t="n">
        <x:f>ROUNDUP(F342*(1+D342),0)</x:f>
        <x:v>400</x:v>
      </x:c>
      <x:c r="H342" s="18" t="n">
        <x:f>INDEX('Dated offers'!$F$7:$F$305,MATCH($Z342,'Dated offers'!$A$7:$A$305,0))</x:f>
        <x:v>20</x:v>
      </x:c>
      <x:c r="I342" s="18" t="n">
        <x:f>INDEX('Dated offers'!$G$7:$G$305,MATCH($Z342,'Dated offers'!$A$7:$A$305,0))</x:f>
        <x:v>20</x:v>
      </x:c>
      <x:c r="J342" s="18" t="n">
        <x:f>CEILING(MAX(G342,H342),I342)</x:f>
        <x:v>400</x:v>
      </x:c>
      <x:c r="K342" s="18" t="n">
        <x:v>400</x:v>
      </x:c>
      <x:c r="L342" s="18" t="n">
        <x:f>INDEX('Dated offers'!$I$7:$I$305,MATCH($Z342,'Dated offers'!$A$7:$A$305,0))</x:f>
        <x:v>200</x:v>
      </x:c>
      <x:c r="M342" s="25" t="n">
        <x:f>INDEX('Dated offers'!$J$7:$J$305,MATCH($Z342,'Dated offers'!$A$7:$A$305,0))</x:f>
        <x:v>0.018</x:v>
      </x:c>
      <x:c r="N342" s="25" t="n">
        <x:f>INDEX('Dated offers'!$K$7:$K$305,MATCH($Z342,'Dated offers'!$A$7:$A$305,0))</x:f>
        <x:v>0</x:v>
      </x:c>
      <x:c r="O342" s="25" t="n">
        <x:f>F342*M342</x:f>
        <x:v>7.199999999999999</x:v>
      </x:c>
      <x:c r="P342" s="25" t="n">
        <x:f>G342*M342</x:f>
        <x:v>7.199999999999999</x:v>
      </x:c>
      <x:c r="Q342" s="25" t="n">
        <x:f>K342*M342+N342</x:f>
        <x:v>7.199999999999999</x:v>
      </x:c>
      <x:c r="R342" s="18" t="n">
        <x:f>K342-G342</x:f>
        <x:v>0</x:v>
      </x:c>
      <x:c r="S342" s="18" t="n">
        <x:f>INDEX('Dated offers'!$H$7:$H$305,MATCH($Z342,'Dated offers'!$A$7:$A$305,0))</x:f>
        <x:v>3880</x:v>
      </x:c>
      <x:c r="T342" s="2" t="str">
        <x:f>IF(K342&lt;G342,"Order below requirement",IF(K342&lt;L342,"Below price tier",IF(ISNUMBER(S342),IF(K342&gt;S342,"Quantity exceeds snapshot","Within quantity snapshot"),"Stock not stated")))</x:f>
        <x:v>Within quantity snapshot</x:v>
      </x:c>
      <x:c r="U342" s="2" t="str">
        <x:f>INDEX('Dated offers'!$C$7:$C$305,MATCH($Z342,'Dated offers'!$A$7:$A$305,0))</x:f>
        <x:v>LCSC</x:v>
      </x:c>
      <x:c r="V342" s="2" t="str">
        <x:f>INDEX('Dated offers'!$D$7:$D$305,MATCH($Z342,'Dated offers'!$A$7:$A$305,0))</x:f>
        <x:v>C2178056</x:v>
      </x:c>
      <x:c r="W342" s="24" t="n">
        <x:f>INDEX('Dated offers'!$E$7:$E$305,MATCH($Z342,'Dated offers'!$A$7:$A$305,0))</x:f>
        <x:v>46307.44740040509</x:v>
      </x:c>
      <x:c r="X342" s="2" t="b">
        <x:f>INDEX('Dated offers'!$N$7:$N$305,MATCH($Z342,'Dated offers'!$A$7:$A$305,0))</x:f>
        <x:v>0</x:v>
      </x:c>
      <x:c r="Y342" s="2" t="str">
        <x:f>INDEX('Dated offers'!$O$7:$O$305,MATCH($Z342,'Dated offers'!$A$7:$A$305,0))</x:f>
        <x:v>Unreserved inventory snapshot</x:v>
      </x:c>
      <x:c r="Z342" s="17" t="str">
        <x:v>OF0180</x:v>
      </x:c>
      <x:c r="AA342" s="2"/>
      <x:c r="AB342" s="2" t="str">
        <x:f>INDEX('Dated offers'!$Q$7:$Q$305,MATCH($Z342,'Dated offers'!$A$7:$A$305,0))</x:f>
        <x:v>https://www.lcsc.com/product-detail/C2178056.html</x:v>
      </x:c>
    </x:row>
    <x:row r="343" ht="24" customHeight="1">
      <x:c r="A343" s="2" t="str">
        <x:v>100 boards / nominal</x:v>
      </x:c>
      <x:c r="B343" s="17" t="str">
        <x:v>C0805C475K4RACTU</x:v>
      </x:c>
      <x:c r="C343" s="18" t="n">
        <x:v>100</x:v>
      </x:c>
      <x:c r="D343" s="27" t="n">
        <x:v>0</x:v>
      </x:c>
      <x:c r="E343" s="18" t="n">
        <x:f>INDEX('Assembly BOM'!$C$7:$C$162,MATCH($B343,'Assembly BOM'!$A$7:$A$162,0))</x:f>
        <x:v>2</x:v>
      </x:c>
      <x:c r="F343" s="18" t="n">
        <x:f>C343*E343</x:f>
        <x:v>200</x:v>
      </x:c>
      <x:c r="G343" s="18" t="n">
        <x:f>ROUNDUP(F343*(1+D343),0)</x:f>
        <x:v>200</x:v>
      </x:c>
      <x:c r="H343" s="18" t="n">
        <x:f>INDEX('Dated offers'!$F$7:$F$305,MATCH($Z343,'Dated offers'!$A$7:$A$305,0))</x:f>
        <x:v>1</x:v>
      </x:c>
      <x:c r="I343" s="18" t="n">
        <x:f>INDEX('Dated offers'!$G$7:$G$305,MATCH($Z343,'Dated offers'!$A$7:$A$305,0))</x:f>
        <x:v>1</x:v>
      </x:c>
      <x:c r="J343" s="18" t="n">
        <x:f>CEILING(MAX(G343,H343),I343)</x:f>
        <x:v>200</x:v>
      </x:c>
      <x:c r="K343" s="18" t="n">
        <x:v>200</x:v>
      </x:c>
      <x:c r="L343" s="18" t="n">
        <x:f>INDEX('Dated offers'!$I$7:$I$305,MATCH($Z343,'Dated offers'!$A$7:$A$305,0))</x:f>
        <x:v>100</x:v>
      </x:c>
      <x:c r="M343" s="25" t="n">
        <x:f>INDEX('Dated offers'!$J$7:$J$305,MATCH($Z343,'Dated offers'!$A$7:$A$305,0))</x:f>
        <x:v>0.1347</x:v>
      </x:c>
      <x:c r="N343" s="25" t="n">
        <x:f>INDEX('Dated offers'!$K$7:$K$305,MATCH($Z343,'Dated offers'!$A$7:$A$305,0))</x:f>
        <x:v>0</x:v>
      </x:c>
      <x:c r="O343" s="25" t="n">
        <x:f>F343*M343</x:f>
        <x:v>26.939999999999998</x:v>
      </x:c>
      <x:c r="P343" s="25" t="n">
        <x:f>G343*M343</x:f>
        <x:v>26.939999999999998</x:v>
      </x:c>
      <x:c r="Q343" s="25" t="n">
        <x:f>K343*M343+N343</x:f>
        <x:v>26.939999999999998</x:v>
      </x:c>
      <x:c r="R343" s="18" t="n">
        <x:f>K343-G343</x:f>
        <x:v>0</x:v>
      </x:c>
      <x:c r="S343" s="18" t="n">
        <x:f>INDEX('Dated offers'!$H$7:$H$305,MATCH($Z343,'Dated offers'!$A$7:$A$305,0))</x:f>
        <x:v>280009</x:v>
      </x:c>
      <x:c r="T343" s="2" t="str">
        <x:f>IF(K343&lt;G343,"Order below requirement",IF(K343&lt;L343,"Below price tier",IF(ISNUMBER(S343),IF(K343&gt;S343,"Quantity exceeds snapshot","Within quantity snapshot"),"Stock not stated")))</x:f>
        <x:v>Within quantity snapshot</x:v>
      </x:c>
      <x:c r="U343" s="2" t="str">
        <x:f>INDEX('Dated offers'!$C$7:$C$305,MATCH($Z343,'Dated offers'!$A$7:$A$305,0))</x:f>
        <x:v>DigiKey</x:v>
      </x:c>
      <x:c r="V343" s="2" t="str">
        <x:f>INDEX('Dated offers'!$D$7:$D$305,MATCH($Z343,'Dated offers'!$A$7:$A$305,0))</x:f>
        <x:v>Not stated</x:v>
      </x:c>
      <x:c r="W343" s="24" t="n">
        <x:f>INDEX('Dated offers'!$E$7:$E$305,MATCH($Z343,'Dated offers'!$A$7:$A$305,0))</x:f>
        <x:v>46307.47807265046</x:v>
      </x:c>
      <x:c r="X343" s="2" t="b">
        <x:f>INDEX('Dated offers'!$N$7:$N$305,MATCH($Z343,'Dated offers'!$A$7:$A$305,0))</x:f>
        <x:v>0</x:v>
      </x:c>
      <x:c r="Y343" s="2" t="str">
        <x:f>INDEX('Dated offers'!$O$7:$O$305,MATCH($Z343,'Dated offers'!$A$7:$A$305,0))</x:f>
        <x:v>Unreserved inventory snapshot</x:v>
      </x:c>
      <x:c r="Z343" s="17" t="str">
        <x:v>OF0181</x:v>
      </x:c>
      <x:c r="AA343" s="2"/>
      <x:c r="AB343" s="2" t="str">
        <x:f>INDEX('Dated offers'!$Q$7:$Q$305,MATCH($Z343,'Dated offers'!$A$7:$A$305,0))</x:f>
        <x:v>https://www.digikey.com/en/products/detail/kemet/C0805C475K4RACTU/3317449</x:v>
      </x:c>
    </x:row>
    <x:row r="344" ht="24" customHeight="1">
      <x:c r="A344" s="2" t="str">
        <x:v>100 boards / nominal</x:v>
      </x:c>
      <x:c r="B344" s="17" t="str">
        <x:v>CGA6N3X7R2A225K230AB</x:v>
      </x:c>
      <x:c r="C344" s="18" t="n">
        <x:v>100</x:v>
      </x:c>
      <x:c r="D344" s="27" t="n">
        <x:v>0</x:v>
      </x:c>
      <x:c r="E344" s="18" t="n">
        <x:f>INDEX('Assembly BOM'!$C$7:$C$162,MATCH($B344,'Assembly BOM'!$A$7:$A$162,0))</x:f>
        <x:v>6</x:v>
      </x:c>
      <x:c r="F344" s="18" t="n">
        <x:f>C344*E344</x:f>
        <x:v>600</x:v>
      </x:c>
      <x:c r="G344" s="18" t="n">
        <x:f>ROUNDUP(F344*(1+D344),0)</x:f>
        <x:v>600</x:v>
      </x:c>
      <x:c r="H344" s="18" t="n">
        <x:f>INDEX('Dated offers'!$F$7:$F$305,MATCH($Z344,'Dated offers'!$A$7:$A$305,0))</x:f>
        <x:v>1</x:v>
      </x:c>
      <x:c r="I344" s="18" t="n">
        <x:f>INDEX('Dated offers'!$G$7:$G$305,MATCH($Z344,'Dated offers'!$A$7:$A$305,0))</x:f>
        <x:v>1</x:v>
      </x:c>
      <x:c r="J344" s="18" t="n">
        <x:f>CEILING(MAX(G344,H344),I344)</x:f>
        <x:v>600</x:v>
      </x:c>
      <x:c r="K344" s="18" t="n">
        <x:v>600</x:v>
      </x:c>
      <x:c r="L344" s="18" t="n">
        <x:f>INDEX('Dated offers'!$I$7:$I$305,MATCH($Z344,'Dated offers'!$A$7:$A$305,0))</x:f>
        <x:v>500</x:v>
      </x:c>
      <x:c r="M344" s="25" t="n">
        <x:f>INDEX('Dated offers'!$J$7:$J$305,MATCH($Z344,'Dated offers'!$A$7:$A$305,0))</x:f>
        <x:v>0.44122</x:v>
      </x:c>
      <x:c r="N344" s="25" t="n">
        <x:f>INDEX('Dated offers'!$K$7:$K$305,MATCH($Z344,'Dated offers'!$A$7:$A$305,0))</x:f>
        <x:v>0</x:v>
      </x:c>
      <x:c r="O344" s="25" t="n">
        <x:f>F344*M344</x:f>
        <x:v>264.732</x:v>
      </x:c>
      <x:c r="P344" s="25" t="n">
        <x:f>G344*M344</x:f>
        <x:v>264.732</x:v>
      </x:c>
      <x:c r="Q344" s="25" t="n">
        <x:f>K344*M344+N344</x:f>
        <x:v>264.732</x:v>
      </x:c>
      <x:c r="R344" s="18" t="n">
        <x:f>K344-G344</x:f>
        <x:v>0</x:v>
      </x:c>
      <x:c r="S344" s="18" t="n">
        <x:f>INDEX('Dated offers'!$H$7:$H$305,MATCH($Z344,'Dated offers'!$A$7:$A$305,0))</x:f>
        <x:v>31398</x:v>
      </x:c>
      <x:c r="T344" s="2" t="str">
        <x:f>IF(K344&lt;G344,"Order below requirement",IF(K344&lt;L344,"Below price tier",IF(ISNUMBER(S344),IF(K344&gt;S344,"Quantity exceeds snapshot","Within quantity snapshot"),"Stock not stated")))</x:f>
        <x:v>Within quantity snapshot</x:v>
      </x:c>
      <x:c r="U344" s="2" t="str">
        <x:f>INDEX('Dated offers'!$C$7:$C$305,MATCH($Z344,'Dated offers'!$A$7:$A$305,0))</x:f>
        <x:v>DigiKey</x:v>
      </x:c>
      <x:c r="V344" s="2" t="str">
        <x:f>INDEX('Dated offers'!$D$7:$D$305,MATCH($Z344,'Dated offers'!$A$7:$A$305,0))</x:f>
        <x:v>Not stated</x:v>
      </x:c>
      <x:c r="W344" s="24" t="n">
        <x:f>INDEX('Dated offers'!$E$7:$E$305,MATCH($Z344,'Dated offers'!$A$7:$A$305,0))</x:f>
        <x:v>46307.47807262732</x:v>
      </x:c>
      <x:c r="X344" s="2" t="b">
        <x:f>INDEX('Dated offers'!$N$7:$N$305,MATCH($Z344,'Dated offers'!$A$7:$A$305,0))</x:f>
        <x:v>0</x:v>
      </x:c>
      <x:c r="Y344" s="2" t="str">
        <x:f>INDEX('Dated offers'!$O$7:$O$305,MATCH($Z344,'Dated offers'!$A$7:$A$305,0))</x:f>
        <x:v>Unreserved inventory snapshot</x:v>
      </x:c>
      <x:c r="Z344" s="17" t="str">
        <x:v>OF0182</x:v>
      </x:c>
      <x:c r="AA344" s="2"/>
      <x:c r="AB344" s="2" t="str">
        <x:f>INDEX('Dated offers'!$Q$7:$Q$305,MATCH($Z344,'Dated offers'!$A$7:$A$305,0))</x:f>
        <x:v>https://www.digikey.com/en/products/detail/tdk-corporation/CGA6N3X7R2A225K230AB/2443344</x:v>
      </x:c>
    </x:row>
    <x:row r="345" ht="24" customHeight="1">
      <x:c r="A345" s="2" t="str">
        <x:v>100 boards / nominal</x:v>
      </x:c>
      <x:c r="B345" s="17" t="str">
        <x:v>CL05B104KB5NNNC</x:v>
      </x:c>
      <x:c r="C345" s="18" t="n">
        <x:v>100</x:v>
      </x:c>
      <x:c r="D345" s="27" t="n">
        <x:v>0</x:v>
      </x:c>
      <x:c r="E345" s="18" t="n">
        <x:f>INDEX('Assembly BOM'!$C$7:$C$162,MATCH($B345,'Assembly BOM'!$A$7:$A$162,0))</x:f>
        <x:v>59</x:v>
      </x:c>
      <x:c r="F345" s="18" t="n">
        <x:f>C345*E345</x:f>
        <x:v>5900</x:v>
      </x:c>
      <x:c r="G345" s="18" t="n">
        <x:f>ROUNDUP(F345*(1+D345),0)</x:f>
        <x:v>5900</x:v>
      </x:c>
      <x:c r="H345" s="18" t="n">
        <x:f>INDEX('Dated offers'!$F$7:$F$305,MATCH($Z345,'Dated offers'!$A$7:$A$305,0))</x:f>
        <x:v>50</x:v>
      </x:c>
      <x:c r="I345" s="18" t="n">
        <x:f>INDEX('Dated offers'!$G$7:$G$305,MATCH($Z345,'Dated offers'!$A$7:$A$305,0))</x:f>
        <x:v>50</x:v>
      </x:c>
      <x:c r="J345" s="18" t="n">
        <x:f>CEILING(MAX(G345,H345),I345)</x:f>
        <x:v>5900</x:v>
      </x:c>
      <x:c r="K345" s="18" t="n">
        <x:v>5900</x:v>
      </x:c>
      <x:c r="L345" s="18" t="n">
        <x:f>INDEX('Dated offers'!$I$7:$I$305,MATCH($Z345,'Dated offers'!$A$7:$A$305,0))</x:f>
        <x:v>1500</x:v>
      </x:c>
      <x:c r="M345" s="25" t="n">
        <x:f>INDEX('Dated offers'!$J$7:$J$305,MATCH($Z345,'Dated offers'!$A$7:$A$305,0))</x:f>
        <x:v>0.0066</x:v>
      </x:c>
      <x:c r="N345" s="25" t="n">
        <x:f>INDEX('Dated offers'!$K$7:$K$305,MATCH($Z345,'Dated offers'!$A$7:$A$305,0))</x:f>
        <x:v>0</x:v>
      </x:c>
      <x:c r="O345" s="25" t="n">
        <x:f>F345*M345</x:f>
        <x:v>38.94</x:v>
      </x:c>
      <x:c r="P345" s="25" t="n">
        <x:f>G345*M345</x:f>
        <x:v>38.94</x:v>
      </x:c>
      <x:c r="Q345" s="25" t="n">
        <x:f>K345*M345+N345</x:f>
        <x:v>38.94</x:v>
      </x:c>
      <x:c r="R345" s="18" t="n">
        <x:f>K345-G345</x:f>
        <x:v>0</x:v>
      </x:c>
      <x:c r="S345" s="18" t="n">
        <x:f>INDEX('Dated offers'!$H$7:$H$305,MATCH($Z345,'Dated offers'!$A$7:$A$305,0))</x:f>
        <x:v>155500</x:v>
      </x:c>
      <x:c r="T345" s="2" t="str">
        <x:f>IF(K345&lt;G345,"Order below requirement",IF(K345&lt;L345,"Below price tier",IF(ISNUMBER(S345),IF(K345&gt;S345,"Quantity exceeds snapshot","Within quantity snapshot"),"Stock not stated")))</x:f>
        <x:v>Within quantity snapshot</x:v>
      </x:c>
      <x:c r="U345" s="2" t="str">
        <x:f>INDEX('Dated offers'!$C$7:$C$305,MATCH($Z345,'Dated offers'!$A$7:$A$305,0))</x:f>
        <x:v>LCSC</x:v>
      </x:c>
      <x:c r="V345" s="2" t="str">
        <x:f>INDEX('Dated offers'!$D$7:$D$305,MATCH($Z345,'Dated offers'!$A$7:$A$305,0))</x:f>
        <x:v>C960916</x:v>
      </x:c>
      <x:c r="W345" s="24" t="n">
        <x:f>INDEX('Dated offers'!$E$7:$E$305,MATCH($Z345,'Dated offers'!$A$7:$A$305,0))</x:f>
        <x:v>46307.44740570602</x:v>
      </x:c>
      <x:c r="X345" s="2" t="b">
        <x:f>INDEX('Dated offers'!$N$7:$N$305,MATCH($Z345,'Dated offers'!$A$7:$A$305,0))</x:f>
        <x:v>0</x:v>
      </x:c>
      <x:c r="Y345" s="2" t="str">
        <x:f>INDEX('Dated offers'!$O$7:$O$305,MATCH($Z345,'Dated offers'!$A$7:$A$305,0))</x:f>
        <x:v>Unreserved inventory snapshot</x:v>
      </x:c>
      <x:c r="Z345" s="17" t="str">
        <x:v>OF0027</x:v>
      </x:c>
      <x:c r="AA345" s="2"/>
      <x:c r="AB345" s="2" t="str">
        <x:f>INDEX('Dated offers'!$Q$7:$Q$305,MATCH($Z345,'Dated offers'!$A$7:$A$305,0))</x:f>
        <x:v>https://www.lcsc.com/product-detail/C960916.html</x:v>
      </x:c>
    </x:row>
    <x:row r="346" ht="24" customHeight="1">
      <x:c r="A346" s="2" t="str">
        <x:v>100 boards / nominal</x:v>
      </x:c>
      <x:c r="B346" s="17" t="str">
        <x:v>CL10B225KP8NNNC</x:v>
      </x:c>
      <x:c r="C346" s="18" t="n">
        <x:v>100</x:v>
      </x:c>
      <x:c r="D346" s="27" t="n">
        <x:v>0</x:v>
      </x:c>
      <x:c r="E346" s="18" t="n">
        <x:f>INDEX('Assembly BOM'!$C$7:$C$162,MATCH($B346,'Assembly BOM'!$A$7:$A$162,0))</x:f>
        <x:v>18</x:v>
      </x:c>
      <x:c r="F346" s="18" t="n">
        <x:f>C346*E346</x:f>
        <x:v>1800</x:v>
      </x:c>
      <x:c r="G346" s="18" t="n">
        <x:f>ROUNDUP(F346*(1+D346),0)</x:f>
        <x:v>1800</x:v>
      </x:c>
      <x:c r="H346" s="18" t="n">
        <x:f>INDEX('Dated offers'!$F$7:$F$305,MATCH($Z346,'Dated offers'!$A$7:$A$305,0))</x:f>
        <x:v>20</x:v>
      </x:c>
      <x:c r="I346" s="18" t="n">
        <x:f>INDEX('Dated offers'!$G$7:$G$305,MATCH($Z346,'Dated offers'!$A$7:$A$305,0))</x:f>
        <x:v>20</x:v>
      </x:c>
      <x:c r="J346" s="18" t="n">
        <x:f>CEILING(MAX(G346,H346),I346)</x:f>
        <x:v>1800</x:v>
      </x:c>
      <x:c r="K346" s="18" t="n">
        <x:v>1800</x:v>
      </x:c>
      <x:c r="L346" s="18" t="n">
        <x:f>INDEX('Dated offers'!$I$7:$I$305,MATCH($Z346,'Dated offers'!$A$7:$A$305,0))</x:f>
        <x:v>600</x:v>
      </x:c>
      <x:c r="M346" s="25" t="n">
        <x:f>INDEX('Dated offers'!$J$7:$J$305,MATCH($Z346,'Dated offers'!$A$7:$A$305,0))</x:f>
        <x:v>0.0179</x:v>
      </x:c>
      <x:c r="N346" s="25" t="n">
        <x:f>INDEX('Dated offers'!$K$7:$K$305,MATCH($Z346,'Dated offers'!$A$7:$A$305,0))</x:f>
        <x:v>0</x:v>
      </x:c>
      <x:c r="O346" s="25" t="n">
        <x:f>F346*M346</x:f>
        <x:v>32.22</x:v>
      </x:c>
      <x:c r="P346" s="25" t="n">
        <x:f>G346*M346</x:f>
        <x:v>32.22</x:v>
      </x:c>
      <x:c r="Q346" s="25" t="n">
        <x:f>K346*M346+N346</x:f>
        <x:v>32.22</x:v>
      </x:c>
      <x:c r="R346" s="18" t="n">
        <x:f>K346-G346</x:f>
        <x:v>0</x:v>
      </x:c>
      <x:c r="S346" s="18" t="n">
        <x:f>INDEX('Dated offers'!$H$7:$H$305,MATCH($Z346,'Dated offers'!$A$7:$A$305,0))</x:f>
        <x:v>274380</x:v>
      </x:c>
      <x:c r="T346" s="2" t="str">
        <x:f>IF(K346&lt;G346,"Order below requirement",IF(K346&lt;L346,"Below price tier",IF(ISNUMBER(S346),IF(K346&gt;S346,"Quantity exceeds snapshot","Within quantity snapshot"),"Stock not stated")))</x:f>
        <x:v>Within quantity snapshot</x:v>
      </x:c>
      <x:c r="U346" s="2" t="str">
        <x:f>INDEX('Dated offers'!$C$7:$C$305,MATCH($Z346,'Dated offers'!$A$7:$A$305,0))</x:f>
        <x:v>LCSC</x:v>
      </x:c>
      <x:c r="V346" s="2" t="str">
        <x:f>INDEX('Dated offers'!$D$7:$D$305,MATCH($Z346,'Dated offers'!$A$7:$A$305,0))</x:f>
        <x:v>C100082</x:v>
      </x:c>
      <x:c r="W346" s="24" t="n">
        <x:f>INDEX('Dated offers'!$E$7:$E$305,MATCH($Z346,'Dated offers'!$A$7:$A$305,0))</x:f>
        <x:v>46307.44740732639</x:v>
      </x:c>
      <x:c r="X346" s="2" t="b">
        <x:f>INDEX('Dated offers'!$N$7:$N$305,MATCH($Z346,'Dated offers'!$A$7:$A$305,0))</x:f>
        <x:v>0</x:v>
      </x:c>
      <x:c r="Y346" s="2" t="str">
        <x:f>INDEX('Dated offers'!$O$7:$O$305,MATCH($Z346,'Dated offers'!$A$7:$A$305,0))</x:f>
        <x:v>Unreserved inventory snapshot</x:v>
      </x:c>
      <x:c r="Z346" s="17" t="str">
        <x:v>OF0183</x:v>
      </x:c>
      <x:c r="AA346" s="2"/>
      <x:c r="AB346" s="2" t="str">
        <x:f>INDEX('Dated offers'!$Q$7:$Q$305,MATCH($Z346,'Dated offers'!$A$7:$A$305,0))</x:f>
        <x:v>https://www.lcsc.com/product-detail/C100082.html</x:v>
      </x:c>
    </x:row>
    <x:row r="347" ht="24" customHeight="1">
      <x:c r="A347" s="2" t="str">
        <x:v>100 boards / nominal</x:v>
      </x:c>
      <x:c r="B347" s="17" t="str">
        <x:v>CL21B105KBFNNNF</x:v>
      </x:c>
      <x:c r="C347" s="18" t="n">
        <x:v>100</x:v>
      </x:c>
      <x:c r="D347" s="27" t="n">
        <x:v>0</x:v>
      </x:c>
      <x:c r="E347" s="18" t="n">
        <x:f>INDEX('Assembly BOM'!$C$7:$C$162,MATCH($B347,'Assembly BOM'!$A$7:$A$162,0))</x:f>
        <x:v>4</x:v>
      </x:c>
      <x:c r="F347" s="18" t="n">
        <x:f>C347*E347</x:f>
        <x:v>400</x:v>
      </x:c>
      <x:c r="G347" s="18" t="n">
        <x:f>ROUNDUP(F347*(1+D347),0)</x:f>
        <x:v>400</x:v>
      </x:c>
      <x:c r="H347" s="18" t="n">
        <x:f>INDEX('Dated offers'!$F$7:$F$305,MATCH($Z347,'Dated offers'!$A$7:$A$305,0))</x:f>
        <x:v>10</x:v>
      </x:c>
      <x:c r="I347" s="18" t="n">
        <x:f>INDEX('Dated offers'!$G$7:$G$305,MATCH($Z347,'Dated offers'!$A$7:$A$305,0))</x:f>
        <x:v>10</x:v>
      </x:c>
      <x:c r="J347" s="18" t="n">
        <x:f>CEILING(MAX(G347,H347),I347)</x:f>
        <x:v>400</x:v>
      </x:c>
      <x:c r="K347" s="18" t="n">
        <x:v>400</x:v>
      </x:c>
      <x:c r="L347" s="18" t="n">
        <x:f>INDEX('Dated offers'!$I$7:$I$305,MATCH($Z347,'Dated offers'!$A$7:$A$305,0))</x:f>
        <x:v>300</x:v>
      </x:c>
      <x:c r="M347" s="25" t="n">
        <x:f>INDEX('Dated offers'!$J$7:$J$305,MATCH($Z347,'Dated offers'!$A$7:$A$305,0))</x:f>
        <x:v>0.0286</x:v>
      </x:c>
      <x:c r="N347" s="25" t="n">
        <x:f>INDEX('Dated offers'!$K$7:$K$305,MATCH($Z347,'Dated offers'!$A$7:$A$305,0))</x:f>
        <x:v>0</x:v>
      </x:c>
      <x:c r="O347" s="25" t="n">
        <x:f>F347*M347</x:f>
        <x:v>11.44</x:v>
      </x:c>
      <x:c r="P347" s="25" t="n">
        <x:f>G347*M347</x:f>
        <x:v>11.44</x:v>
      </x:c>
      <x:c r="Q347" s="25" t="n">
        <x:f>K347*M347+N347</x:f>
        <x:v>11.44</x:v>
      </x:c>
      <x:c r="R347" s="18" t="n">
        <x:f>K347-G347</x:f>
        <x:v>0</x:v>
      </x:c>
      <x:c r="S347" s="18" t="n">
        <x:f>INDEX('Dated offers'!$H$7:$H$305,MATCH($Z347,'Dated offers'!$A$7:$A$305,0))</x:f>
        <x:v>450</x:v>
      </x:c>
      <x:c r="T347" s="2" t="str">
        <x:f>IF(K347&lt;G347,"Order below requirement",IF(K347&lt;L347,"Below price tier",IF(ISNUMBER(S347),IF(K347&gt;S347,"Quantity exceeds snapshot","Within quantity snapshot"),"Stock not stated")))</x:f>
        <x:v>Within quantity snapshot</x:v>
      </x:c>
      <x:c r="U347" s="2" t="str">
        <x:f>INDEX('Dated offers'!$C$7:$C$305,MATCH($Z347,'Dated offers'!$A$7:$A$305,0))</x:f>
        <x:v>LCSC</x:v>
      </x:c>
      <x:c r="V347" s="2" t="str">
        <x:f>INDEX('Dated offers'!$D$7:$D$305,MATCH($Z347,'Dated offers'!$A$7:$A$305,0))</x:f>
        <x:v>C16195091</x:v>
      </x:c>
      <x:c r="W347" s="24" t="n">
        <x:f>INDEX('Dated offers'!$E$7:$E$305,MATCH($Z347,'Dated offers'!$A$7:$A$305,0))</x:f>
        <x:v>46307.709842337965</x:v>
      </x:c>
      <x:c r="X347" s="2" t="b">
        <x:f>INDEX('Dated offers'!$N$7:$N$305,MATCH($Z347,'Dated offers'!$A$7:$A$305,0))</x:f>
        <x:v>0</x:v>
      </x:c>
      <x:c r="Y347" s="2" t="str">
        <x:f>INDEX('Dated offers'!$O$7:$O$305,MATCH($Z347,'Dated offers'!$A$7:$A$305,0))</x:f>
        <x:v>Unreserved inventory snapshot</x:v>
      </x:c>
      <x:c r="Z347" s="17" t="str">
        <x:v>OF0184</x:v>
      </x:c>
      <x:c r="AA347" s="2"/>
      <x:c r="AB347" s="2" t="str">
        <x:f>INDEX('Dated offers'!$Q$7:$Q$305,MATCH($Z347,'Dated offers'!$A$7:$A$305,0))</x:f>
        <x:v>https://www.lcsc.com/product-detail/C16195091.html</x:v>
      </x:c>
    </x:row>
    <x:row r="348" ht="24" customHeight="1">
      <x:c r="A348" s="2" t="str">
        <x:v>100 boards / nominal</x:v>
      </x:c>
      <x:c r="B348" s="17" t="str">
        <x:v>CL32B106KBJZW6E</x:v>
      </x:c>
      <x:c r="C348" s="18" t="n">
        <x:v>100</x:v>
      </x:c>
      <x:c r="D348" s="27" t="n">
        <x:v>0</x:v>
      </x:c>
      <x:c r="E348" s="18" t="n">
        <x:f>INDEX('Assembly BOM'!$C$7:$C$162,MATCH($B348,'Assembly BOM'!$A$7:$A$162,0))</x:f>
        <x:v>2</x:v>
      </x:c>
      <x:c r="F348" s="18" t="n">
        <x:f>C348*E348</x:f>
        <x:v>200</x:v>
      </x:c>
      <x:c r="G348" s="18" t="n">
        <x:f>ROUNDUP(F348*(1+D348),0)</x:f>
        <x:v>200</x:v>
      </x:c>
      <x:c r="H348" s="18" t="n">
        <x:f>INDEX('Dated offers'!$F$7:$F$305,MATCH($Z348,'Dated offers'!$A$7:$A$305,0))</x:f>
        <x:v>1</x:v>
      </x:c>
      <x:c r="I348" s="18" t="n">
        <x:f>INDEX('Dated offers'!$G$7:$G$305,MATCH($Z348,'Dated offers'!$A$7:$A$305,0))</x:f>
        <x:v>1</x:v>
      </x:c>
      <x:c r="J348" s="18" t="n">
        <x:f>CEILING(MAX(G348,H348),I348)</x:f>
        <x:v>200</x:v>
      </x:c>
      <x:c r="K348" s="18" t="n">
        <x:v>200</x:v>
      </x:c>
      <x:c r="L348" s="18" t="n">
        <x:f>INDEX('Dated offers'!$I$7:$I$305,MATCH($Z348,'Dated offers'!$A$7:$A$305,0))</x:f>
        <x:v>100</x:v>
      </x:c>
      <x:c r="M348" s="25" t="n">
        <x:f>INDEX('Dated offers'!$J$7:$J$305,MATCH($Z348,'Dated offers'!$A$7:$A$305,0))</x:f>
        <x:v>0.4763</x:v>
      </x:c>
      <x:c r="N348" s="25" t="n">
        <x:f>INDEX('Dated offers'!$K$7:$K$305,MATCH($Z348,'Dated offers'!$A$7:$A$305,0))</x:f>
        <x:v>0</x:v>
      </x:c>
      <x:c r="O348" s="25" t="n">
        <x:f>F348*M348</x:f>
        <x:v>95.26</x:v>
      </x:c>
      <x:c r="P348" s="25" t="n">
        <x:f>G348*M348</x:f>
        <x:v>95.26</x:v>
      </x:c>
      <x:c r="Q348" s="25" t="n">
        <x:f>K348*M348+N348</x:f>
        <x:v>95.26</x:v>
      </x:c>
      <x:c r="R348" s="18" t="n">
        <x:f>K348-G348</x:f>
        <x:v>0</x:v>
      </x:c>
      <x:c r="S348" s="18" t="n">
        <x:f>INDEX('Dated offers'!$H$7:$H$305,MATCH($Z348,'Dated offers'!$A$7:$A$305,0))</x:f>
        <x:v>167479</x:v>
      </x:c>
      <x:c r="T348" s="2" t="str">
        <x:f>IF(K348&lt;G348,"Order below requirement",IF(K348&lt;L348,"Below price tier",IF(ISNUMBER(S348),IF(K348&gt;S348,"Quantity exceeds snapshot","Within quantity snapshot"),"Stock not stated")))</x:f>
        <x:v>Within quantity snapshot</x:v>
      </x:c>
      <x:c r="U348" s="2" t="str">
        <x:f>INDEX('Dated offers'!$C$7:$C$305,MATCH($Z348,'Dated offers'!$A$7:$A$305,0))</x:f>
        <x:v>DigiKey</x:v>
      </x:c>
      <x:c r="V348" s="2" t="str">
        <x:f>INDEX('Dated offers'!$D$7:$D$305,MATCH($Z348,'Dated offers'!$A$7:$A$305,0))</x:f>
        <x:v>Not stated</x:v>
      </x:c>
      <x:c r="W348" s="24" t="n">
        <x:f>INDEX('Dated offers'!$E$7:$E$305,MATCH($Z348,'Dated offers'!$A$7:$A$305,0))</x:f>
        <x:v>46307.47807262732</x:v>
      </x:c>
      <x:c r="X348" s="2" t="b">
        <x:f>INDEX('Dated offers'!$N$7:$N$305,MATCH($Z348,'Dated offers'!$A$7:$A$305,0))</x:f>
        <x:v>0</x:v>
      </x:c>
      <x:c r="Y348" s="2" t="str">
        <x:f>INDEX('Dated offers'!$O$7:$O$305,MATCH($Z348,'Dated offers'!$A$7:$A$305,0))</x:f>
        <x:v>Unreserved inventory snapshot</x:v>
      </x:c>
      <x:c r="Z348" s="17" t="str">
        <x:v>OF0185</x:v>
      </x:c>
      <x:c r="AA348" s="2"/>
      <x:c r="AB348" s="2" t="str">
        <x:f>INDEX('Dated offers'!$Q$7:$Q$305,MATCH($Z348,'Dated offers'!$A$7:$A$305,0))</x:f>
        <x:v>https://www.digikey.com/en/products/detail/samsung-electro-mechanics-america-inc/CL32B106KBJZW6E/7320557</x:v>
      </x:c>
    </x:row>
    <x:row r="349" ht="24" customHeight="1">
      <x:c r="A349" s="2" t="str">
        <x:v>100 boards / nominal</x:v>
      </x:c>
      <x:c r="B349" s="17" t="str">
        <x:v>CL32B226KAJNNNE</x:v>
      </x:c>
      <x:c r="C349" s="18" t="n">
        <x:v>100</x:v>
      </x:c>
      <x:c r="D349" s="27" t="n">
        <x:v>0</x:v>
      </x:c>
      <x:c r="E349" s="18" t="n">
        <x:f>INDEX('Assembly BOM'!$C$7:$C$162,MATCH($B349,'Assembly BOM'!$A$7:$A$162,0))</x:f>
        <x:v>25</x:v>
      </x:c>
      <x:c r="F349" s="18" t="n">
        <x:f>C349*E349</x:f>
        <x:v>2500</x:v>
      </x:c>
      <x:c r="G349" s="18" t="n">
        <x:f>ROUNDUP(F349*(1+D349),0)</x:f>
        <x:v>2500</x:v>
      </x:c>
      <x:c r="H349" s="18" t="n">
        <x:f>INDEX('Dated offers'!$F$7:$F$305,MATCH($Z349,'Dated offers'!$A$7:$A$305,0))</x:f>
        <x:v>1</x:v>
      </x:c>
      <x:c r="I349" s="18" t="n">
        <x:f>INDEX('Dated offers'!$G$7:$G$305,MATCH($Z349,'Dated offers'!$A$7:$A$305,0))</x:f>
        <x:v>1</x:v>
      </x:c>
      <x:c r="J349" s="18" t="n">
        <x:f>CEILING(MAX(G349,H349),I349)</x:f>
        <x:v>2500</x:v>
      </x:c>
      <x:c r="K349" s="18" t="n">
        <x:v>2500</x:v>
      </x:c>
      <x:c r="L349" s="18" t="n">
        <x:f>INDEX('Dated offers'!$I$7:$I$305,MATCH($Z349,'Dated offers'!$A$7:$A$305,0))</x:f>
        <x:v>1000</x:v>
      </x:c>
      <x:c r="M349" s="25" t="n">
        <x:f>INDEX('Dated offers'!$J$7:$J$305,MATCH($Z349,'Dated offers'!$A$7:$A$305,0))</x:f>
        <x:v>0.1611</x:v>
      </x:c>
      <x:c r="N349" s="25" t="n">
        <x:f>INDEX('Dated offers'!$K$7:$K$305,MATCH($Z349,'Dated offers'!$A$7:$A$305,0))</x:f>
        <x:v>0</x:v>
      </x:c>
      <x:c r="O349" s="25" t="n">
        <x:f>F349*M349</x:f>
        <x:v>402.75</x:v>
      </x:c>
      <x:c r="P349" s="25" t="n">
        <x:f>G349*M349</x:f>
        <x:v>402.75</x:v>
      </x:c>
      <x:c r="Q349" s="25" t="n">
        <x:f>K349*M349+N349</x:f>
        <x:v>402.75</x:v>
      </x:c>
      <x:c r="R349" s="18" t="n">
        <x:f>K349-G349</x:f>
        <x:v>0</x:v>
      </x:c>
      <x:c r="S349" s="18" t="n">
        <x:f>INDEX('Dated offers'!$H$7:$H$305,MATCH($Z349,'Dated offers'!$A$7:$A$305,0))</x:f>
        <x:v>42997</x:v>
      </x:c>
      <x:c r="T349" s="2" t="str">
        <x:f>IF(K349&lt;G349,"Order below requirement",IF(K349&lt;L349,"Below price tier",IF(ISNUMBER(S349),IF(K349&gt;S349,"Quantity exceeds snapshot","Within quantity snapshot"),"Stock not stated")))</x:f>
        <x:v>Within quantity snapshot</x:v>
      </x:c>
      <x:c r="U349" s="2" t="str">
        <x:f>INDEX('Dated offers'!$C$7:$C$305,MATCH($Z349,'Dated offers'!$A$7:$A$305,0))</x:f>
        <x:v>LCSC</x:v>
      </x:c>
      <x:c r="V349" s="2" t="str">
        <x:f>INDEX('Dated offers'!$D$7:$D$305,MATCH($Z349,'Dated offers'!$A$7:$A$305,0))</x:f>
        <x:v>C309062</x:v>
      </x:c>
      <x:c r="W349" s="24" t="n">
        <x:f>INDEX('Dated offers'!$E$7:$E$305,MATCH($Z349,'Dated offers'!$A$7:$A$305,0))</x:f>
        <x:v>46307.61958569445</x:v>
      </x:c>
      <x:c r="X349" s="2" t="b">
        <x:f>INDEX('Dated offers'!$N$7:$N$305,MATCH($Z349,'Dated offers'!$A$7:$A$305,0))</x:f>
        <x:v>0</x:v>
      </x:c>
      <x:c r="Y349" s="2" t="str">
        <x:f>INDEX('Dated offers'!$O$7:$O$305,MATCH($Z349,'Dated offers'!$A$7:$A$305,0))</x:f>
        <x:v>Unreserved inventory snapshot</x:v>
      </x:c>
      <x:c r="Z349" s="17" t="str">
        <x:v>OF0186</x:v>
      </x:c>
      <x:c r="AA349" s="2"/>
      <x:c r="AB349" s="2" t="str">
        <x:f>INDEX('Dated offers'!$Q$7:$Q$305,MATCH($Z349,'Dated offers'!$A$7:$A$305,0))</x:f>
        <x:v>https://www.lcsc.com/product-detail/C309062.html</x:v>
      </x:c>
    </x:row>
    <x:row r="350" ht="24" customHeight="1">
      <x:c r="A350" s="2" t="str">
        <x:v>100 boards / nominal</x:v>
      </x:c>
      <x:c r="B350" s="17" t="str">
        <x:v>CL32B476KPJNNWE</x:v>
      </x:c>
      <x:c r="C350" s="18" t="n">
        <x:v>100</x:v>
      </x:c>
      <x:c r="D350" s="27" t="n">
        <x:v>0</x:v>
      </x:c>
      <x:c r="E350" s="18" t="n">
        <x:f>INDEX('Assembly BOM'!$C$7:$C$162,MATCH($B350,'Assembly BOM'!$A$7:$A$162,0))</x:f>
        <x:v>2</x:v>
      </x:c>
      <x:c r="F350" s="18" t="n">
        <x:f>C350*E350</x:f>
        <x:v>200</x:v>
      </x:c>
      <x:c r="G350" s="18" t="n">
        <x:f>ROUNDUP(F350*(1+D350),0)</x:f>
        <x:v>200</x:v>
      </x:c>
      <x:c r="H350" s="18" t="n">
        <x:f>INDEX('Dated offers'!$F$7:$F$305,MATCH($Z350,'Dated offers'!$A$7:$A$305,0))</x:f>
        <x:v>1</x:v>
      </x:c>
      <x:c r="I350" s="18" t="n">
        <x:f>INDEX('Dated offers'!$G$7:$G$305,MATCH($Z350,'Dated offers'!$A$7:$A$305,0))</x:f>
        <x:v>1</x:v>
      </x:c>
      <x:c r="J350" s="18" t="n">
        <x:f>CEILING(MAX(G350,H350),I350)</x:f>
        <x:v>200</x:v>
      </x:c>
      <x:c r="K350" s="18" t="n">
        <x:v>200</x:v>
      </x:c>
      <x:c r="L350" s="18" t="n">
        <x:f>INDEX('Dated offers'!$I$7:$I$305,MATCH($Z350,'Dated offers'!$A$7:$A$305,0))</x:f>
        <x:v>100</x:v>
      </x:c>
      <x:c r="M350" s="25" t="n">
        <x:f>INDEX('Dated offers'!$J$7:$J$305,MATCH($Z350,'Dated offers'!$A$7:$A$305,0))</x:f>
        <x:v>0.467</x:v>
      </x:c>
      <x:c r="N350" s="25" t="n">
        <x:f>INDEX('Dated offers'!$K$7:$K$305,MATCH($Z350,'Dated offers'!$A$7:$A$305,0))</x:f>
        <x:v>0</x:v>
      </x:c>
      <x:c r="O350" s="25" t="n">
        <x:f>F350*M350</x:f>
        <x:v>93.4</x:v>
      </x:c>
      <x:c r="P350" s="25" t="n">
        <x:f>G350*M350</x:f>
        <x:v>93.4</x:v>
      </x:c>
      <x:c r="Q350" s="25" t="n">
        <x:f>K350*M350+N350</x:f>
        <x:v>93.4</x:v>
      </x:c>
      <x:c r="R350" s="18" t="n">
        <x:f>K350-G350</x:f>
        <x:v>0</x:v>
      </x:c>
      <x:c r="S350" s="18" t="n">
        <x:f>INDEX('Dated offers'!$H$7:$H$305,MATCH($Z350,'Dated offers'!$A$7:$A$305,0))</x:f>
        <x:v>1284</x:v>
      </x:c>
      <x:c r="T350" s="2" t="str">
        <x:f>IF(K350&lt;G350,"Order below requirement",IF(K350&lt;L350,"Below price tier",IF(ISNUMBER(S350),IF(K350&gt;S350,"Quantity exceeds snapshot","Within quantity snapshot"),"Stock not stated")))</x:f>
        <x:v>Within quantity snapshot</x:v>
      </x:c>
      <x:c r="U350" s="2" t="str">
        <x:f>INDEX('Dated offers'!$C$7:$C$305,MATCH($Z350,'Dated offers'!$A$7:$A$305,0))</x:f>
        <x:v>LCSC</x:v>
      </x:c>
      <x:c r="V350" s="2" t="str">
        <x:f>INDEX('Dated offers'!$D$7:$D$305,MATCH($Z350,'Dated offers'!$A$7:$A$305,0))</x:f>
        <x:v>C2932479</x:v>
      </x:c>
      <x:c r="W350" s="24" t="n">
        <x:f>INDEX('Dated offers'!$E$7:$E$305,MATCH($Z350,'Dated offers'!$A$7:$A$305,0))</x:f>
        <x:v>46307.656600462964</x:v>
      </x:c>
      <x:c r="X350" s="2" t="b">
        <x:f>INDEX('Dated offers'!$N$7:$N$305,MATCH($Z350,'Dated offers'!$A$7:$A$305,0))</x:f>
        <x:v>0</x:v>
      </x:c>
      <x:c r="Y350" s="2" t="str">
        <x:f>INDEX('Dated offers'!$O$7:$O$305,MATCH($Z350,'Dated offers'!$A$7:$A$305,0))</x:f>
        <x:v>Unreserved inventory snapshot</x:v>
      </x:c>
      <x:c r="Z350" s="17" t="str">
        <x:v>OF0187</x:v>
      </x:c>
      <x:c r="AA350" s="2"/>
      <x:c r="AB350" s="2" t="str">
        <x:f>INDEX('Dated offers'!$Q$7:$Q$305,MATCH($Z350,'Dated offers'!$A$7:$A$305,0))</x:f>
        <x:v>https://www.lcsc.com/product-detail/C2932479.html</x:v>
      </x:c>
    </x:row>
    <x:row r="351" ht="24" customHeight="1">
      <x:c r="A351" s="2" t="str">
        <x:v>100 boards / nominal</x:v>
      </x:c>
      <x:c r="B351" s="17" t="str">
        <x:v>CRCW04020000Z0ED</x:v>
      </x:c>
      <x:c r="C351" s="18" t="n">
        <x:v>100</x:v>
      </x:c>
      <x:c r="D351" s="27" t="n">
        <x:v>0</x:v>
      </x:c>
      <x:c r="E351" s="18" t="n">
        <x:f>INDEX('Assembly BOM'!$C$7:$C$162,MATCH($B351,'Assembly BOM'!$A$7:$A$162,0))</x:f>
        <x:v>6</x:v>
      </x:c>
      <x:c r="F351" s="18" t="n">
        <x:f>C351*E351</x:f>
        <x:v>600</x:v>
      </x:c>
      <x:c r="G351" s="18" t="n">
        <x:f>ROUNDUP(F351*(1+D351),0)</x:f>
        <x:v>600</x:v>
      </x:c>
      <x:c r="H351" s="18" t="n">
        <x:f>INDEX('Dated offers'!$F$7:$F$305,MATCH($Z351,'Dated offers'!$A$7:$A$305,0))</x:f>
        <x:v>1</x:v>
      </x:c>
      <x:c r="I351" s="18" t="n">
        <x:f>INDEX('Dated offers'!$G$7:$G$305,MATCH($Z351,'Dated offers'!$A$7:$A$305,0))</x:f>
        <x:v>1</x:v>
      </x:c>
      <x:c r="J351" s="18" t="n">
        <x:f>CEILING(MAX(G351,H351),I351)</x:f>
        <x:v>600</x:v>
      </x:c>
      <x:c r="K351" s="18" t="n">
        <x:v>600</x:v>
      </x:c>
      <x:c r="L351" s="18" t="n">
        <x:f>INDEX('Dated offers'!$I$7:$I$305,MATCH($Z351,'Dated offers'!$A$7:$A$305,0))</x:f>
        <x:v>500</x:v>
      </x:c>
      <x:c r="M351" s="25" t="n">
        <x:f>INDEX('Dated offers'!$J$7:$J$305,MATCH($Z351,'Dated offers'!$A$7:$A$305,0))</x:f>
        <x:v>0.00738</x:v>
      </x:c>
      <x:c r="N351" s="25" t="n">
        <x:f>INDEX('Dated offers'!$K$7:$K$305,MATCH($Z351,'Dated offers'!$A$7:$A$305,0))</x:f>
        <x:v>0</x:v>
      </x:c>
      <x:c r="O351" s="25" t="n">
        <x:f>F351*M351</x:f>
        <x:v>4.428</x:v>
      </x:c>
      <x:c r="P351" s="25" t="n">
        <x:f>G351*M351</x:f>
        <x:v>4.428</x:v>
      </x:c>
      <x:c r="Q351" s="25" t="n">
        <x:f>K351*M351+N351</x:f>
        <x:v>4.428</x:v>
      </x:c>
      <x:c r="R351" s="18" t="n">
        <x:f>K351-G351</x:f>
        <x:v>0</x:v>
      </x:c>
      <x:c r="S351" s="18" t="n">
        <x:f>INDEX('Dated offers'!$H$7:$H$305,MATCH($Z351,'Dated offers'!$A$7:$A$305,0))</x:f>
        <x:v>3541597</x:v>
      </x:c>
      <x:c r="T351" s="2" t="str">
        <x:f>IF(K351&lt;G351,"Order below requirement",IF(K351&lt;L351,"Below price tier",IF(ISNUMBER(S351),IF(K351&gt;S351,"Quantity exceeds snapshot","Within quantity snapshot"),"Stock not stated")))</x:f>
        <x:v>Within quantity snapshot</x:v>
      </x:c>
      <x:c r="U351" s="2" t="str">
        <x:f>INDEX('Dated offers'!$C$7:$C$305,MATCH($Z351,'Dated offers'!$A$7:$A$305,0))</x:f>
        <x:v>DigiKey</x:v>
      </x:c>
      <x:c r="V351" s="2" t="str">
        <x:f>INDEX('Dated offers'!$D$7:$D$305,MATCH($Z351,'Dated offers'!$A$7:$A$305,0))</x:f>
        <x:v>Not stated</x:v>
      </x:c>
      <x:c r="W351" s="24" t="n">
        <x:f>INDEX('Dated offers'!$E$7:$E$305,MATCH($Z351,'Dated offers'!$A$7:$A$305,0))</x:f>
        <x:v>46307.47807262732</x:v>
      </x:c>
      <x:c r="X351" s="2" t="b">
        <x:f>INDEX('Dated offers'!$N$7:$N$305,MATCH($Z351,'Dated offers'!$A$7:$A$305,0))</x:f>
        <x:v>0</x:v>
      </x:c>
      <x:c r="Y351" s="2" t="str">
        <x:f>INDEX('Dated offers'!$O$7:$O$305,MATCH($Z351,'Dated offers'!$A$7:$A$305,0))</x:f>
        <x:v>Unreserved inventory snapshot</x:v>
      </x:c>
      <x:c r="Z351" s="17" t="str">
        <x:v>OF0188</x:v>
      </x:c>
      <x:c r="AA351" s="2"/>
      <x:c r="AB351" s="2" t="str">
        <x:f>INDEX('Dated offers'!$Q$7:$Q$305,MATCH($Z351,'Dated offers'!$A$7:$A$305,0))</x:f>
        <x:v>https://www.digikey.com/en/products/detail/vishay-dale/CRCW04020000Z0ED/1177495</x:v>
      </x:c>
    </x:row>
    <x:row r="352" ht="24" customHeight="1">
      <x:c r="A352" s="2" t="str">
        <x:v>100 boards / nominal</x:v>
      </x:c>
      <x:c r="B352" s="17" t="str">
        <x:v>CRCW0402100KFKED</x:v>
      </x:c>
      <x:c r="C352" s="18" t="n">
        <x:v>100</x:v>
      </x:c>
      <x:c r="D352" s="27" t="n">
        <x:v>0</x:v>
      </x:c>
      <x:c r="E352" s="18" t="n">
        <x:f>INDEX('Assembly BOM'!$C$7:$C$162,MATCH($B352,'Assembly BOM'!$A$7:$A$162,0))</x:f>
        <x:v>17</x:v>
      </x:c>
      <x:c r="F352" s="18" t="n">
        <x:f>C352*E352</x:f>
        <x:v>1700</x:v>
      </x:c>
      <x:c r="G352" s="18" t="n">
        <x:f>ROUNDUP(F352*(1+D352),0)</x:f>
        <x:v>1700</x:v>
      </x:c>
      <x:c r="H352" s="18" t="n">
        <x:f>INDEX('Dated offers'!$F$7:$F$305,MATCH($Z352,'Dated offers'!$A$7:$A$305,0))</x:f>
        <x:v>100</x:v>
      </x:c>
      <x:c r="I352" s="18" t="n">
        <x:f>INDEX('Dated offers'!$G$7:$G$305,MATCH($Z352,'Dated offers'!$A$7:$A$305,0))</x:f>
        <x:v>100</x:v>
      </x:c>
      <x:c r="J352" s="18" t="n">
        <x:f>CEILING(MAX(G352,H352),I352)</x:f>
        <x:v>1700</x:v>
      </x:c>
      <x:c r="K352" s="18" t="n">
        <x:v>1700</x:v>
      </x:c>
      <x:c r="L352" s="18" t="n">
        <x:f>INDEX('Dated offers'!$I$7:$I$305,MATCH($Z352,'Dated offers'!$A$7:$A$305,0))</x:f>
        <x:v>1000</x:v>
      </x:c>
      <x:c r="M352" s="25" t="n">
        <x:f>INDEX('Dated offers'!$J$7:$J$305,MATCH($Z352,'Dated offers'!$A$7:$A$305,0))</x:f>
        <x:v>0.0032</x:v>
      </x:c>
      <x:c r="N352" s="25" t="n">
        <x:f>INDEX('Dated offers'!$K$7:$K$305,MATCH($Z352,'Dated offers'!$A$7:$A$305,0))</x:f>
        <x:v>0</x:v>
      </x:c>
      <x:c r="O352" s="25" t="n">
        <x:f>F352*M352</x:f>
        <x:v>5.44</x:v>
      </x:c>
      <x:c r="P352" s="25" t="n">
        <x:f>G352*M352</x:f>
        <x:v>5.44</x:v>
      </x:c>
      <x:c r="Q352" s="25" t="n">
        <x:f>K352*M352+N352</x:f>
        <x:v>5.44</x:v>
      </x:c>
      <x:c r="R352" s="18" t="n">
        <x:f>K352-G352</x:f>
        <x:v>0</x:v>
      </x:c>
      <x:c r="S352" s="18" t="n">
        <x:f>INDEX('Dated offers'!$H$7:$H$305,MATCH($Z352,'Dated offers'!$A$7:$A$305,0))</x:f>
        <x:v>49900</x:v>
      </x:c>
      <x:c r="T352" s="2" t="str">
        <x:f>IF(K352&lt;G352,"Order below requirement",IF(K352&lt;L352,"Below price tier",IF(ISNUMBER(S352),IF(K352&gt;S352,"Quantity exceeds snapshot","Within quantity snapshot"),"Stock not stated")))</x:f>
        <x:v>Within quantity snapshot</x:v>
      </x:c>
      <x:c r="U352" s="2" t="str">
        <x:f>INDEX('Dated offers'!$C$7:$C$305,MATCH($Z352,'Dated offers'!$A$7:$A$305,0))</x:f>
        <x:v>LCSC</x:v>
      </x:c>
      <x:c r="V352" s="2" t="str">
        <x:f>INDEX('Dated offers'!$D$7:$D$305,MATCH($Z352,'Dated offers'!$A$7:$A$305,0))</x:f>
        <x:v>C481918</x:v>
      </x:c>
      <x:c r="W352" s="24" t="n">
        <x:f>INDEX('Dated offers'!$E$7:$E$305,MATCH($Z352,'Dated offers'!$A$7:$A$305,0))</x:f>
        <x:v>46307.44741224537</x:v>
      </x:c>
      <x:c r="X352" s="2" t="b">
        <x:f>INDEX('Dated offers'!$N$7:$N$305,MATCH($Z352,'Dated offers'!$A$7:$A$305,0))</x:f>
        <x:v>0</x:v>
      </x:c>
      <x:c r="Y352" s="2" t="str">
        <x:f>INDEX('Dated offers'!$O$7:$O$305,MATCH($Z352,'Dated offers'!$A$7:$A$305,0))</x:f>
        <x:v>Unreserved inventory snapshot</x:v>
      </x:c>
      <x:c r="Z352" s="17" t="str">
        <x:v>OF0189</x:v>
      </x:c>
      <x:c r="AA352" s="2"/>
      <x:c r="AB352" s="2" t="str">
        <x:f>INDEX('Dated offers'!$Q$7:$Q$305,MATCH($Z352,'Dated offers'!$A$7:$A$305,0))</x:f>
        <x:v>https://www.lcsc.com/product-detail/C481918.html</x:v>
      </x:c>
    </x:row>
    <x:row r="353" ht="24" customHeight="1">
      <x:c r="A353" s="2" t="str">
        <x:v>100 boards / nominal</x:v>
      </x:c>
      <x:c r="B353" s="17" t="str">
        <x:v>CRCW0402100RFKED</x:v>
      </x:c>
      <x:c r="C353" s="18" t="n">
        <x:v>100</x:v>
      </x:c>
      <x:c r="D353" s="27" t="n">
        <x:v>0</x:v>
      </x:c>
      <x:c r="E353" s="18" t="n">
        <x:f>INDEX('Assembly BOM'!$C$7:$C$162,MATCH($B353,'Assembly BOM'!$A$7:$A$162,0))</x:f>
        <x:v>4</x:v>
      </x:c>
      <x:c r="F353" s="18" t="n">
        <x:f>C353*E353</x:f>
        <x:v>400</x:v>
      </x:c>
      <x:c r="G353" s="18" t="n">
        <x:f>ROUNDUP(F353*(1+D353),0)</x:f>
        <x:v>400</x:v>
      </x:c>
      <x:c r="H353" s="18" t="n">
        <x:f>INDEX('Dated offers'!$F$7:$F$305,MATCH($Z353,'Dated offers'!$A$7:$A$305,0))</x:f>
        <x:v>1</x:v>
      </x:c>
      <x:c r="I353" s="18" t="n">
        <x:f>INDEX('Dated offers'!$G$7:$G$305,MATCH($Z353,'Dated offers'!$A$7:$A$305,0))</x:f>
        <x:v>1</x:v>
      </x:c>
      <x:c r="J353" s="18" t="n">
        <x:f>CEILING(MAX(G353,H353),I353)</x:f>
        <x:v>400</x:v>
      </x:c>
      <x:c r="K353" s="18" t="n">
        <x:v>400</x:v>
      </x:c>
      <x:c r="L353" s="18" t="n">
        <x:f>INDEX('Dated offers'!$I$7:$I$305,MATCH($Z353,'Dated offers'!$A$7:$A$305,0))</x:f>
        <x:v>250</x:v>
      </x:c>
      <x:c r="M353" s="25" t="n">
        <x:f>INDEX('Dated offers'!$J$7:$J$305,MATCH($Z353,'Dated offers'!$A$7:$A$305,0))</x:f>
        <x:v>0.01228</x:v>
      </x:c>
      <x:c r="N353" s="25" t="n">
        <x:f>INDEX('Dated offers'!$K$7:$K$305,MATCH($Z353,'Dated offers'!$A$7:$A$305,0))</x:f>
        <x:v>0</x:v>
      </x:c>
      <x:c r="O353" s="25" t="n">
        <x:f>F353*M353</x:f>
        <x:v>4.912</x:v>
      </x:c>
      <x:c r="P353" s="25" t="n">
        <x:f>G353*M353</x:f>
        <x:v>4.912</x:v>
      </x:c>
      <x:c r="Q353" s="25" t="n">
        <x:f>K353*M353+N353</x:f>
        <x:v>4.912</x:v>
      </x:c>
      <x:c r="R353" s="18" t="n">
        <x:f>K353-G353</x:f>
        <x:v>0</x:v>
      </x:c>
      <x:c r="S353" s="18" t="n">
        <x:f>INDEX('Dated offers'!$H$7:$H$305,MATCH($Z353,'Dated offers'!$A$7:$A$305,0))</x:f>
        <x:v>2318138</x:v>
      </x:c>
      <x:c r="T353" s="2" t="str">
        <x:f>IF(K353&lt;G353,"Order below requirement",IF(K353&lt;L353,"Below price tier",IF(ISNUMBER(S353),IF(K353&gt;S353,"Quantity exceeds snapshot","Within quantity snapshot"),"Stock not stated")))</x:f>
        <x:v>Within quantity snapshot</x:v>
      </x:c>
      <x:c r="U353" s="2" t="str">
        <x:f>INDEX('Dated offers'!$C$7:$C$305,MATCH($Z353,'Dated offers'!$A$7:$A$305,0))</x:f>
        <x:v>DigiKey</x:v>
      </x:c>
      <x:c r="V353" s="2" t="str">
        <x:f>INDEX('Dated offers'!$D$7:$D$305,MATCH($Z353,'Dated offers'!$A$7:$A$305,0))</x:f>
        <x:v>Not stated</x:v>
      </x:c>
      <x:c r="W353" s="24" t="n">
        <x:f>INDEX('Dated offers'!$E$7:$E$305,MATCH($Z353,'Dated offers'!$A$7:$A$305,0))</x:f>
        <x:v>46307.47807262732</x:v>
      </x:c>
      <x:c r="X353" s="2" t="b">
        <x:f>INDEX('Dated offers'!$N$7:$N$305,MATCH($Z353,'Dated offers'!$A$7:$A$305,0))</x:f>
        <x:v>0</x:v>
      </x:c>
      <x:c r="Y353" s="2" t="str">
        <x:f>INDEX('Dated offers'!$O$7:$O$305,MATCH($Z353,'Dated offers'!$A$7:$A$305,0))</x:f>
        <x:v>Unreserved inventory snapshot</x:v>
      </x:c>
      <x:c r="Z353" s="17" t="str">
        <x:v>OF0190</x:v>
      </x:c>
      <x:c r="AA353" s="2"/>
      <x:c r="AB353" s="2" t="str">
        <x:f>INDEX('Dated offers'!$Q$7:$Q$305,MATCH($Z353,'Dated offers'!$A$7:$A$305,0))</x:f>
        <x:v>https://www.digikey.com/en/products/detail/vishay-dale/CRCW0402100RFKED/1177893</x:v>
      </x:c>
    </x:row>
    <x:row r="354" ht="24" customHeight="1">
      <x:c r="A354" s="2" t="str">
        <x:v>100 boards / nominal</x:v>
      </x:c>
      <x:c r="B354" s="17" t="str">
        <x:v>CRCW040210K0FKED</x:v>
      </x:c>
      <x:c r="C354" s="18" t="n">
        <x:v>100</x:v>
      </x:c>
      <x:c r="D354" s="27" t="n">
        <x:v>0</x:v>
      </x:c>
      <x:c r="E354" s="18" t="n">
        <x:f>INDEX('Assembly BOM'!$C$7:$C$162,MATCH($B354,'Assembly BOM'!$A$7:$A$162,0))</x:f>
        <x:v>27</x:v>
      </x:c>
      <x:c r="F354" s="18" t="n">
        <x:f>C354*E354</x:f>
        <x:v>2700</x:v>
      </x:c>
      <x:c r="G354" s="18" t="n">
        <x:f>ROUNDUP(F354*(1+D354),0)</x:f>
        <x:v>2700</x:v>
      </x:c>
      <x:c r="H354" s="18" t="n">
        <x:f>INDEX('Dated offers'!$F$7:$F$305,MATCH($Z354,'Dated offers'!$A$7:$A$305,0))</x:f>
        <x:v>10</x:v>
      </x:c>
      <x:c r="I354" s="18" t="n">
        <x:f>INDEX('Dated offers'!$G$7:$G$305,MATCH($Z354,'Dated offers'!$A$7:$A$305,0))</x:f>
        <x:v>10</x:v>
      </x:c>
      <x:c r="J354" s="18" t="n">
        <x:f>CEILING(MAX(G354,H354),I354)</x:f>
        <x:v>2700</x:v>
      </x:c>
      <x:c r="K354" s="18" t="n">
        <x:v>2700</x:v>
      </x:c>
      <x:c r="L354" s="18" t="n">
        <x:f>INDEX('Dated offers'!$I$7:$I$305,MATCH($Z354,'Dated offers'!$A$7:$A$305,0))</x:f>
        <x:v>1000</x:v>
      </x:c>
      <x:c r="M354" s="25" t="n">
        <x:f>INDEX('Dated offers'!$J$7:$J$305,MATCH($Z354,'Dated offers'!$A$7:$A$305,0))</x:f>
        <x:v>0.002</x:v>
      </x:c>
      <x:c r="N354" s="25" t="n">
        <x:f>INDEX('Dated offers'!$K$7:$K$305,MATCH($Z354,'Dated offers'!$A$7:$A$305,0))</x:f>
        <x:v>0</x:v>
      </x:c>
      <x:c r="O354" s="25" t="n">
        <x:f>F354*M354</x:f>
        <x:v>5.4</x:v>
      </x:c>
      <x:c r="P354" s="25" t="n">
        <x:f>G354*M354</x:f>
        <x:v>5.4</x:v>
      </x:c>
      <x:c r="Q354" s="25" t="n">
        <x:f>K354*M354+N354</x:f>
        <x:v>5.4</x:v>
      </x:c>
      <x:c r="R354" s="18" t="n">
        <x:f>K354-G354</x:f>
        <x:v>0</x:v>
      </x:c>
      <x:c r="S354" s="18" t="n">
        <x:f>INDEX('Dated offers'!$H$7:$H$305,MATCH($Z354,'Dated offers'!$A$7:$A$305,0))</x:f>
        <x:v>499990</x:v>
      </x:c>
      <x:c r="T354" s="2" t="str">
        <x:f>IF(K354&lt;G354,"Order below requirement",IF(K354&lt;L354,"Below price tier",IF(ISNUMBER(S354),IF(K354&gt;S354,"Quantity exceeds snapshot","Within quantity snapshot"),"Stock not stated")))</x:f>
        <x:v>Within quantity snapshot</x:v>
      </x:c>
      <x:c r="U354" s="2" t="str">
        <x:f>INDEX('Dated offers'!$C$7:$C$305,MATCH($Z354,'Dated offers'!$A$7:$A$305,0))</x:f>
        <x:v>LCSC</x:v>
      </x:c>
      <x:c r="V354" s="2" t="str">
        <x:f>INDEX('Dated offers'!$D$7:$D$305,MATCH($Z354,'Dated offers'!$A$7:$A$305,0))</x:f>
        <x:v>C71617</x:v>
      </x:c>
      <x:c r="W354" s="24" t="n">
        <x:f>INDEX('Dated offers'!$E$7:$E$305,MATCH($Z354,'Dated offers'!$A$7:$A$305,0))</x:f>
        <x:v>46307.44741956019</x:v>
      </x:c>
      <x:c r="X354" s="2" t="b">
        <x:f>INDEX('Dated offers'!$N$7:$N$305,MATCH($Z354,'Dated offers'!$A$7:$A$305,0))</x:f>
        <x:v>0</x:v>
      </x:c>
      <x:c r="Y354" s="2" t="str">
        <x:f>INDEX('Dated offers'!$O$7:$O$305,MATCH($Z354,'Dated offers'!$A$7:$A$305,0))</x:f>
        <x:v>Unreserved inventory snapshot</x:v>
      </x:c>
      <x:c r="Z354" s="17" t="str">
        <x:v>OF0191</x:v>
      </x:c>
      <x:c r="AA354" s="2"/>
      <x:c r="AB354" s="2" t="str">
        <x:f>INDEX('Dated offers'!$Q$7:$Q$305,MATCH($Z354,'Dated offers'!$A$7:$A$305,0))</x:f>
        <x:v>https://www.lcsc.com/product-detail/C71617.html</x:v>
      </x:c>
    </x:row>
    <x:row r="355" ht="24" customHeight="1">
      <x:c r="A355" s="2" t="str">
        <x:v>100 boards / nominal</x:v>
      </x:c>
      <x:c r="B355" s="17" t="str">
        <x:v>CRCW0402150KFKED</x:v>
      </x:c>
      <x:c r="C355" s="18" t="n">
        <x:v>100</x:v>
      </x:c>
      <x:c r="D355" s="27" t="n">
        <x:v>0</x:v>
      </x:c>
      <x:c r="E355" s="18" t="n">
        <x:f>INDEX('Assembly BOM'!$C$7:$C$162,MATCH($B355,'Assembly BOM'!$A$7:$A$162,0))</x:f>
        <x:v>1</x:v>
      </x:c>
      <x:c r="F355" s="18" t="n">
        <x:f>C355*E355</x:f>
        <x:v>100</x:v>
      </x:c>
      <x:c r="G355" s="18" t="n">
        <x:f>ROUNDUP(F355*(1+D355),0)</x:f>
        <x:v>100</x:v>
      </x:c>
      <x:c r="H355" s="18" t="n">
        <x:f>INDEX('Dated offers'!$F$7:$F$305,MATCH($Z355,'Dated offers'!$A$7:$A$305,0))</x:f>
        <x:v>1</x:v>
      </x:c>
      <x:c r="I355" s="18" t="n">
        <x:f>INDEX('Dated offers'!$G$7:$G$305,MATCH($Z355,'Dated offers'!$A$7:$A$305,0))</x:f>
        <x:v>1</x:v>
      </x:c>
      <x:c r="J355" s="18" t="n">
        <x:f>CEILING(MAX(G355,H355),I355)</x:f>
        <x:v>100</x:v>
      </x:c>
      <x:c r="K355" s="18" t="n">
        <x:v>100</x:v>
      </x:c>
      <x:c r="L355" s="18" t="n">
        <x:f>INDEX('Dated offers'!$I$7:$I$305,MATCH($Z355,'Dated offers'!$A$7:$A$305,0))</x:f>
        <x:v>100</x:v>
      </x:c>
      <x:c r="M355" s="25" t="n">
        <x:f>INDEX('Dated offers'!$J$7:$J$305,MATCH($Z355,'Dated offers'!$A$7:$A$305,0))</x:f>
        <x:v>0.0157</x:v>
      </x:c>
      <x:c r="N355" s="25" t="n">
        <x:f>INDEX('Dated offers'!$K$7:$K$305,MATCH($Z355,'Dated offers'!$A$7:$A$305,0))</x:f>
        <x:v>0</x:v>
      </x:c>
      <x:c r="O355" s="25" t="n">
        <x:f>F355*M355</x:f>
        <x:v>1.5699999999999998</x:v>
      </x:c>
      <x:c r="P355" s="25" t="n">
        <x:f>G355*M355</x:f>
        <x:v>1.5699999999999998</x:v>
      </x:c>
      <x:c r="Q355" s="25" t="n">
        <x:f>K355*M355+N355</x:f>
        <x:v>1.5699999999999998</x:v>
      </x:c>
      <x:c r="R355" s="18" t="n">
        <x:f>K355-G355</x:f>
        <x:v>0</x:v>
      </x:c>
      <x:c r="S355" s="18" t="n">
        <x:f>INDEX('Dated offers'!$H$7:$H$305,MATCH($Z355,'Dated offers'!$A$7:$A$305,0))</x:f>
        <x:v>198771</x:v>
      </x:c>
      <x:c r="T355" s="2" t="str">
        <x:f>IF(K355&lt;G355,"Order below requirement",IF(K355&lt;L355,"Below price tier",IF(ISNUMBER(S355),IF(K355&gt;S355,"Quantity exceeds snapshot","Within quantity snapshot"),"Stock not stated")))</x:f>
        <x:v>Within quantity snapshot</x:v>
      </x:c>
      <x:c r="U355" s="2" t="str">
        <x:f>INDEX('Dated offers'!$C$7:$C$305,MATCH($Z355,'Dated offers'!$A$7:$A$305,0))</x:f>
        <x:v>DigiKey</x:v>
      </x:c>
      <x:c r="V355" s="2" t="str">
        <x:f>INDEX('Dated offers'!$D$7:$D$305,MATCH($Z355,'Dated offers'!$A$7:$A$305,0))</x:f>
        <x:v>Not stated</x:v>
      </x:c>
      <x:c r="W355" s="24" t="n">
        <x:f>INDEX('Dated offers'!$E$7:$E$305,MATCH($Z355,'Dated offers'!$A$7:$A$305,0))</x:f>
        <x:v>46307.478072604164</x:v>
      </x:c>
      <x:c r="X355" s="2" t="b">
        <x:f>INDEX('Dated offers'!$N$7:$N$305,MATCH($Z355,'Dated offers'!$A$7:$A$305,0))</x:f>
        <x:v>0</x:v>
      </x:c>
      <x:c r="Y355" s="2" t="str">
        <x:f>INDEX('Dated offers'!$O$7:$O$305,MATCH($Z355,'Dated offers'!$A$7:$A$305,0))</x:f>
        <x:v>Unreserved inventory snapshot</x:v>
      </x:c>
      <x:c r="Z355" s="17" t="str">
        <x:v>OF0192</x:v>
      </x:c>
      <x:c r="AA355" s="2"/>
      <x:c r="AB355" s="2" t="str">
        <x:f>INDEX('Dated offers'!$Q$7:$Q$305,MATCH($Z355,'Dated offers'!$A$7:$A$305,0))</x:f>
        <x:v>https://www.digikey.com/en/products/detail/vishay-dale/CRCW0402150KFKED/1178253</x:v>
      </x:c>
    </x:row>
    <x:row r="356" ht="24" customHeight="1">
      <x:c r="A356" s="2" t="str">
        <x:v>100 boards / nominal</x:v>
      </x:c>
      <x:c r="B356" s="17" t="str">
        <x:v>CRCW0402150RFKED</x:v>
      </x:c>
      <x:c r="C356" s="18" t="n">
        <x:v>100</x:v>
      </x:c>
      <x:c r="D356" s="27" t="n">
        <x:v>0</x:v>
      </x:c>
      <x:c r="E356" s="18" t="n">
        <x:f>INDEX('Assembly BOM'!$C$7:$C$162,MATCH($B356,'Assembly BOM'!$A$7:$A$162,0))</x:f>
        <x:v>1</x:v>
      </x:c>
      <x:c r="F356" s="18" t="n">
        <x:f>C356*E356</x:f>
        <x:v>100</x:v>
      </x:c>
      <x:c r="G356" s="18" t="n">
        <x:f>ROUNDUP(F356*(1+D356),0)</x:f>
        <x:v>100</x:v>
      </x:c>
      <x:c r="H356" s="18" t="n">
        <x:f>INDEX('Dated offers'!$F$7:$F$305,MATCH($Z356,'Dated offers'!$A$7:$A$305,0))</x:f>
        <x:v>1</x:v>
      </x:c>
      <x:c r="I356" s="18" t="n">
        <x:f>INDEX('Dated offers'!$G$7:$G$305,MATCH($Z356,'Dated offers'!$A$7:$A$305,0))</x:f>
        <x:v>1</x:v>
      </x:c>
      <x:c r="J356" s="18" t="n">
        <x:f>CEILING(MAX(G356,H356),I356)</x:f>
        <x:v>100</x:v>
      </x:c>
      <x:c r="K356" s="18" t="n">
        <x:v>100</x:v>
      </x:c>
      <x:c r="L356" s="18" t="n">
        <x:f>INDEX('Dated offers'!$I$7:$I$305,MATCH($Z356,'Dated offers'!$A$7:$A$305,0))</x:f>
        <x:v>100</x:v>
      </x:c>
      <x:c r="M356" s="25" t="n">
        <x:f>INDEX('Dated offers'!$J$7:$J$305,MATCH($Z356,'Dated offers'!$A$7:$A$305,0))</x:f>
        <x:v>0.0157</x:v>
      </x:c>
      <x:c r="N356" s="25" t="n">
        <x:f>INDEX('Dated offers'!$K$7:$K$305,MATCH($Z356,'Dated offers'!$A$7:$A$305,0))</x:f>
        <x:v>0</x:v>
      </x:c>
      <x:c r="O356" s="25" t="n">
        <x:f>F356*M356</x:f>
        <x:v>1.5699999999999998</x:v>
      </x:c>
      <x:c r="P356" s="25" t="n">
        <x:f>G356*M356</x:f>
        <x:v>1.5699999999999998</x:v>
      </x:c>
      <x:c r="Q356" s="25" t="n">
        <x:f>K356*M356+N356</x:f>
        <x:v>1.5699999999999998</x:v>
      </x:c>
      <x:c r="R356" s="18" t="n">
        <x:f>K356-G356</x:f>
        <x:v>0</x:v>
      </x:c>
      <x:c r="S356" s="18" t="n">
        <x:f>INDEX('Dated offers'!$H$7:$H$305,MATCH($Z356,'Dated offers'!$A$7:$A$305,0))</x:f>
        <x:v>85136</x:v>
      </x:c>
      <x:c r="T356" s="2" t="str">
        <x:f>IF(K356&lt;G356,"Order below requirement",IF(K356&lt;L356,"Below price tier",IF(ISNUMBER(S356),IF(K356&gt;S356,"Quantity exceeds snapshot","Within quantity snapshot"),"Stock not stated")))</x:f>
        <x:v>Within quantity snapshot</x:v>
      </x:c>
      <x:c r="U356" s="2" t="str">
        <x:f>INDEX('Dated offers'!$C$7:$C$305,MATCH($Z356,'Dated offers'!$A$7:$A$305,0))</x:f>
        <x:v>DigiKey</x:v>
      </x:c>
      <x:c r="V356" s="2" t="str">
        <x:f>INDEX('Dated offers'!$D$7:$D$305,MATCH($Z356,'Dated offers'!$A$7:$A$305,0))</x:f>
        <x:v>Not stated</x:v>
      </x:c>
      <x:c r="W356" s="24" t="n">
        <x:f>INDEX('Dated offers'!$E$7:$E$305,MATCH($Z356,'Dated offers'!$A$7:$A$305,0))</x:f>
        <x:v>46307.478072604164</x:v>
      </x:c>
      <x:c r="X356" s="2" t="b">
        <x:f>INDEX('Dated offers'!$N$7:$N$305,MATCH($Z356,'Dated offers'!$A$7:$A$305,0))</x:f>
        <x:v>0</x:v>
      </x:c>
      <x:c r="Y356" s="2" t="str">
        <x:f>INDEX('Dated offers'!$O$7:$O$305,MATCH($Z356,'Dated offers'!$A$7:$A$305,0))</x:f>
        <x:v>Unreserved inventory snapshot</x:v>
      </x:c>
      <x:c r="Z356" s="17" t="str">
        <x:v>OF0193</x:v>
      </x:c>
      <x:c r="AA356" s="2"/>
      <x:c r="AB356" s="2" t="str">
        <x:f>INDEX('Dated offers'!$Q$7:$Q$305,MATCH($Z356,'Dated offers'!$A$7:$A$305,0))</x:f>
        <x:v>https://www.digikey.com/en/products/detail/vishay-dale/CRCW0402150RFKED/1177911</x:v>
      </x:c>
    </x:row>
    <x:row r="357" ht="24" customHeight="1">
      <x:c r="A357" s="2" t="str">
        <x:v>100 boards / nominal</x:v>
      </x:c>
      <x:c r="B357" s="17" t="str">
        <x:v>CRCW040215K0FKED</x:v>
      </x:c>
      <x:c r="C357" s="18" t="n">
        <x:v>100</x:v>
      </x:c>
      <x:c r="D357" s="27" t="n">
        <x:v>0</x:v>
      </x:c>
      <x:c r="E357" s="18" t="n">
        <x:f>INDEX('Assembly BOM'!$C$7:$C$162,MATCH($B357,'Assembly BOM'!$A$7:$A$162,0))</x:f>
        <x:v>1</x:v>
      </x:c>
      <x:c r="F357" s="18" t="n">
        <x:f>C357*E357</x:f>
        <x:v>100</x:v>
      </x:c>
      <x:c r="G357" s="18" t="n">
        <x:f>ROUNDUP(F357*(1+D357),0)</x:f>
        <x:v>100</x:v>
      </x:c>
      <x:c r="H357" s="18" t="n">
        <x:f>INDEX('Dated offers'!$F$7:$F$305,MATCH($Z357,'Dated offers'!$A$7:$A$305,0))</x:f>
        <x:v>1</x:v>
      </x:c>
      <x:c r="I357" s="18" t="n">
        <x:f>INDEX('Dated offers'!$G$7:$G$305,MATCH($Z357,'Dated offers'!$A$7:$A$305,0))</x:f>
        <x:v>1</x:v>
      </x:c>
      <x:c r="J357" s="18" t="n">
        <x:f>CEILING(MAX(G357,H357),I357)</x:f>
        <x:v>100</x:v>
      </x:c>
      <x:c r="K357" s="18" t="n">
        <x:v>100</x:v>
      </x:c>
      <x:c r="L357" s="18" t="n">
        <x:f>INDEX('Dated offers'!$I$7:$I$305,MATCH($Z357,'Dated offers'!$A$7:$A$305,0))</x:f>
        <x:v>100</x:v>
      </x:c>
      <x:c r="M357" s="25" t="n">
        <x:f>INDEX('Dated offers'!$J$7:$J$305,MATCH($Z357,'Dated offers'!$A$7:$A$305,0))</x:f>
        <x:v>0.0157</x:v>
      </x:c>
      <x:c r="N357" s="25" t="n">
        <x:f>INDEX('Dated offers'!$K$7:$K$305,MATCH($Z357,'Dated offers'!$A$7:$A$305,0))</x:f>
        <x:v>0</x:v>
      </x:c>
      <x:c r="O357" s="25" t="n">
        <x:f>F357*M357</x:f>
        <x:v>1.5699999999999998</x:v>
      </x:c>
      <x:c r="P357" s="25" t="n">
        <x:f>G357*M357</x:f>
        <x:v>1.5699999999999998</x:v>
      </x:c>
      <x:c r="Q357" s="25" t="n">
        <x:f>K357*M357+N357</x:f>
        <x:v>1.5699999999999998</x:v>
      </x:c>
      <x:c r="R357" s="18" t="n">
        <x:f>K357-G357</x:f>
        <x:v>0</x:v>
      </x:c>
      <x:c r="S357" s="18" t="n">
        <x:f>INDEX('Dated offers'!$H$7:$H$305,MATCH($Z357,'Dated offers'!$A$7:$A$305,0))</x:f>
        <x:v>515721</x:v>
      </x:c>
      <x:c r="T357" s="2" t="str">
        <x:f>IF(K357&lt;G357,"Order below requirement",IF(K357&lt;L357,"Below price tier",IF(ISNUMBER(S357),IF(K357&gt;S357,"Quantity exceeds snapshot","Within quantity snapshot"),"Stock not stated")))</x:f>
        <x:v>Within quantity snapshot</x:v>
      </x:c>
      <x:c r="U357" s="2" t="str">
        <x:f>INDEX('Dated offers'!$C$7:$C$305,MATCH($Z357,'Dated offers'!$A$7:$A$305,0))</x:f>
        <x:v>DigiKey</x:v>
      </x:c>
      <x:c r="V357" s="2" t="str">
        <x:f>INDEX('Dated offers'!$D$7:$D$305,MATCH($Z357,'Dated offers'!$A$7:$A$305,0))</x:f>
        <x:v>Not stated</x:v>
      </x:c>
      <x:c r="W357" s="24" t="n">
        <x:f>INDEX('Dated offers'!$E$7:$E$305,MATCH($Z357,'Dated offers'!$A$7:$A$305,0))</x:f>
        <x:v>46307.478072604164</x:v>
      </x:c>
      <x:c r="X357" s="2" t="b">
        <x:f>INDEX('Dated offers'!$N$7:$N$305,MATCH($Z357,'Dated offers'!$A$7:$A$305,0))</x:f>
        <x:v>0</x:v>
      </x:c>
      <x:c r="Y357" s="2" t="str">
        <x:f>INDEX('Dated offers'!$O$7:$O$305,MATCH($Z357,'Dated offers'!$A$7:$A$305,0))</x:f>
        <x:v>Unreserved inventory snapshot</x:v>
      </x:c>
      <x:c r="Z357" s="17" t="str">
        <x:v>OF0194</x:v>
      </x:c>
      <x:c r="AA357" s="2"/>
      <x:c r="AB357" s="2" t="str">
        <x:f>INDEX('Dated offers'!$Q$7:$Q$305,MATCH($Z357,'Dated offers'!$A$7:$A$305,0))</x:f>
        <x:v>https://www.digikey.com/en/products/detail/vishay-dale/CRCW040215K0FKED/1178139</x:v>
      </x:c>
    </x:row>
    <x:row r="358" ht="24" customHeight="1">
      <x:c r="A358" s="2" t="str">
        <x:v>100 boards / nominal</x:v>
      </x:c>
      <x:c r="B358" s="17" t="str">
        <x:v>CRCW040218K2FKED</x:v>
      </x:c>
      <x:c r="C358" s="18" t="n">
        <x:v>100</x:v>
      </x:c>
      <x:c r="D358" s="27" t="n">
        <x:v>0</x:v>
      </x:c>
      <x:c r="E358" s="18" t="n">
        <x:f>INDEX('Assembly BOM'!$C$7:$C$162,MATCH($B358,'Assembly BOM'!$A$7:$A$162,0))</x:f>
        <x:v>2</x:v>
      </x:c>
      <x:c r="F358" s="18" t="n">
        <x:f>C358*E358</x:f>
        <x:v>200</x:v>
      </x:c>
      <x:c r="G358" s="18" t="n">
        <x:f>ROUNDUP(F358*(1+D358),0)</x:f>
        <x:v>200</x:v>
      </x:c>
      <x:c r="H358" s="18" t="n">
        <x:f>INDEX('Dated offers'!$F$7:$F$305,MATCH($Z358,'Dated offers'!$A$7:$A$305,0))</x:f>
        <x:v>1</x:v>
      </x:c>
      <x:c r="I358" s="18" t="n">
        <x:f>INDEX('Dated offers'!$G$7:$G$305,MATCH($Z358,'Dated offers'!$A$7:$A$305,0))</x:f>
        <x:v>1</x:v>
      </x:c>
      <x:c r="J358" s="18" t="n">
        <x:f>CEILING(MAX(G358,H358),I358)</x:f>
        <x:v>200</x:v>
      </x:c>
      <x:c r="K358" s="18" t="n">
        <x:v>250</x:v>
      </x:c>
      <x:c r="L358" s="18" t="n">
        <x:f>INDEX('Dated offers'!$I$7:$I$305,MATCH($Z358,'Dated offers'!$A$7:$A$305,0))</x:f>
        <x:v>250</x:v>
      </x:c>
      <x:c r="M358" s="25" t="n">
        <x:f>INDEX('Dated offers'!$J$7:$J$305,MATCH($Z358,'Dated offers'!$A$7:$A$305,0))</x:f>
        <x:v>0.01228</x:v>
      </x:c>
      <x:c r="N358" s="25" t="n">
        <x:f>INDEX('Dated offers'!$K$7:$K$305,MATCH($Z358,'Dated offers'!$A$7:$A$305,0))</x:f>
        <x:v>0</x:v>
      </x:c>
      <x:c r="O358" s="25" t="n">
        <x:f>F358*M358</x:f>
        <x:v>2.456</x:v>
      </x:c>
      <x:c r="P358" s="25" t="n">
        <x:f>G358*M358</x:f>
        <x:v>2.456</x:v>
      </x:c>
      <x:c r="Q358" s="25" t="n">
        <x:f>K358*M358+N358</x:f>
        <x:v>3.07</x:v>
      </x:c>
      <x:c r="R358" s="18" t="n">
        <x:f>K358-G358</x:f>
        <x:v>50</x:v>
      </x:c>
      <x:c r="S358" s="18" t="n">
        <x:f>INDEX('Dated offers'!$H$7:$H$305,MATCH($Z358,'Dated offers'!$A$7:$A$305,0))</x:f>
        <x:v>140682</x:v>
      </x:c>
      <x:c r="T358" s="2" t="str">
        <x:f>IF(K358&lt;G358,"Order below requirement",IF(K358&lt;L358,"Below price tier",IF(ISNUMBER(S358),IF(K358&gt;S358,"Quantity exceeds snapshot","Within quantity snapshot"),"Stock not stated")))</x:f>
        <x:v>Within quantity snapshot</x:v>
      </x:c>
      <x:c r="U358" s="2" t="str">
        <x:f>INDEX('Dated offers'!$C$7:$C$305,MATCH($Z358,'Dated offers'!$A$7:$A$305,0))</x:f>
        <x:v>DigiKey</x:v>
      </x:c>
      <x:c r="V358" s="2" t="str">
        <x:f>INDEX('Dated offers'!$D$7:$D$305,MATCH($Z358,'Dated offers'!$A$7:$A$305,0))</x:f>
        <x:v>Not stated</x:v>
      </x:c>
      <x:c r="W358" s="24" t="n">
        <x:f>INDEX('Dated offers'!$E$7:$E$305,MATCH($Z358,'Dated offers'!$A$7:$A$305,0))</x:f>
        <x:v>46307.478072604164</x:v>
      </x:c>
      <x:c r="X358" s="2" t="b">
        <x:f>INDEX('Dated offers'!$N$7:$N$305,MATCH($Z358,'Dated offers'!$A$7:$A$305,0))</x:f>
        <x:v>0</x:v>
      </x:c>
      <x:c r="Y358" s="2" t="str">
        <x:f>INDEX('Dated offers'!$O$7:$O$305,MATCH($Z358,'Dated offers'!$A$7:$A$305,0))</x:f>
        <x:v>Unreserved inventory snapshot</x:v>
      </x:c>
      <x:c r="Z358" s="17" t="str">
        <x:v>OF0195</x:v>
      </x:c>
      <x:c r="AA358" s="2"/>
      <x:c r="AB358" s="2" t="str">
        <x:f>INDEX('Dated offers'!$Q$7:$Q$305,MATCH($Z358,'Dated offers'!$A$7:$A$305,0))</x:f>
        <x:v>https://www.digikey.com/en/products/detail/vishay-dale/CRCW040218K2FKED/1183265</x:v>
      </x:c>
    </x:row>
    <x:row r="359" ht="24" customHeight="1">
      <x:c r="A359" s="2" t="str">
        <x:v>100 boards / nominal</x:v>
      </x:c>
      <x:c r="B359" s="17" t="str">
        <x:v>CRCW04021K00FKED</x:v>
      </x:c>
      <x:c r="C359" s="18" t="n">
        <x:v>100</x:v>
      </x:c>
      <x:c r="D359" s="27" t="n">
        <x:v>0</x:v>
      </x:c>
      <x:c r="E359" s="18" t="n">
        <x:f>INDEX('Assembly BOM'!$C$7:$C$162,MATCH($B359,'Assembly BOM'!$A$7:$A$162,0))</x:f>
        <x:v>11</x:v>
      </x:c>
      <x:c r="F359" s="18" t="n">
        <x:f>C359*E359</x:f>
        <x:v>1100</x:v>
      </x:c>
      <x:c r="G359" s="18" t="n">
        <x:f>ROUNDUP(F359*(1+D359),0)</x:f>
        <x:v>1100</x:v>
      </x:c>
      <x:c r="H359" s="18" t="n">
        <x:f>INDEX('Dated offers'!$F$7:$F$305,MATCH($Z359,'Dated offers'!$A$7:$A$305,0))</x:f>
        <x:v>1</x:v>
      </x:c>
      <x:c r="I359" s="18" t="n">
        <x:f>INDEX('Dated offers'!$G$7:$G$305,MATCH($Z359,'Dated offers'!$A$7:$A$305,0))</x:f>
        <x:v>1</x:v>
      </x:c>
      <x:c r="J359" s="18" t="n">
        <x:f>CEILING(MAX(G359,H359),I359)</x:f>
        <x:v>1100</x:v>
      </x:c>
      <x:c r="K359" s="18" t="n">
        <x:v>1100</x:v>
      </x:c>
      <x:c r="L359" s="18" t="n">
        <x:f>INDEX('Dated offers'!$I$7:$I$305,MATCH($Z359,'Dated offers'!$A$7:$A$305,0))</x:f>
        <x:v>1000</x:v>
      </x:c>
      <x:c r="M359" s="25" t="n">
        <x:f>INDEX('Dated offers'!$J$7:$J$305,MATCH($Z359,'Dated offers'!$A$7:$A$305,0))</x:f>
        <x:v>0.00882</x:v>
      </x:c>
      <x:c r="N359" s="25" t="n">
        <x:f>INDEX('Dated offers'!$K$7:$K$305,MATCH($Z359,'Dated offers'!$A$7:$A$305,0))</x:f>
        <x:v>0</x:v>
      </x:c>
      <x:c r="O359" s="25" t="n">
        <x:f>F359*M359</x:f>
        <x:v>9.702</x:v>
      </x:c>
      <x:c r="P359" s="25" t="n">
        <x:f>G359*M359</x:f>
        <x:v>9.702</x:v>
      </x:c>
      <x:c r="Q359" s="25" t="n">
        <x:f>K359*M359+N359</x:f>
        <x:v>9.702</x:v>
      </x:c>
      <x:c r="R359" s="18" t="n">
        <x:f>K359-G359</x:f>
        <x:v>0</x:v>
      </x:c>
      <x:c r="S359" s="18" t="n">
        <x:f>INDEX('Dated offers'!$H$7:$H$305,MATCH($Z359,'Dated offers'!$A$7:$A$305,0))</x:f>
        <x:v>4776908</x:v>
      </x:c>
      <x:c r="T359" s="2" t="str">
        <x:f>IF(K359&lt;G359,"Order below requirement",IF(K359&lt;L359,"Below price tier",IF(ISNUMBER(S359),IF(K359&gt;S359,"Quantity exceeds snapshot","Within quantity snapshot"),"Stock not stated")))</x:f>
        <x:v>Within quantity snapshot</x:v>
      </x:c>
      <x:c r="U359" s="2" t="str">
        <x:f>INDEX('Dated offers'!$C$7:$C$305,MATCH($Z359,'Dated offers'!$A$7:$A$305,0))</x:f>
        <x:v>DigiKey</x:v>
      </x:c>
      <x:c r="V359" s="2" t="str">
        <x:f>INDEX('Dated offers'!$D$7:$D$305,MATCH($Z359,'Dated offers'!$A$7:$A$305,0))</x:f>
        <x:v>Not stated</x:v>
      </x:c>
      <x:c r="W359" s="24" t="n">
        <x:f>INDEX('Dated offers'!$E$7:$E$305,MATCH($Z359,'Dated offers'!$A$7:$A$305,0))</x:f>
        <x:v>46307.47807265046</x:v>
      </x:c>
      <x:c r="X359" s="2" t="b">
        <x:f>INDEX('Dated offers'!$N$7:$N$305,MATCH($Z359,'Dated offers'!$A$7:$A$305,0))</x:f>
        <x:v>0</x:v>
      </x:c>
      <x:c r="Y359" s="2" t="str">
        <x:f>INDEX('Dated offers'!$O$7:$O$305,MATCH($Z359,'Dated offers'!$A$7:$A$305,0))</x:f>
        <x:v>Unreserved inventory snapshot</x:v>
      </x:c>
      <x:c r="Z359" s="17" t="str">
        <x:v>OF0196</x:v>
      </x:c>
      <x:c r="AA359" s="2"/>
      <x:c r="AB359" s="2" t="str">
        <x:f>INDEX('Dated offers'!$Q$7:$Q$305,MATCH($Z359,'Dated offers'!$A$7:$A$305,0))</x:f>
        <x:v>https://www.digikey.com/en/products/detail/vishay-dale/CRCW04021K00FKED/1178007</x:v>
      </x:c>
    </x:row>
    <x:row r="360" ht="24" customHeight="1">
      <x:c r="A360" s="2" t="str">
        <x:v>100 boards / nominal</x:v>
      </x:c>
      <x:c r="B360" s="17" t="str">
        <x:v>CRCW04021M00FKED</x:v>
      </x:c>
      <x:c r="C360" s="18" t="n">
        <x:v>100</x:v>
      </x:c>
      <x:c r="D360" s="27" t="n">
        <x:v>0</x:v>
      </x:c>
      <x:c r="E360" s="18" t="n">
        <x:f>INDEX('Assembly BOM'!$C$7:$C$162,MATCH($B360,'Assembly BOM'!$A$7:$A$162,0))</x:f>
        <x:v>2</x:v>
      </x:c>
      <x:c r="F360" s="18" t="n">
        <x:f>C360*E360</x:f>
        <x:v>200</x:v>
      </x:c>
      <x:c r="G360" s="18" t="n">
        <x:f>ROUNDUP(F360*(1+D360),0)</x:f>
        <x:v>200</x:v>
      </x:c>
      <x:c r="H360" s="18" t="n">
        <x:f>INDEX('Dated offers'!$F$7:$F$305,MATCH($Z360,'Dated offers'!$A$7:$A$305,0))</x:f>
        <x:v>1</x:v>
      </x:c>
      <x:c r="I360" s="18" t="n">
        <x:f>INDEX('Dated offers'!$G$7:$G$305,MATCH($Z360,'Dated offers'!$A$7:$A$305,0))</x:f>
        <x:v>1</x:v>
      </x:c>
      <x:c r="J360" s="18" t="n">
        <x:f>CEILING(MAX(G360,H360),I360)</x:f>
        <x:v>200</x:v>
      </x:c>
      <x:c r="K360" s="18" t="n">
        <x:v>250</x:v>
      </x:c>
      <x:c r="L360" s="18" t="n">
        <x:f>INDEX('Dated offers'!$I$7:$I$305,MATCH($Z360,'Dated offers'!$A$7:$A$305,0))</x:f>
        <x:v>250</x:v>
      </x:c>
      <x:c r="M360" s="25" t="n">
        <x:f>INDEX('Dated offers'!$J$7:$J$305,MATCH($Z360,'Dated offers'!$A$7:$A$305,0))</x:f>
        <x:v>0.01228</x:v>
      </x:c>
      <x:c r="N360" s="25" t="n">
        <x:f>INDEX('Dated offers'!$K$7:$K$305,MATCH($Z360,'Dated offers'!$A$7:$A$305,0))</x:f>
        <x:v>0</x:v>
      </x:c>
      <x:c r="O360" s="25" t="n">
        <x:f>F360*M360</x:f>
        <x:v>2.456</x:v>
      </x:c>
      <x:c r="P360" s="25" t="n">
        <x:f>G360*M360</x:f>
        <x:v>2.456</x:v>
      </x:c>
      <x:c r="Q360" s="25" t="n">
        <x:f>K360*M360+N360</x:f>
        <x:v>3.07</x:v>
      </x:c>
      <x:c r="R360" s="18" t="n">
        <x:f>K360-G360</x:f>
        <x:v>50</x:v>
      </x:c>
      <x:c r="S360" s="18" t="n">
        <x:f>INDEX('Dated offers'!$H$7:$H$305,MATCH($Z360,'Dated offers'!$A$7:$A$305,0))</x:f>
        <x:v>1403164</x:v>
      </x:c>
      <x:c r="T360" s="2" t="str">
        <x:f>IF(K360&lt;G360,"Order below requirement",IF(K360&lt;L360,"Below price tier",IF(ISNUMBER(S360),IF(K360&gt;S360,"Quantity exceeds snapshot","Within quantity snapshot"),"Stock not stated")))</x:f>
        <x:v>Within quantity snapshot</x:v>
      </x:c>
      <x:c r="U360" s="2" t="str">
        <x:f>INDEX('Dated offers'!$C$7:$C$305,MATCH($Z360,'Dated offers'!$A$7:$A$305,0))</x:f>
        <x:v>DigiKey</x:v>
      </x:c>
      <x:c r="V360" s="2" t="str">
        <x:f>INDEX('Dated offers'!$D$7:$D$305,MATCH($Z360,'Dated offers'!$A$7:$A$305,0))</x:f>
        <x:v>Not stated</x:v>
      </x:c>
      <x:c r="W360" s="24" t="n">
        <x:f>INDEX('Dated offers'!$E$7:$E$305,MATCH($Z360,'Dated offers'!$A$7:$A$305,0))</x:f>
        <x:v>46307.47807265046</x:v>
      </x:c>
      <x:c r="X360" s="2" t="b">
        <x:f>INDEX('Dated offers'!$N$7:$N$305,MATCH($Z360,'Dated offers'!$A$7:$A$305,0))</x:f>
        <x:v>0</x:v>
      </x:c>
      <x:c r="Y360" s="2" t="str">
        <x:f>INDEX('Dated offers'!$O$7:$O$305,MATCH($Z360,'Dated offers'!$A$7:$A$305,0))</x:f>
        <x:v>Unreserved inventory snapshot</x:v>
      </x:c>
      <x:c r="Z360" s="17" t="str">
        <x:v>OF0197</x:v>
      </x:c>
      <x:c r="AA360" s="2"/>
      <x:c r="AB360" s="2" t="str">
        <x:f>INDEX('Dated offers'!$Q$7:$Q$305,MATCH($Z360,'Dated offers'!$A$7:$A$305,0))</x:f>
        <x:v>https://www.digikey.com/en/products/detail/vishay-dale/CRCW04021M00FKED/1183465</x:v>
      </x:c>
    </x:row>
    <x:row r="361" ht="24" customHeight="1">
      <x:c r="A361" s="2" t="str">
        <x:v>100 boards / nominal</x:v>
      </x:c>
      <x:c r="B361" s="17" t="str">
        <x:v>CRCW040220K0FKED</x:v>
      </x:c>
      <x:c r="C361" s="18" t="n">
        <x:v>100</x:v>
      </x:c>
      <x:c r="D361" s="27" t="n">
        <x:v>0</x:v>
      </x:c>
      <x:c r="E361" s="18" t="n">
        <x:f>INDEX('Assembly BOM'!$C$7:$C$162,MATCH($B361,'Assembly BOM'!$A$7:$A$162,0))</x:f>
        <x:v>3</x:v>
      </x:c>
      <x:c r="F361" s="18" t="n">
        <x:f>C361*E361</x:f>
        <x:v>300</x:v>
      </x:c>
      <x:c r="G361" s="18" t="n">
        <x:f>ROUNDUP(F361*(1+D361),0)</x:f>
        <x:v>300</x:v>
      </x:c>
      <x:c r="H361" s="18" t="n">
        <x:f>INDEX('Dated offers'!$F$7:$F$305,MATCH($Z361,'Dated offers'!$A$7:$A$305,0))</x:f>
        <x:v>1</x:v>
      </x:c>
      <x:c r="I361" s="18" t="n">
        <x:f>INDEX('Dated offers'!$G$7:$G$305,MATCH($Z361,'Dated offers'!$A$7:$A$305,0))</x:f>
        <x:v>1</x:v>
      </x:c>
      <x:c r="J361" s="18" t="n">
        <x:f>CEILING(MAX(G361,H361),I361)</x:f>
        <x:v>300</x:v>
      </x:c>
      <x:c r="K361" s="18" t="n">
        <x:v>300</x:v>
      </x:c>
      <x:c r="L361" s="18" t="n">
        <x:f>INDEX('Dated offers'!$I$7:$I$305,MATCH($Z361,'Dated offers'!$A$7:$A$305,0))</x:f>
        <x:v>250</x:v>
      </x:c>
      <x:c r="M361" s="25" t="n">
        <x:f>INDEX('Dated offers'!$J$7:$J$305,MATCH($Z361,'Dated offers'!$A$7:$A$305,0))</x:f>
        <x:v>0.01228</x:v>
      </x:c>
      <x:c r="N361" s="25" t="n">
        <x:f>INDEX('Dated offers'!$K$7:$K$305,MATCH($Z361,'Dated offers'!$A$7:$A$305,0))</x:f>
        <x:v>0</x:v>
      </x:c>
      <x:c r="O361" s="25" t="n">
        <x:f>F361*M361</x:f>
        <x:v>3.6839999999999997</x:v>
      </x:c>
      <x:c r="P361" s="25" t="n">
        <x:f>G361*M361</x:f>
        <x:v>3.6839999999999997</x:v>
      </x:c>
      <x:c r="Q361" s="25" t="n">
        <x:f>K361*M361+N361</x:f>
        <x:v>3.6839999999999997</x:v>
      </x:c>
      <x:c r="R361" s="18" t="n">
        <x:f>K361-G361</x:f>
        <x:v>0</x:v>
      </x:c>
      <x:c r="S361" s="18" t="n">
        <x:f>INDEX('Dated offers'!$H$7:$H$305,MATCH($Z361,'Dated offers'!$A$7:$A$305,0))</x:f>
        <x:v>878975</x:v>
      </x:c>
      <x:c r="T361" s="2" t="str">
        <x:f>IF(K361&lt;G361,"Order below requirement",IF(K361&lt;L361,"Below price tier",IF(ISNUMBER(S361),IF(K361&gt;S361,"Quantity exceeds snapshot","Within quantity snapshot"),"Stock not stated")))</x:f>
        <x:v>Within quantity snapshot</x:v>
      </x:c>
      <x:c r="U361" s="2" t="str">
        <x:f>INDEX('Dated offers'!$C$7:$C$305,MATCH($Z361,'Dated offers'!$A$7:$A$305,0))</x:f>
        <x:v>DigiKey</x:v>
      </x:c>
      <x:c r="V361" s="2" t="str">
        <x:f>INDEX('Dated offers'!$D$7:$D$305,MATCH($Z361,'Dated offers'!$A$7:$A$305,0))</x:f>
        <x:v>Not stated</x:v>
      </x:c>
      <x:c r="W361" s="24" t="n">
        <x:f>INDEX('Dated offers'!$E$7:$E$305,MATCH($Z361,'Dated offers'!$A$7:$A$305,0))</x:f>
        <x:v>46307.47807265046</x:v>
      </x:c>
      <x:c r="X361" s="2" t="b">
        <x:f>INDEX('Dated offers'!$N$7:$N$305,MATCH($Z361,'Dated offers'!$A$7:$A$305,0))</x:f>
        <x:v>0</x:v>
      </x:c>
      <x:c r="Y361" s="2" t="str">
        <x:f>INDEX('Dated offers'!$O$7:$O$305,MATCH($Z361,'Dated offers'!$A$7:$A$305,0))</x:f>
        <x:v>Unreserved inventory snapshot</x:v>
      </x:c>
      <x:c r="Z361" s="17" t="str">
        <x:v>OF0198</x:v>
      </x:c>
      <x:c r="AA361" s="2"/>
      <x:c r="AB361" s="2" t="str">
        <x:f>INDEX('Dated offers'!$Q$7:$Q$305,MATCH($Z361,'Dated offers'!$A$7:$A$305,0))</x:f>
        <x:v>https://www.digikey.com/en/products/detail/vishay-dale/CRCW040220K0FKED/1178153</x:v>
      </x:c>
    </x:row>
    <x:row r="362" ht="24" customHeight="1">
      <x:c r="A362" s="2" t="str">
        <x:v>100 boards / nominal</x:v>
      </x:c>
      <x:c r="B362" s="17" t="str">
        <x:v>CRCW040222R0FKED</x:v>
      </x:c>
      <x:c r="C362" s="18" t="n">
        <x:v>100</x:v>
      </x:c>
      <x:c r="D362" s="27" t="n">
        <x:v>0</x:v>
      </x:c>
      <x:c r="E362" s="18" t="n">
        <x:f>INDEX('Assembly BOM'!$C$7:$C$162,MATCH($B362,'Assembly BOM'!$A$7:$A$162,0))</x:f>
        <x:v>9</x:v>
      </x:c>
      <x:c r="F362" s="18" t="n">
        <x:f>C362*E362</x:f>
        <x:v>900</x:v>
      </x:c>
      <x:c r="G362" s="18" t="n">
        <x:f>ROUNDUP(F362*(1+D362),0)</x:f>
        <x:v>900</x:v>
      </x:c>
      <x:c r="H362" s="18" t="n">
        <x:f>INDEX('Dated offers'!$F$7:$F$305,MATCH($Z362,'Dated offers'!$A$7:$A$305,0))</x:f>
        <x:v>1</x:v>
      </x:c>
      <x:c r="I362" s="18" t="n">
        <x:f>INDEX('Dated offers'!$G$7:$G$305,MATCH($Z362,'Dated offers'!$A$7:$A$305,0))</x:f>
        <x:v>1</x:v>
      </x:c>
      <x:c r="J362" s="18" t="n">
        <x:f>CEILING(MAX(G362,H362),I362)</x:f>
        <x:v>900</x:v>
      </x:c>
      <x:c r="K362" s="18" t="n">
        <x:v>1000</x:v>
      </x:c>
      <x:c r="L362" s="18" t="n">
        <x:f>INDEX('Dated offers'!$I$7:$I$305,MATCH($Z362,'Dated offers'!$A$7:$A$305,0))</x:f>
        <x:v>1000</x:v>
      </x:c>
      <x:c r="M362" s="25" t="n">
        <x:f>INDEX('Dated offers'!$J$7:$J$305,MATCH($Z362,'Dated offers'!$A$7:$A$305,0))</x:f>
        <x:v>0.00882</x:v>
      </x:c>
      <x:c r="N362" s="25" t="n">
        <x:f>INDEX('Dated offers'!$K$7:$K$305,MATCH($Z362,'Dated offers'!$A$7:$A$305,0))</x:f>
        <x:v>0</x:v>
      </x:c>
      <x:c r="O362" s="25" t="n">
        <x:f>F362*M362</x:f>
        <x:v>7.938</x:v>
      </x:c>
      <x:c r="P362" s="25" t="n">
        <x:f>G362*M362</x:f>
        <x:v>7.938</x:v>
      </x:c>
      <x:c r="Q362" s="25" t="n">
        <x:f>K362*M362+N362</x:f>
        <x:v>8.82</x:v>
      </x:c>
      <x:c r="R362" s="18" t="n">
        <x:f>K362-G362</x:f>
        <x:v>100</x:v>
      </x:c>
      <x:c r="S362" s="18" t="n">
        <x:f>INDEX('Dated offers'!$H$7:$H$305,MATCH($Z362,'Dated offers'!$A$7:$A$305,0))</x:f>
        <x:v>1344218</x:v>
      </x:c>
      <x:c r="T362" s="2" t="str">
        <x:f>IF(K362&lt;G362,"Order below requirement",IF(K362&lt;L362,"Below price tier",IF(ISNUMBER(S362),IF(K362&gt;S362,"Quantity exceeds snapshot","Within quantity snapshot"),"Stock not stated")))</x:f>
        <x:v>Within quantity snapshot</x:v>
      </x:c>
      <x:c r="U362" s="2" t="str">
        <x:f>INDEX('Dated offers'!$C$7:$C$305,MATCH($Z362,'Dated offers'!$A$7:$A$305,0))</x:f>
        <x:v>DigiKey</x:v>
      </x:c>
      <x:c r="V362" s="2" t="str">
        <x:f>INDEX('Dated offers'!$D$7:$D$305,MATCH($Z362,'Dated offers'!$A$7:$A$305,0))</x:f>
        <x:v>Not stated</x:v>
      </x:c>
      <x:c r="W362" s="24" t="n">
        <x:f>INDEX('Dated offers'!$E$7:$E$305,MATCH($Z362,'Dated offers'!$A$7:$A$305,0))</x:f>
        <x:v>46307.47807265046</x:v>
      </x:c>
      <x:c r="X362" s="2" t="b">
        <x:f>INDEX('Dated offers'!$N$7:$N$305,MATCH($Z362,'Dated offers'!$A$7:$A$305,0))</x:f>
        <x:v>0</x:v>
      </x:c>
      <x:c r="Y362" s="2" t="str">
        <x:f>INDEX('Dated offers'!$O$7:$O$305,MATCH($Z362,'Dated offers'!$A$7:$A$305,0))</x:f>
        <x:v>Unreserved inventory snapshot</x:v>
      </x:c>
      <x:c r="Z362" s="17" t="str">
        <x:v>OF0199</x:v>
      </x:c>
      <x:c r="AA362" s="2"/>
      <x:c r="AB362" s="2" t="str">
        <x:f>INDEX('Dated offers'!$Q$7:$Q$305,MATCH($Z362,'Dated offers'!$A$7:$A$305,0))</x:f>
        <x:v>https://www.digikey.com/en/products/detail/vishay-dale/CRCW040222R0FKED/1177815</x:v>
      </x:c>
    </x:row>
    <x:row r="363" ht="24" customHeight="1">
      <x:c r="A363" s="2" t="str">
        <x:v>100 boards / nominal</x:v>
      </x:c>
      <x:c r="B363" s="17" t="str">
        <x:v>CRCW04022K49FKED</x:v>
      </x:c>
      <x:c r="C363" s="18" t="n">
        <x:v>100</x:v>
      </x:c>
      <x:c r="D363" s="27" t="n">
        <x:v>0</x:v>
      </x:c>
      <x:c r="E363" s="18" t="n">
        <x:f>INDEX('Assembly BOM'!$C$7:$C$162,MATCH($B363,'Assembly BOM'!$A$7:$A$162,0))</x:f>
        <x:v>3</x:v>
      </x:c>
      <x:c r="F363" s="18" t="n">
        <x:f>C363*E363</x:f>
        <x:v>300</x:v>
      </x:c>
      <x:c r="G363" s="18" t="n">
        <x:f>ROUNDUP(F363*(1+D363),0)</x:f>
        <x:v>300</x:v>
      </x:c>
      <x:c r="H363" s="18" t="n">
        <x:f>INDEX('Dated offers'!$F$7:$F$305,MATCH($Z363,'Dated offers'!$A$7:$A$305,0))</x:f>
        <x:v>1</x:v>
      </x:c>
      <x:c r="I363" s="18" t="n">
        <x:f>INDEX('Dated offers'!$G$7:$G$305,MATCH($Z363,'Dated offers'!$A$7:$A$305,0))</x:f>
        <x:v>1</x:v>
      </x:c>
      <x:c r="J363" s="18" t="n">
        <x:f>CEILING(MAX(G363,H363),I363)</x:f>
        <x:v>300</x:v>
      </x:c>
      <x:c r="K363" s="18" t="n">
        <x:v>300</x:v>
      </x:c>
      <x:c r="L363" s="18" t="n">
        <x:f>INDEX('Dated offers'!$I$7:$I$305,MATCH($Z363,'Dated offers'!$A$7:$A$305,0))</x:f>
        <x:v>250</x:v>
      </x:c>
      <x:c r="M363" s="25" t="n">
        <x:f>INDEX('Dated offers'!$J$7:$J$305,MATCH($Z363,'Dated offers'!$A$7:$A$305,0))</x:f>
        <x:v>0.01228</x:v>
      </x:c>
      <x:c r="N363" s="25" t="n">
        <x:f>INDEX('Dated offers'!$K$7:$K$305,MATCH($Z363,'Dated offers'!$A$7:$A$305,0))</x:f>
        <x:v>0</x:v>
      </x:c>
      <x:c r="O363" s="25" t="n">
        <x:f>F363*M363</x:f>
        <x:v>3.6839999999999997</x:v>
      </x:c>
      <x:c r="P363" s="25" t="n">
        <x:f>G363*M363</x:f>
        <x:v>3.6839999999999997</x:v>
      </x:c>
      <x:c r="Q363" s="25" t="n">
        <x:f>K363*M363+N363</x:f>
        <x:v>3.6839999999999997</x:v>
      </x:c>
      <x:c r="R363" s="18" t="n">
        <x:f>K363-G363</x:f>
        <x:v>0</x:v>
      </x:c>
      <x:c r="S363" s="18" t="n">
        <x:f>INDEX('Dated offers'!$H$7:$H$305,MATCH($Z363,'Dated offers'!$A$7:$A$305,0))</x:f>
        <x:v>261937</x:v>
      </x:c>
      <x:c r="T363" s="2" t="str">
        <x:f>IF(K363&lt;G363,"Order below requirement",IF(K363&lt;L363,"Below price tier",IF(ISNUMBER(S363),IF(K363&gt;S363,"Quantity exceeds snapshot","Within quantity snapshot"),"Stock not stated")))</x:f>
        <x:v>Within quantity snapshot</x:v>
      </x:c>
      <x:c r="U363" s="2" t="str">
        <x:f>INDEX('Dated offers'!$C$7:$C$305,MATCH($Z363,'Dated offers'!$A$7:$A$305,0))</x:f>
        <x:v>DigiKey</x:v>
      </x:c>
      <x:c r="V363" s="2" t="str">
        <x:f>INDEX('Dated offers'!$D$7:$D$305,MATCH($Z363,'Dated offers'!$A$7:$A$305,0))</x:f>
        <x:v>Not stated</x:v>
      </x:c>
      <x:c r="W363" s="24" t="n">
        <x:f>INDEX('Dated offers'!$E$7:$E$305,MATCH($Z363,'Dated offers'!$A$7:$A$305,0))</x:f>
        <x:v>46307.478072604164</x:v>
      </x:c>
      <x:c r="X363" s="2" t="b">
        <x:f>INDEX('Dated offers'!$N$7:$N$305,MATCH($Z363,'Dated offers'!$A$7:$A$305,0))</x:f>
        <x:v>0</x:v>
      </x:c>
      <x:c r="Y363" s="2" t="str">
        <x:f>INDEX('Dated offers'!$O$7:$O$305,MATCH($Z363,'Dated offers'!$A$7:$A$305,0))</x:f>
        <x:v>Unreserved inventory snapshot</x:v>
      </x:c>
      <x:c r="Z363" s="17" t="str">
        <x:v>OF0200</x:v>
      </x:c>
      <x:c r="AA363" s="2"/>
      <x:c r="AB363" s="2" t="str">
        <x:f>INDEX('Dated offers'!$Q$7:$Q$305,MATCH($Z363,'Dated offers'!$A$7:$A$305,0))</x:f>
        <x:v>https://www.digikey.com/en/products/detail/vishay-dale/CRCW04022K49FKED/1183166</x:v>
      </x:c>
    </x:row>
    <x:row r="364" ht="24" customHeight="1">
      <x:c r="A364" s="2" t="str">
        <x:v>100 boards / nominal</x:v>
      </x:c>
      <x:c r="B364" s="17" t="str">
        <x:v>CRCW0402499RFKED</x:v>
      </x:c>
      <x:c r="C364" s="18" t="n">
        <x:v>100</x:v>
      </x:c>
      <x:c r="D364" s="27" t="n">
        <x:v>0</x:v>
      </x:c>
      <x:c r="E364" s="18" t="n">
        <x:f>INDEX('Assembly BOM'!$C$7:$C$162,MATCH($B364,'Assembly BOM'!$A$7:$A$162,0))</x:f>
        <x:v>1</x:v>
      </x:c>
      <x:c r="F364" s="18" t="n">
        <x:f>C364*E364</x:f>
        <x:v>100</x:v>
      </x:c>
      <x:c r="G364" s="18" t="n">
        <x:f>ROUNDUP(F364*(1+D364),0)</x:f>
        <x:v>100</x:v>
      </x:c>
      <x:c r="H364" s="18" t="n">
        <x:f>INDEX('Dated offers'!$F$7:$F$305,MATCH($Z364,'Dated offers'!$A$7:$A$305,0))</x:f>
        <x:v>1</x:v>
      </x:c>
      <x:c r="I364" s="18" t="n">
        <x:f>INDEX('Dated offers'!$G$7:$G$305,MATCH($Z364,'Dated offers'!$A$7:$A$305,0))</x:f>
        <x:v>1</x:v>
      </x:c>
      <x:c r="J364" s="18" t="n">
        <x:f>CEILING(MAX(G364,H364),I364)</x:f>
        <x:v>100</x:v>
      </x:c>
      <x:c r="K364" s="18" t="n">
        <x:v>100</x:v>
      </x:c>
      <x:c r="L364" s="18" t="n">
        <x:f>INDEX('Dated offers'!$I$7:$I$305,MATCH($Z364,'Dated offers'!$A$7:$A$305,0))</x:f>
        <x:v>100</x:v>
      </x:c>
      <x:c r="M364" s="25" t="n">
        <x:f>INDEX('Dated offers'!$J$7:$J$305,MATCH($Z364,'Dated offers'!$A$7:$A$305,0))</x:f>
        <x:v>0.0157</x:v>
      </x:c>
      <x:c r="N364" s="25" t="n">
        <x:f>INDEX('Dated offers'!$K$7:$K$305,MATCH($Z364,'Dated offers'!$A$7:$A$305,0))</x:f>
        <x:v>0</x:v>
      </x:c>
      <x:c r="O364" s="25" t="n">
        <x:f>F364*M364</x:f>
        <x:v>1.5699999999999998</x:v>
      </x:c>
      <x:c r="P364" s="25" t="n">
        <x:f>G364*M364</x:f>
        <x:v>1.5699999999999998</x:v>
      </x:c>
      <x:c r="Q364" s="25" t="n">
        <x:f>K364*M364+N364</x:f>
        <x:v>1.5699999999999998</x:v>
      </x:c>
      <x:c r="R364" s="18" t="n">
        <x:f>K364-G364</x:f>
        <x:v>0</x:v>
      </x:c>
      <x:c r="S364" s="18" t="n">
        <x:f>INDEX('Dated offers'!$H$7:$H$305,MATCH($Z364,'Dated offers'!$A$7:$A$305,0))</x:f>
        <x:v>538356</x:v>
      </x:c>
      <x:c r="T364" s="2" t="str">
        <x:f>IF(K364&lt;G364,"Order below requirement",IF(K364&lt;L364,"Below price tier",IF(ISNUMBER(S364),IF(K364&gt;S364,"Quantity exceeds snapshot","Within quantity snapshot"),"Stock not stated")))</x:f>
        <x:v>Within quantity snapshot</x:v>
      </x:c>
      <x:c r="U364" s="2" t="str">
        <x:f>INDEX('Dated offers'!$C$7:$C$305,MATCH($Z364,'Dated offers'!$A$7:$A$305,0))</x:f>
        <x:v>DigiKey</x:v>
      </x:c>
      <x:c r="V364" s="2" t="str">
        <x:f>INDEX('Dated offers'!$D$7:$D$305,MATCH($Z364,'Dated offers'!$A$7:$A$305,0))</x:f>
        <x:v>Not stated</x:v>
      </x:c>
      <x:c r="W364" s="24" t="n">
        <x:f>INDEX('Dated offers'!$E$7:$E$305,MATCH($Z364,'Dated offers'!$A$7:$A$305,0))</x:f>
        <x:v>46307.478072604164</x:v>
      </x:c>
      <x:c r="X364" s="2" t="b">
        <x:f>INDEX('Dated offers'!$N$7:$N$305,MATCH($Z364,'Dated offers'!$A$7:$A$305,0))</x:f>
        <x:v>0</x:v>
      </x:c>
      <x:c r="Y364" s="2" t="str">
        <x:f>INDEX('Dated offers'!$O$7:$O$305,MATCH($Z364,'Dated offers'!$A$7:$A$305,0))</x:f>
        <x:v>Unreserved inventory snapshot</x:v>
      </x:c>
      <x:c r="Z364" s="17" t="str">
        <x:v>OF0201</x:v>
      </x:c>
      <x:c r="AA364" s="2"/>
      <x:c r="AB364" s="2" t="str">
        <x:f>INDEX('Dated offers'!$Q$7:$Q$305,MATCH($Z364,'Dated offers'!$A$7:$A$305,0))</x:f>
        <x:v>https://www.digikey.com/en/products/detail/vishay-dale/CRCW0402499RFKED/1183088</x:v>
      </x:c>
    </x:row>
    <x:row r="365" ht="24" customHeight="1">
      <x:c r="A365" s="2" t="str">
        <x:v>100 boards / nominal</x:v>
      </x:c>
      <x:c r="B365" s="17" t="str">
        <x:v>CRCW04024K70FKED</x:v>
      </x:c>
      <x:c r="C365" s="18" t="n">
        <x:v>100</x:v>
      </x:c>
      <x:c r="D365" s="27" t="n">
        <x:v>0</x:v>
      </x:c>
      <x:c r="E365" s="18" t="n">
        <x:f>INDEX('Assembly BOM'!$C$7:$C$162,MATCH($B365,'Assembly BOM'!$A$7:$A$162,0))</x:f>
        <x:v>4</x:v>
      </x:c>
      <x:c r="F365" s="18" t="n">
        <x:f>C365*E365</x:f>
        <x:v>400</x:v>
      </x:c>
      <x:c r="G365" s="18" t="n">
        <x:f>ROUNDUP(F365*(1+D365),0)</x:f>
        <x:v>400</x:v>
      </x:c>
      <x:c r="H365" s="18" t="n">
        <x:f>INDEX('Dated offers'!$F$7:$F$305,MATCH($Z365,'Dated offers'!$A$7:$A$305,0))</x:f>
        <x:v>1</x:v>
      </x:c>
      <x:c r="I365" s="18" t="n">
        <x:f>INDEX('Dated offers'!$G$7:$G$305,MATCH($Z365,'Dated offers'!$A$7:$A$305,0))</x:f>
        <x:v>1</x:v>
      </x:c>
      <x:c r="J365" s="18" t="n">
        <x:f>CEILING(MAX(G365,H365),I365)</x:f>
        <x:v>400</x:v>
      </x:c>
      <x:c r="K365" s="18" t="n">
        <x:v>400</x:v>
      </x:c>
      <x:c r="L365" s="18" t="n">
        <x:f>INDEX('Dated offers'!$I$7:$I$305,MATCH($Z365,'Dated offers'!$A$7:$A$305,0))</x:f>
        <x:v>250</x:v>
      </x:c>
      <x:c r="M365" s="25" t="n">
        <x:f>INDEX('Dated offers'!$J$7:$J$305,MATCH($Z365,'Dated offers'!$A$7:$A$305,0))</x:f>
        <x:v>0.01228</x:v>
      </x:c>
      <x:c r="N365" s="25" t="n">
        <x:f>INDEX('Dated offers'!$K$7:$K$305,MATCH($Z365,'Dated offers'!$A$7:$A$305,0))</x:f>
        <x:v>0</x:v>
      </x:c>
      <x:c r="O365" s="25" t="n">
        <x:f>F365*M365</x:f>
        <x:v>4.912</x:v>
      </x:c>
      <x:c r="P365" s="25" t="n">
        <x:f>G365*M365</x:f>
        <x:v>4.912</x:v>
      </x:c>
      <x:c r="Q365" s="25" t="n">
        <x:f>K365*M365+N365</x:f>
        <x:v>4.912</x:v>
      </x:c>
      <x:c r="R365" s="18" t="n">
        <x:f>K365-G365</x:f>
        <x:v>0</x:v>
      </x:c>
      <x:c r="S365" s="18" t="n">
        <x:f>INDEX('Dated offers'!$H$7:$H$305,MATCH($Z365,'Dated offers'!$A$7:$A$305,0))</x:f>
        <x:v>1653620</x:v>
      </x:c>
      <x:c r="T365" s="2" t="str">
        <x:f>IF(K365&lt;G365,"Order below requirement",IF(K365&lt;L365,"Below price tier",IF(ISNUMBER(S365),IF(K365&gt;S365,"Quantity exceeds snapshot","Within quantity snapshot"),"Stock not stated")))</x:f>
        <x:v>Within quantity snapshot</x:v>
      </x:c>
      <x:c r="U365" s="2" t="str">
        <x:f>INDEX('Dated offers'!$C$7:$C$305,MATCH($Z365,'Dated offers'!$A$7:$A$305,0))</x:f>
        <x:v>DigiKey</x:v>
      </x:c>
      <x:c r="V365" s="2" t="str">
        <x:f>INDEX('Dated offers'!$D$7:$D$305,MATCH($Z365,'Dated offers'!$A$7:$A$305,0))</x:f>
        <x:v>Not stated</x:v>
      </x:c>
      <x:c r="W365" s="24" t="n">
        <x:f>INDEX('Dated offers'!$E$7:$E$305,MATCH($Z365,'Dated offers'!$A$7:$A$305,0))</x:f>
        <x:v>46307.47807261574</x:v>
      </x:c>
      <x:c r="X365" s="2" t="b">
        <x:f>INDEX('Dated offers'!$N$7:$N$305,MATCH($Z365,'Dated offers'!$A$7:$A$305,0))</x:f>
        <x:v>0</x:v>
      </x:c>
      <x:c r="Y365" s="2" t="str">
        <x:f>INDEX('Dated offers'!$O$7:$O$305,MATCH($Z365,'Dated offers'!$A$7:$A$305,0))</x:f>
        <x:v>Unreserved inventory snapshot</x:v>
      </x:c>
      <x:c r="Z365" s="17" t="str">
        <x:v>OF0202</x:v>
      </x:c>
      <x:c r="AA365" s="2"/>
      <x:c r="AB365" s="2" t="str">
        <x:f>INDEX('Dated offers'!$Q$7:$Q$305,MATCH($Z365,'Dated offers'!$A$7:$A$305,0))</x:f>
        <x:v>https://www.digikey.com/en/products/detail/vishay-dale/CRCW04024K70FKED/1178083</x:v>
      </x:c>
    </x:row>
    <x:row r="366" ht="24" customHeight="1">
      <x:c r="A366" s="2" t="str">
        <x:v>100 boards / nominal</x:v>
      </x:c>
      <x:c r="B366" s="17" t="str">
        <x:v>CRCW0402510RFKED</x:v>
      </x:c>
      <x:c r="C366" s="18" t="n">
        <x:v>100</x:v>
      </x:c>
      <x:c r="D366" s="27" t="n">
        <x:v>0</x:v>
      </x:c>
      <x:c r="E366" s="18" t="n">
        <x:f>INDEX('Assembly BOM'!$C$7:$C$162,MATCH($B366,'Assembly BOM'!$A$7:$A$162,0))</x:f>
        <x:v>2</x:v>
      </x:c>
      <x:c r="F366" s="18" t="n">
        <x:f>C366*E366</x:f>
        <x:v>200</x:v>
      </x:c>
      <x:c r="G366" s="18" t="n">
        <x:f>ROUNDUP(F366*(1+D366),0)</x:f>
        <x:v>200</x:v>
      </x:c>
      <x:c r="H366" s="18" t="n">
        <x:f>INDEX('Dated offers'!$F$7:$F$305,MATCH($Z366,'Dated offers'!$A$7:$A$305,0))</x:f>
        <x:v>1</x:v>
      </x:c>
      <x:c r="I366" s="18" t="n">
        <x:f>INDEX('Dated offers'!$G$7:$G$305,MATCH($Z366,'Dated offers'!$A$7:$A$305,0))</x:f>
        <x:v>1</x:v>
      </x:c>
      <x:c r="J366" s="18" t="n">
        <x:f>CEILING(MAX(G366,H366),I366)</x:f>
        <x:v>200</x:v>
      </x:c>
      <x:c r="K366" s="18" t="n">
        <x:v>250</x:v>
      </x:c>
      <x:c r="L366" s="18" t="n">
        <x:f>INDEX('Dated offers'!$I$7:$I$305,MATCH($Z366,'Dated offers'!$A$7:$A$305,0))</x:f>
        <x:v>250</x:v>
      </x:c>
      <x:c r="M366" s="25" t="n">
        <x:f>INDEX('Dated offers'!$J$7:$J$305,MATCH($Z366,'Dated offers'!$A$7:$A$305,0))</x:f>
        <x:v>0.013</x:v>
      </x:c>
      <x:c r="N366" s="25" t="n">
        <x:f>INDEX('Dated offers'!$K$7:$K$305,MATCH($Z366,'Dated offers'!$A$7:$A$305,0))</x:f>
        <x:v>0</x:v>
      </x:c>
      <x:c r="O366" s="25" t="n">
        <x:f>F366*M366</x:f>
        <x:v>2.6</x:v>
      </x:c>
      <x:c r="P366" s="25" t="n">
        <x:f>G366*M366</x:f>
        <x:v>2.6</x:v>
      </x:c>
      <x:c r="Q366" s="25" t="n">
        <x:f>K366*M366+N366</x:f>
        <x:v>3.25</x:v>
      </x:c>
      <x:c r="R366" s="18" t="n">
        <x:f>K366-G366</x:f>
        <x:v>50</x:v>
      </x:c>
      <x:c r="S366" s="18" t="n">
        <x:f>INDEX('Dated offers'!$H$7:$H$305,MATCH($Z366,'Dated offers'!$A$7:$A$305,0))</x:f>
        <x:v>234547</x:v>
      </x:c>
      <x:c r="T366" s="2" t="str">
        <x:f>IF(K366&lt;G366,"Order below requirement",IF(K366&lt;L366,"Below price tier",IF(ISNUMBER(S366),IF(K366&gt;S366,"Quantity exceeds snapshot","Within quantity snapshot"),"Stock not stated")))</x:f>
        <x:v>Within quantity snapshot</x:v>
      </x:c>
      <x:c r="U366" s="2" t="str">
        <x:f>INDEX('Dated offers'!$C$7:$C$305,MATCH($Z366,'Dated offers'!$A$7:$A$305,0))</x:f>
        <x:v>DigiKey</x:v>
      </x:c>
      <x:c r="V366" s="2" t="str">
        <x:f>INDEX('Dated offers'!$D$7:$D$305,MATCH($Z366,'Dated offers'!$A$7:$A$305,0))</x:f>
        <x:v>Not stated</x:v>
      </x:c>
      <x:c r="W366" s="24" t="n">
        <x:f>INDEX('Dated offers'!$E$7:$E$305,MATCH($Z366,'Dated offers'!$A$7:$A$305,0))</x:f>
        <x:v>46307.47807261574</x:v>
      </x:c>
      <x:c r="X366" s="2" t="b">
        <x:f>INDEX('Dated offers'!$N$7:$N$305,MATCH($Z366,'Dated offers'!$A$7:$A$305,0))</x:f>
        <x:v>0</x:v>
      </x:c>
      <x:c r="Y366" s="2" t="str">
        <x:f>INDEX('Dated offers'!$O$7:$O$305,MATCH($Z366,'Dated offers'!$A$7:$A$305,0))</x:f>
        <x:v>Unreserved inventory snapshot</x:v>
      </x:c>
      <x:c r="Z366" s="17" t="str">
        <x:v>OF0203</x:v>
      </x:c>
      <x:c r="AA366" s="2"/>
      <x:c r="AB366" s="2" t="str">
        <x:f>INDEX('Dated offers'!$Q$7:$Q$305,MATCH($Z366,'Dated offers'!$A$7:$A$305,0))</x:f>
        <x:v>https://www.digikey.com/en/products/detail/vishay-dale/CRCW0402510RFKED/1183089</x:v>
      </x:c>
    </x:row>
    <x:row r="367" ht="24" customHeight="1">
      <x:c r="A367" s="2" t="str">
        <x:v>100 boards / nominal</x:v>
      </x:c>
      <x:c r="B367" s="17" t="str">
        <x:v>CRCW04025K10FKED</x:v>
      </x:c>
      <x:c r="C367" s="18" t="n">
        <x:v>100</x:v>
      </x:c>
      <x:c r="D367" s="27" t="n">
        <x:v>0</x:v>
      </x:c>
      <x:c r="E367" s="18" t="n">
        <x:f>INDEX('Assembly BOM'!$C$7:$C$162,MATCH($B367,'Assembly BOM'!$A$7:$A$162,0))</x:f>
        <x:v>2</x:v>
      </x:c>
      <x:c r="F367" s="18" t="n">
        <x:f>C367*E367</x:f>
        <x:v>200</x:v>
      </x:c>
      <x:c r="G367" s="18" t="n">
        <x:f>ROUNDUP(F367*(1+D367),0)</x:f>
        <x:v>200</x:v>
      </x:c>
      <x:c r="H367" s="18" t="n">
        <x:f>INDEX('Dated offers'!$F$7:$F$305,MATCH($Z367,'Dated offers'!$A$7:$A$305,0))</x:f>
        <x:v>1</x:v>
      </x:c>
      <x:c r="I367" s="18" t="n">
        <x:f>INDEX('Dated offers'!$G$7:$G$305,MATCH($Z367,'Dated offers'!$A$7:$A$305,0))</x:f>
        <x:v>1</x:v>
      </x:c>
      <x:c r="J367" s="18" t="n">
        <x:f>CEILING(MAX(G367,H367),I367)</x:f>
        <x:v>200</x:v>
      </x:c>
      <x:c r="K367" s="18" t="n">
        <x:v>250</x:v>
      </x:c>
      <x:c r="L367" s="18" t="n">
        <x:f>INDEX('Dated offers'!$I$7:$I$305,MATCH($Z367,'Dated offers'!$A$7:$A$305,0))</x:f>
        <x:v>250</x:v>
      </x:c>
      <x:c r="M367" s="25" t="n">
        <x:f>INDEX('Dated offers'!$J$7:$J$305,MATCH($Z367,'Dated offers'!$A$7:$A$305,0))</x:f>
        <x:v>0.01228</x:v>
      </x:c>
      <x:c r="N367" s="25" t="n">
        <x:f>INDEX('Dated offers'!$K$7:$K$305,MATCH($Z367,'Dated offers'!$A$7:$A$305,0))</x:f>
        <x:v>0</x:v>
      </x:c>
      <x:c r="O367" s="25" t="n">
        <x:f>F367*M367</x:f>
        <x:v>2.456</x:v>
      </x:c>
      <x:c r="P367" s="25" t="n">
        <x:f>G367*M367</x:f>
        <x:v>2.456</x:v>
      </x:c>
      <x:c r="Q367" s="25" t="n">
        <x:f>K367*M367+N367</x:f>
        <x:v>3.07</x:v>
      </x:c>
      <x:c r="R367" s="18" t="n">
        <x:f>K367-G367</x:f>
        <x:v>50</x:v>
      </x:c>
      <x:c r="S367" s="18" t="n">
        <x:f>INDEX('Dated offers'!$H$7:$H$305,MATCH($Z367,'Dated offers'!$A$7:$A$305,0))</x:f>
        <x:v>134873</x:v>
      </x:c>
      <x:c r="T367" s="2" t="str">
        <x:f>IF(K367&lt;G367,"Order below requirement",IF(K367&lt;L367,"Below price tier",IF(ISNUMBER(S367),IF(K367&gt;S367,"Quantity exceeds snapshot","Within quantity snapshot"),"Stock not stated")))</x:f>
        <x:v>Within quantity snapshot</x:v>
      </x:c>
      <x:c r="U367" s="2" t="str">
        <x:f>INDEX('Dated offers'!$C$7:$C$305,MATCH($Z367,'Dated offers'!$A$7:$A$305,0))</x:f>
        <x:v>DigiKey</x:v>
      </x:c>
      <x:c r="V367" s="2" t="str">
        <x:f>INDEX('Dated offers'!$D$7:$D$305,MATCH($Z367,'Dated offers'!$A$7:$A$305,0))</x:f>
        <x:v>Not stated</x:v>
      </x:c>
      <x:c r="W367" s="24" t="n">
        <x:f>INDEX('Dated offers'!$E$7:$E$305,MATCH($Z367,'Dated offers'!$A$7:$A$305,0))</x:f>
        <x:v>46307.47807267361</x:v>
      </x:c>
      <x:c r="X367" s="2" t="b">
        <x:f>INDEX('Dated offers'!$N$7:$N$305,MATCH($Z367,'Dated offers'!$A$7:$A$305,0))</x:f>
        <x:v>0</x:v>
      </x:c>
      <x:c r="Y367" s="2" t="str">
        <x:f>INDEX('Dated offers'!$O$7:$O$305,MATCH($Z367,'Dated offers'!$A$7:$A$305,0))</x:f>
        <x:v>Unreserved inventory snapshot</x:v>
      </x:c>
      <x:c r="Z367" s="17" t="str">
        <x:v>OF0204</x:v>
      </x:c>
      <x:c r="AA367" s="2"/>
      <x:c r="AB367" s="2" t="str">
        <x:f>INDEX('Dated offers'!$Q$7:$Q$305,MATCH($Z367,'Dated offers'!$A$7:$A$305,0))</x:f>
        <x:v>https://www.digikey.com/en/products/detail/vishay-dale/CRCW04025K10FKED/1178087</x:v>
      </x:c>
    </x:row>
    <x:row r="368" ht="24" customHeight="1">
      <x:c r="A368" s="2" t="str">
        <x:v>100 boards / nominal</x:v>
      </x:c>
      <x:c r="B368" s="17" t="str">
        <x:v>CRCW080575R0FKEA</x:v>
      </x:c>
      <x:c r="C368" s="18" t="n">
        <x:v>100</x:v>
      </x:c>
      <x:c r="D368" s="27" t="n">
        <x:v>0</x:v>
      </x:c>
      <x:c r="E368" s="18" t="n">
        <x:f>INDEX('Assembly BOM'!$C$7:$C$162,MATCH($B368,'Assembly BOM'!$A$7:$A$162,0))</x:f>
        <x:v>4</x:v>
      </x:c>
      <x:c r="F368" s="18" t="n">
        <x:f>C368*E368</x:f>
        <x:v>400</x:v>
      </x:c>
      <x:c r="G368" s="18" t="n">
        <x:f>ROUNDUP(F368*(1+D368),0)</x:f>
        <x:v>400</x:v>
      </x:c>
      <x:c r="H368" s="18" t="n">
        <x:f>INDEX('Dated offers'!$F$7:$F$305,MATCH($Z368,'Dated offers'!$A$7:$A$305,0))</x:f>
        <x:v>1</x:v>
      </x:c>
      <x:c r="I368" s="18" t="n">
        <x:f>INDEX('Dated offers'!$G$7:$G$305,MATCH($Z368,'Dated offers'!$A$7:$A$305,0))</x:f>
        <x:v>1</x:v>
      </x:c>
      <x:c r="J368" s="18" t="n">
        <x:f>CEILING(MAX(G368,H368),I368)</x:f>
        <x:v>400</x:v>
      </x:c>
      <x:c r="K368" s="18" t="n">
        <x:v>400</x:v>
      </x:c>
      <x:c r="L368" s="18" t="n">
        <x:f>INDEX('Dated offers'!$I$7:$I$305,MATCH($Z368,'Dated offers'!$A$7:$A$305,0))</x:f>
        <x:v>250</x:v>
      </x:c>
      <x:c r="M368" s="25" t="n">
        <x:f>INDEX('Dated offers'!$J$7:$J$305,MATCH($Z368,'Dated offers'!$A$7:$A$305,0))</x:f>
        <x:v>0.01904</x:v>
      </x:c>
      <x:c r="N368" s="25" t="n">
        <x:f>INDEX('Dated offers'!$K$7:$K$305,MATCH($Z368,'Dated offers'!$A$7:$A$305,0))</x:f>
        <x:v>0</x:v>
      </x:c>
      <x:c r="O368" s="25" t="n">
        <x:f>F368*M368</x:f>
        <x:v>7.6160000000000005</x:v>
      </x:c>
      <x:c r="P368" s="25" t="n">
        <x:f>G368*M368</x:f>
        <x:v>7.6160000000000005</x:v>
      </x:c>
      <x:c r="Q368" s="25" t="n">
        <x:f>K368*M368+N368</x:f>
        <x:v>7.6160000000000005</x:v>
      </x:c>
      <x:c r="R368" s="18" t="n">
        <x:f>K368-G368</x:f>
        <x:v>0</x:v>
      </x:c>
      <x:c r="S368" s="18" t="n">
        <x:f>INDEX('Dated offers'!$H$7:$H$305,MATCH($Z368,'Dated offers'!$A$7:$A$305,0))</x:f>
        <x:v>72605</x:v>
      </x:c>
      <x:c r="T368" s="2" t="str">
        <x:f>IF(K368&lt;G368,"Order below requirement",IF(K368&lt;L368,"Below price tier",IF(ISNUMBER(S368),IF(K368&gt;S368,"Quantity exceeds snapshot","Within quantity snapshot"),"Stock not stated")))</x:f>
        <x:v>Within quantity snapshot</x:v>
      </x:c>
      <x:c r="U368" s="2" t="str">
        <x:f>INDEX('Dated offers'!$C$7:$C$305,MATCH($Z368,'Dated offers'!$A$7:$A$305,0))</x:f>
        <x:v>DigiKey</x:v>
      </x:c>
      <x:c r="V368" s="2" t="str">
        <x:f>INDEX('Dated offers'!$D$7:$D$305,MATCH($Z368,'Dated offers'!$A$7:$A$305,0))</x:f>
        <x:v>Not stated</x:v>
      </x:c>
      <x:c r="W368" s="24" t="n">
        <x:f>INDEX('Dated offers'!$E$7:$E$305,MATCH($Z368,'Dated offers'!$A$7:$A$305,0))</x:f>
        <x:v>46307.47807261574</x:v>
      </x:c>
      <x:c r="X368" s="2" t="b">
        <x:f>INDEX('Dated offers'!$N$7:$N$305,MATCH($Z368,'Dated offers'!$A$7:$A$305,0))</x:f>
        <x:v>0</x:v>
      </x:c>
      <x:c r="Y368" s="2" t="str">
        <x:f>INDEX('Dated offers'!$O$7:$O$305,MATCH($Z368,'Dated offers'!$A$7:$A$305,0))</x:f>
        <x:v>Unreserved inventory snapshot</x:v>
      </x:c>
      <x:c r="Z368" s="17" t="str">
        <x:v>OF0205</x:v>
      </x:c>
      <x:c r="AA368" s="2"/>
      <x:c r="AB368" s="2" t="str">
        <x:f>INDEX('Dated offers'!$Q$7:$Q$305,MATCH($Z368,'Dated offers'!$A$7:$A$305,0))</x:f>
        <x:v>https://www.digikey.com/en/products/detail/vishay-dale/CRCW080575R0FKEA/1180655</x:v>
      </x:c>
    </x:row>
    <x:row r="369" ht="24" customHeight="1">
      <x:c r="A369" s="2" t="str">
        <x:v>100 boards / nominal</x:v>
      </x:c>
      <x:c r="B369" s="17" t="str">
        <x:v>CRCW12063K30FKEAHP</x:v>
      </x:c>
      <x:c r="C369" s="18" t="n">
        <x:v>100</x:v>
      </x:c>
      <x:c r="D369" s="27" t="n">
        <x:v>0</x:v>
      </x:c>
      <x:c r="E369" s="18" t="n">
        <x:f>INDEX('Assembly BOM'!$C$7:$C$162,MATCH($B369,'Assembly BOM'!$A$7:$A$162,0))</x:f>
        <x:v>1</x:v>
      </x:c>
      <x:c r="F369" s="18" t="n">
        <x:f>C369*E369</x:f>
        <x:v>100</x:v>
      </x:c>
      <x:c r="G369" s="18" t="n">
        <x:f>ROUNDUP(F369*(1+D369),0)</x:f>
        <x:v>100</x:v>
      </x:c>
      <x:c r="H369" s="18" t="n">
        <x:f>INDEX('Dated offers'!$F$7:$F$305,MATCH($Z369,'Dated offers'!$A$7:$A$305,0))</x:f>
        <x:v>1</x:v>
      </x:c>
      <x:c r="I369" s="18" t="n">
        <x:f>INDEX('Dated offers'!$G$7:$G$305,MATCH($Z369,'Dated offers'!$A$7:$A$305,0))</x:f>
        <x:v>1</x:v>
      </x:c>
      <x:c r="J369" s="18" t="n">
        <x:f>CEILING(MAX(G369,H369),I369)</x:f>
        <x:v>100</x:v>
      </x:c>
      <x:c r="K369" s="18" t="n">
        <x:v>100</x:v>
      </x:c>
      <x:c r="L369" s="18" t="n">
        <x:f>INDEX('Dated offers'!$I$7:$I$305,MATCH($Z369,'Dated offers'!$A$7:$A$305,0))</x:f>
        <x:v>100</x:v>
      </x:c>
      <x:c r="M369" s="25" t="n">
        <x:f>INDEX('Dated offers'!$J$7:$J$305,MATCH($Z369,'Dated offers'!$A$7:$A$305,0))</x:f>
        <x:v>0.087</x:v>
      </x:c>
      <x:c r="N369" s="25" t="n">
        <x:f>INDEX('Dated offers'!$K$7:$K$305,MATCH($Z369,'Dated offers'!$A$7:$A$305,0))</x:f>
        <x:v>0</x:v>
      </x:c>
      <x:c r="O369" s="25" t="n">
        <x:f>F369*M369</x:f>
        <x:v>8.7</x:v>
      </x:c>
      <x:c r="P369" s="25" t="n">
        <x:f>G369*M369</x:f>
        <x:v>8.7</x:v>
      </x:c>
      <x:c r="Q369" s="25" t="n">
        <x:f>K369*M369+N369</x:f>
        <x:v>8.7</x:v>
      </x:c>
      <x:c r="R369" s="18" t="n">
        <x:f>K369-G369</x:f>
        <x:v>0</x:v>
      </x:c>
      <x:c r="S369" s="18" t="n">
        <x:f>INDEX('Dated offers'!$H$7:$H$305,MATCH($Z369,'Dated offers'!$A$7:$A$305,0))</x:f>
        <x:v>42656</x:v>
      </x:c>
      <x:c r="T369" s="2" t="str">
        <x:f>IF(K369&lt;G369,"Order below requirement",IF(K369&lt;L369,"Below price tier",IF(ISNUMBER(S369),IF(K369&gt;S369,"Quantity exceeds snapshot","Within quantity snapshot"),"Stock not stated")))</x:f>
        <x:v>Within quantity snapshot</x:v>
      </x:c>
      <x:c r="U369" s="2" t="str">
        <x:f>INDEX('Dated offers'!$C$7:$C$305,MATCH($Z369,'Dated offers'!$A$7:$A$305,0))</x:f>
        <x:v>DigiKey</x:v>
      </x:c>
      <x:c r="V369" s="2" t="str">
        <x:f>INDEX('Dated offers'!$D$7:$D$305,MATCH($Z369,'Dated offers'!$A$7:$A$305,0))</x:f>
        <x:v>Not stated</x:v>
      </x:c>
      <x:c r="W369" s="24" t="n">
        <x:f>INDEX('Dated offers'!$E$7:$E$305,MATCH($Z369,'Dated offers'!$A$7:$A$305,0))</x:f>
        <x:v>46307.47807262732</x:v>
      </x:c>
      <x:c r="X369" s="2" t="b">
        <x:f>INDEX('Dated offers'!$N$7:$N$305,MATCH($Z369,'Dated offers'!$A$7:$A$305,0))</x:f>
        <x:v>0</x:v>
      </x:c>
      <x:c r="Y369" s="2" t="str">
        <x:f>INDEX('Dated offers'!$O$7:$O$305,MATCH($Z369,'Dated offers'!$A$7:$A$305,0))</x:f>
        <x:v>Unreserved inventory snapshot</x:v>
      </x:c>
      <x:c r="Z369" s="17" t="str">
        <x:v>OF0206</x:v>
      </x:c>
      <x:c r="AA369" s="2"/>
      <x:c r="AB369" s="2" t="str">
        <x:f>INDEX('Dated offers'!$Q$7:$Q$305,MATCH($Z369,'Dated offers'!$A$7:$A$305,0))</x:f>
        <x:v>https://www.digikey.com/en/products/detail/vishay-dale/CRCW12063K30FKEAHP/2227804</x:v>
      </x:c>
    </x:row>
    <x:row r="370" ht="24" customHeight="1">
      <x:c r="A370" s="2" t="str">
        <x:v>100 boards / nominal</x:v>
      </x:c>
      <x:c r="B370" s="17" t="str">
        <x:v>DABS2100-13</x:v>
      </x:c>
      <x:c r="C370" s="18" t="n">
        <x:v>100</x:v>
      </x:c>
      <x:c r="D370" s="27" t="n">
        <x:v>0</x:v>
      </x:c>
      <x:c r="E370" s="18" t="n">
        <x:f>INDEX('Assembly BOM'!$C$7:$C$162,MATCH($B370,'Assembly BOM'!$A$7:$A$162,0))</x:f>
        <x:v>2</x:v>
      </x:c>
      <x:c r="F370" s="18" t="n">
        <x:f>C370*E370</x:f>
        <x:v>200</x:v>
      </x:c>
      <x:c r="G370" s="18" t="n">
        <x:f>ROUNDUP(F370*(1+D370),0)</x:f>
        <x:v>200</x:v>
      </x:c>
      <x:c r="H370" s="18" t="n">
        <x:f>INDEX('Dated offers'!$F$7:$F$305,MATCH($Z370,'Dated offers'!$A$7:$A$305,0))</x:f>
        <x:v>1</x:v>
      </x:c>
      <x:c r="I370" s="18" t="n">
        <x:f>INDEX('Dated offers'!$G$7:$G$305,MATCH($Z370,'Dated offers'!$A$7:$A$305,0))</x:f>
        <x:v>1</x:v>
      </x:c>
      <x:c r="J370" s="18" t="n">
        <x:f>CEILING(MAX(G370,H370),I370)</x:f>
        <x:v>200</x:v>
      </x:c>
      <x:c r="K370" s="18" t="n">
        <x:v>200</x:v>
      </x:c>
      <x:c r="L370" s="18" t="n">
        <x:f>INDEX('Dated offers'!$I$7:$I$305,MATCH($Z370,'Dated offers'!$A$7:$A$305,0))</x:f>
        <x:v>100</x:v>
      </x:c>
      <x:c r="M370" s="25" t="n">
        <x:f>INDEX('Dated offers'!$J$7:$J$305,MATCH($Z370,'Dated offers'!$A$7:$A$305,0))</x:f>
        <x:v>0.3826</x:v>
      </x:c>
      <x:c r="N370" s="25" t="n">
        <x:f>INDEX('Dated offers'!$K$7:$K$305,MATCH($Z370,'Dated offers'!$A$7:$A$305,0))</x:f>
        <x:v>7</x:v>
      </x:c>
      <x:c r="O370" s="25" t="n">
        <x:f>F370*M370</x:f>
        <x:v>76.52</x:v>
      </x:c>
      <x:c r="P370" s="25" t="n">
        <x:f>G370*M370</x:f>
        <x:v>76.52</x:v>
      </x:c>
      <x:c r="Q370" s="25" t="n">
        <x:f>K370*M370+N370</x:f>
        <x:v>83.52</x:v>
      </x:c>
      <x:c r="R370" s="18" t="n">
        <x:f>K370-G370</x:f>
        <x:v>0</x:v>
      </x:c>
      <x:c r="S370" s="18" t="n">
        <x:f>INDEX('Dated offers'!$H$7:$H$305,MATCH($Z370,'Dated offers'!$A$7:$A$305,0))</x:f>
        <x:v>5560</x:v>
      </x:c>
      <x:c r="T370" s="2" t="str">
        <x:f>IF(K370&lt;G370,"Order below requirement",IF(K370&lt;L370,"Below price tier",IF(ISNUMBER(S370),IF(K370&gt;S370,"Quantity exceeds snapshot","Within quantity snapshot"),"Stock not stated")))</x:f>
        <x:v>Within quantity snapshot</x:v>
      </x:c>
      <x:c r="U370" s="2" t="str">
        <x:f>INDEX('Dated offers'!$C$7:$C$305,MATCH($Z370,'Dated offers'!$A$7:$A$305,0))</x:f>
        <x:v>DigiKey</x:v>
      </x:c>
      <x:c r="V370" s="2" t="str">
        <x:f>INDEX('Dated offers'!$D$7:$D$305,MATCH($Z370,'Dated offers'!$A$7:$A$305,0))</x:f>
        <x:v>Not stated</x:v>
      </x:c>
      <x:c r="W370" s="24" t="n">
        <x:f>INDEX('Dated offers'!$E$7:$E$305,MATCH($Z370,'Dated offers'!$A$7:$A$305,0))</x:f>
        <x:v>46307.47807261574</x:v>
      </x:c>
      <x:c r="X370" s="2" t="b">
        <x:f>INDEX('Dated offers'!$N$7:$N$305,MATCH($Z370,'Dated offers'!$A$7:$A$305,0))</x:f>
        <x:v>0</x:v>
      </x:c>
      <x:c r="Y370" s="2" t="str">
        <x:f>INDEX('Dated offers'!$O$7:$O$305,MATCH($Z370,'Dated offers'!$A$7:$A$305,0))</x:f>
        <x:v>Unreserved inventory snapshot</x:v>
      </x:c>
      <x:c r="Z370" s="17" t="str">
        <x:v>OF0207</x:v>
      </x:c>
      <x:c r="AA370" s="2"/>
      <x:c r="AB370" s="2" t="str">
        <x:f>INDEX('Dated offers'!$Q$7:$Q$305,MATCH($Z370,'Dated offers'!$A$7:$A$305,0))</x:f>
        <x:v>https://www.digikey.com/en/products/detail/diodes-incorporated/DABS2100-13/21823604</x:v>
      </x:c>
    </x:row>
    <x:row r="371" ht="24" customHeight="1">
      <x:c r="A371" s="2" t="str">
        <x:v>100 boards / nominal</x:v>
      </x:c>
      <x:c r="B371" s="17" t="str">
        <x:v>DLW5BTM102TQ2L</x:v>
      </x:c>
      <x:c r="C371" s="18" t="n">
        <x:v>100</x:v>
      </x:c>
      <x:c r="D371" s="27" t="n">
        <x:v>0</x:v>
      </x:c>
      <x:c r="E371" s="18" t="n">
        <x:f>INDEX('Assembly BOM'!$C$7:$C$162,MATCH($B371,'Assembly BOM'!$A$7:$A$162,0))</x:f>
        <x:v>1</x:v>
      </x:c>
      <x:c r="F371" s="18" t="n">
        <x:f>C371*E371</x:f>
        <x:v>100</x:v>
      </x:c>
      <x:c r="G371" s="18" t="n">
        <x:f>ROUNDUP(F371*(1+D371),0)</x:f>
        <x:v>100</x:v>
      </x:c>
      <x:c r="H371" s="18" t="n">
        <x:f>INDEX('Dated offers'!$F$7:$F$305,MATCH($Z371,'Dated offers'!$A$7:$A$305,0))</x:f>
        <x:v>1</x:v>
      </x:c>
      <x:c r="I371" s="18" t="n">
        <x:f>INDEX('Dated offers'!$G$7:$G$305,MATCH($Z371,'Dated offers'!$A$7:$A$305,0))</x:f>
        <x:v>1</x:v>
      </x:c>
      <x:c r="J371" s="18" t="n">
        <x:f>CEILING(MAX(G371,H371),I371)</x:f>
        <x:v>100</x:v>
      </x:c>
      <x:c r="K371" s="18" t="n">
        <x:v>100</x:v>
      </x:c>
      <x:c r="L371" s="18" t="n">
        <x:f>INDEX('Dated offers'!$I$7:$I$305,MATCH($Z371,'Dated offers'!$A$7:$A$305,0))</x:f>
        <x:v>100</x:v>
      </x:c>
      <x:c r="M371" s="25" t="n">
        <x:f>INDEX('Dated offers'!$J$7:$J$305,MATCH($Z371,'Dated offers'!$A$7:$A$305,0))</x:f>
        <x:v>0.6935</x:v>
      </x:c>
      <x:c r="N371" s="25" t="n">
        <x:f>INDEX('Dated offers'!$K$7:$K$305,MATCH($Z371,'Dated offers'!$A$7:$A$305,0))</x:f>
        <x:v>0</x:v>
      </x:c>
      <x:c r="O371" s="25" t="n">
        <x:f>F371*M371</x:f>
        <x:v>69.35</x:v>
      </x:c>
      <x:c r="P371" s="25" t="n">
        <x:f>G371*M371</x:f>
        <x:v>69.35</x:v>
      </x:c>
      <x:c r="Q371" s="25" t="n">
        <x:f>K371*M371+N371</x:f>
        <x:v>69.35</x:v>
      </x:c>
      <x:c r="R371" s="18" t="n">
        <x:f>K371-G371</x:f>
        <x:v>0</x:v>
      </x:c>
      <x:c r="S371" s="18" t="n">
        <x:f>INDEX('Dated offers'!$H$7:$H$305,MATCH($Z371,'Dated offers'!$A$7:$A$305,0))</x:f>
        <x:v>9875</x:v>
      </x:c>
      <x:c r="T371" s="2" t="str">
        <x:f>IF(K371&lt;G371,"Order below requirement",IF(K371&lt;L371,"Below price tier",IF(ISNUMBER(S371),IF(K371&gt;S371,"Quantity exceeds snapshot","Within quantity snapshot"),"Stock not stated")))</x:f>
        <x:v>Within quantity snapshot</x:v>
      </x:c>
      <x:c r="U371" s="2" t="str">
        <x:f>INDEX('Dated offers'!$C$7:$C$305,MATCH($Z371,'Dated offers'!$A$7:$A$305,0))</x:f>
        <x:v>DigiKey</x:v>
      </x:c>
      <x:c r="V371" s="2" t="str">
        <x:f>INDEX('Dated offers'!$D$7:$D$305,MATCH($Z371,'Dated offers'!$A$7:$A$305,0))</x:f>
        <x:v>Not stated</x:v>
      </x:c>
      <x:c r="W371" s="24" t="n">
        <x:f>INDEX('Dated offers'!$E$7:$E$305,MATCH($Z371,'Dated offers'!$A$7:$A$305,0))</x:f>
        <x:v>46307.47807261574</x:v>
      </x:c>
      <x:c r="X371" s="2" t="b">
        <x:f>INDEX('Dated offers'!$N$7:$N$305,MATCH($Z371,'Dated offers'!$A$7:$A$305,0))</x:f>
        <x:v>0</x:v>
      </x:c>
      <x:c r="Y371" s="2" t="str">
        <x:f>INDEX('Dated offers'!$O$7:$O$305,MATCH($Z371,'Dated offers'!$A$7:$A$305,0))</x:f>
        <x:v>Unreserved inventory snapshot</x:v>
      </x:c>
      <x:c r="Z371" s="17" t="str">
        <x:v>OF0208</x:v>
      </x:c>
      <x:c r="AA371" s="2"/>
      <x:c r="AB371" s="2" t="str">
        <x:f>INDEX('Dated offers'!$Q$7:$Q$305,MATCH($Z371,'Dated offers'!$A$7:$A$305,0))</x:f>
        <x:v>https://www.digikey.com/en/products/detail/murata-electronics/DLW5BTM102TQ2L/6606032</x:v>
      </x:c>
    </x:row>
    <x:row r="372" ht="24" customHeight="1">
      <x:c r="A372" s="2" t="str">
        <x:v>100 boards / nominal</x:v>
      </x:c>
      <x:c r="B372" s="17" t="str">
        <x:v>DMPH3010LK3-13</x:v>
      </x:c>
      <x:c r="C372" s="18" t="n">
        <x:v>100</x:v>
      </x:c>
      <x:c r="D372" s="27" t="n">
        <x:v>0</x:v>
      </x:c>
      <x:c r="E372" s="18" t="n">
        <x:f>INDEX('Assembly BOM'!$C$7:$C$162,MATCH($B372,'Assembly BOM'!$A$7:$A$162,0))</x:f>
        <x:v>1</x:v>
      </x:c>
      <x:c r="F372" s="18" t="n">
        <x:f>C372*E372</x:f>
        <x:v>100</x:v>
      </x:c>
      <x:c r="G372" s="18" t="n">
        <x:f>ROUNDUP(F372*(1+D372),0)</x:f>
        <x:v>100</x:v>
      </x:c>
      <x:c r="H372" s="18" t="n">
        <x:f>INDEX('Dated offers'!$F$7:$F$305,MATCH($Z372,'Dated offers'!$A$7:$A$305,0))</x:f>
        <x:v>1</x:v>
      </x:c>
      <x:c r="I372" s="18" t="n">
        <x:f>INDEX('Dated offers'!$G$7:$G$305,MATCH($Z372,'Dated offers'!$A$7:$A$305,0))</x:f>
        <x:v>1</x:v>
      </x:c>
      <x:c r="J372" s="18" t="n">
        <x:f>CEILING(MAX(G372,H372),I372)</x:f>
        <x:v>100</x:v>
      </x:c>
      <x:c r="K372" s="18" t="n">
        <x:v>100</x:v>
      </x:c>
      <x:c r="L372" s="18" t="n">
        <x:f>INDEX('Dated offers'!$I$7:$I$305,MATCH($Z372,'Dated offers'!$A$7:$A$305,0))</x:f>
        <x:v>100</x:v>
      </x:c>
      <x:c r="M372" s="25" t="n">
        <x:f>INDEX('Dated offers'!$J$7:$J$305,MATCH($Z372,'Dated offers'!$A$7:$A$305,0))</x:f>
        <x:v>0.6638</x:v>
      </x:c>
      <x:c r="N372" s="25" t="n">
        <x:f>INDEX('Dated offers'!$K$7:$K$305,MATCH($Z372,'Dated offers'!$A$7:$A$305,0))</x:f>
        <x:v>0</x:v>
      </x:c>
      <x:c r="O372" s="25" t="n">
        <x:f>F372*M372</x:f>
        <x:v>66.38</x:v>
      </x:c>
      <x:c r="P372" s="25" t="n">
        <x:f>G372*M372</x:f>
        <x:v>66.38</x:v>
      </x:c>
      <x:c r="Q372" s="25" t="n">
        <x:f>K372*M372+N372</x:f>
        <x:v>66.38</x:v>
      </x:c>
      <x:c r="R372" s="18" t="n">
        <x:f>K372-G372</x:f>
        <x:v>0</x:v>
      </x:c>
      <x:c r="S372" s="18" t="n">
        <x:f>INDEX('Dated offers'!$H$7:$H$305,MATCH($Z372,'Dated offers'!$A$7:$A$305,0))</x:f>
        <x:v>1530</x:v>
      </x:c>
      <x:c r="T372" s="2" t="str">
        <x:f>IF(K372&lt;G372,"Order below requirement",IF(K372&lt;L372,"Below price tier",IF(ISNUMBER(S372),IF(K372&gt;S372,"Quantity exceeds snapshot","Within quantity snapshot"),"Stock not stated")))</x:f>
        <x:v>Within quantity snapshot</x:v>
      </x:c>
      <x:c r="U372" s="2" t="str">
        <x:f>INDEX('Dated offers'!$C$7:$C$305,MATCH($Z372,'Dated offers'!$A$7:$A$305,0))</x:f>
        <x:v>DigiKey</x:v>
      </x:c>
      <x:c r="V372" s="2" t="str">
        <x:f>INDEX('Dated offers'!$D$7:$D$305,MATCH($Z372,'Dated offers'!$A$7:$A$305,0))</x:f>
        <x:v>Not stated</x:v>
      </x:c>
      <x:c r="W372" s="24" t="n">
        <x:f>INDEX('Dated offers'!$E$7:$E$305,MATCH($Z372,'Dated offers'!$A$7:$A$305,0))</x:f>
        <x:v>46307.47807255787</x:v>
      </x:c>
      <x:c r="X372" s="2" t="b">
        <x:f>INDEX('Dated offers'!$N$7:$N$305,MATCH($Z372,'Dated offers'!$A$7:$A$305,0))</x:f>
        <x:v>0</x:v>
      </x:c>
      <x:c r="Y372" s="2" t="str">
        <x:f>INDEX('Dated offers'!$O$7:$O$305,MATCH($Z372,'Dated offers'!$A$7:$A$305,0))</x:f>
        <x:v>Unreserved inventory snapshot</x:v>
      </x:c>
      <x:c r="Z372" s="17" t="str">
        <x:v>OF0209</x:v>
      </x:c>
      <x:c r="AA372" s="2"/>
      <x:c r="AB372" s="2" t="str">
        <x:f>INDEX('Dated offers'!$Q$7:$Q$305,MATCH($Z372,'Dated offers'!$A$7:$A$305,0))</x:f>
        <x:v>https://www.digikey.com/en/products/detail/diodes-incorporated/DMPH3010LK3-13/7352990</x:v>
      </x:c>
    </x:row>
    <x:row r="373" ht="24" customHeight="1">
      <x:c r="A373" s="2" t="str">
        <x:v>100 boards / nominal</x:v>
      </x:c>
      <x:c r="B373" s="17" t="str">
        <x:v>E22-900MM22S</x:v>
      </x:c>
      <x:c r="C373" s="18" t="n">
        <x:v>100</x:v>
      </x:c>
      <x:c r="D373" s="27" t="n">
        <x:v>0</x:v>
      </x:c>
      <x:c r="E373" s="18" t="n">
        <x:f>INDEX('Assembly BOM'!$C$7:$C$162,MATCH($B373,'Assembly BOM'!$A$7:$A$162,0))</x:f>
        <x:v>1</x:v>
      </x:c>
      <x:c r="F373" s="18" t="n">
        <x:f>C373*E373</x:f>
        <x:v>100</x:v>
      </x:c>
      <x:c r="G373" s="18" t="n">
        <x:f>ROUNDUP(F373*(1+D373),0)</x:f>
        <x:v>100</x:v>
      </x:c>
      <x:c r="H373" s="18" t="n">
        <x:f>INDEX('Dated offers'!$F$7:$F$305,MATCH($Z373,'Dated offers'!$A$7:$A$305,0))</x:f>
        <x:v>2</x:v>
      </x:c>
      <x:c r="I373" s="18" t="n">
        <x:f>INDEX('Dated offers'!$G$7:$G$305,MATCH($Z373,'Dated offers'!$A$7:$A$305,0))</x:f>
        <x:v>1</x:v>
      </x:c>
      <x:c r="J373" s="18" t="n">
        <x:f>CEILING(MAX(G373,H373),I373)</x:f>
        <x:v>100</x:v>
      </x:c>
      <x:c r="K373" s="18" t="n">
        <x:v>100</x:v>
      </x:c>
      <x:c r="L373" s="18" t="n">
        <x:f>INDEX('Dated offers'!$I$7:$I$305,MATCH($Z373,'Dated offers'!$A$7:$A$305,0))</x:f>
        <x:v>100</x:v>
      </x:c>
      <x:c r="M373" s="25" t="n">
        <x:f>INDEX('Dated offers'!$J$7:$J$305,MATCH($Z373,'Dated offers'!$A$7:$A$305,0))</x:f>
        <x:v>4.4024</x:v>
      </x:c>
      <x:c r="N373" s="25" t="n">
        <x:f>INDEX('Dated offers'!$K$7:$K$305,MATCH($Z373,'Dated offers'!$A$7:$A$305,0))</x:f>
        <x:v>0</x:v>
      </x:c>
      <x:c r="O373" s="25" t="n">
        <x:f>F373*M373</x:f>
        <x:v>440.24</x:v>
      </x:c>
      <x:c r="P373" s="25" t="n">
        <x:f>G373*M373</x:f>
        <x:v>440.24</x:v>
      </x:c>
      <x:c r="Q373" s="25" t="n">
        <x:f>K373*M373+N373</x:f>
        <x:v>440.24</x:v>
      </x:c>
      <x:c r="R373" s="18" t="n">
        <x:f>K373-G373</x:f>
        <x:v>0</x:v>
      </x:c>
      <x:c r="S373" s="18" t="n">
        <x:f>INDEX('Dated offers'!$H$7:$H$305,MATCH($Z373,'Dated offers'!$A$7:$A$305,0))</x:f>
        <x:v>419</x:v>
      </x:c>
      <x:c r="T373" s="2" t="str">
        <x:f>IF(K373&lt;G373,"Order below requirement",IF(K373&lt;L373,"Below price tier",IF(ISNUMBER(S373),IF(K373&gt;S373,"Quantity exceeds snapshot","Within quantity snapshot"),"Stock not stated")))</x:f>
        <x:v>Within quantity snapshot</x:v>
      </x:c>
      <x:c r="U373" s="2" t="str">
        <x:f>INDEX('Dated offers'!$C$7:$C$305,MATCH($Z373,'Dated offers'!$A$7:$A$305,0))</x:f>
        <x:v>JLCPCB Parts</x:v>
      </x:c>
      <x:c r="V373" s="2" t="str">
        <x:f>INDEX('Dated offers'!$D$7:$D$305,MATCH($Z373,'Dated offers'!$A$7:$A$305,0))</x:f>
        <x:v>C5333985</x:v>
      </x:c>
      <x:c r="W373" s="24" t="n">
        <x:f>INDEX('Dated offers'!$E$7:$E$305,MATCH($Z373,'Dated offers'!$A$7:$A$305,0))</x:f>
        <x:v>46307.62535741898</x:v>
      </x:c>
      <x:c r="X373" s="2" t="b">
        <x:f>INDEX('Dated offers'!$N$7:$N$305,MATCH($Z373,'Dated offers'!$A$7:$A$305,0))</x:f>
        <x:v>1</x:v>
      </x:c>
      <x:c r="Y373" s="2" t="str">
        <x:f>INDEX('Dated offers'!$O$7:$O$305,MATCH($Z373,'Dated offers'!$A$7:$A$305,0))</x:f>
        <x:v>JLC PCBA allocation required</x:v>
      </x:c>
      <x:c r="Z373" s="17" t="str">
        <x:v>OF0210</x:v>
      </x:c>
      <x:c r="AA373" s="2"/>
      <x:c r="AB373" s="2" t="str">
        <x:f>INDEX('Dated offers'!$Q$7:$Q$305,MATCH($Z373,'Dated offers'!$A$7:$A$305,0))</x:f>
        <x:v>https://jlcpcb.com/partdetail/E22-900MM22S/C5333985</x:v>
      </x:c>
    </x:row>
    <x:row r="374" ht="24" customHeight="1">
      <x:c r="A374" s="2" t="str">
        <x:v>100 boards / nominal</x:v>
      </x:c>
      <x:c r="B374" s="17" t="str">
        <x:v>ESP32-S3FN8</x:v>
      </x:c>
      <x:c r="C374" s="18" t="n">
        <x:v>100</x:v>
      </x:c>
      <x:c r="D374" s="27" t="n">
        <x:v>0</x:v>
      </x:c>
      <x:c r="E374" s="18" t="n">
        <x:f>INDEX('Assembly BOM'!$C$7:$C$162,MATCH($B374,'Assembly BOM'!$A$7:$A$162,0))</x:f>
        <x:v>1</x:v>
      </x:c>
      <x:c r="F374" s="18" t="n">
        <x:f>C374*E374</x:f>
        <x:v>100</x:v>
      </x:c>
      <x:c r="G374" s="18" t="n">
        <x:f>ROUNDUP(F374*(1+D374),0)</x:f>
        <x:v>100</x:v>
      </x:c>
      <x:c r="H374" s="18" t="n">
        <x:f>INDEX('Dated offers'!$F$7:$F$305,MATCH($Z374,'Dated offers'!$A$7:$A$305,0))</x:f>
        <x:v>1</x:v>
      </x:c>
      <x:c r="I374" s="18" t="n">
        <x:f>INDEX('Dated offers'!$G$7:$G$305,MATCH($Z374,'Dated offers'!$A$7:$A$305,0))</x:f>
        <x:v>1</x:v>
      </x:c>
      <x:c r="J374" s="18" t="n">
        <x:f>CEILING(MAX(G374,H374),I374)</x:f>
        <x:v>100</x:v>
      </x:c>
      <x:c r="K374" s="18" t="n">
        <x:v>100</x:v>
      </x:c>
      <x:c r="L374" s="18" t="n">
        <x:f>INDEX('Dated offers'!$I$7:$I$305,MATCH($Z374,'Dated offers'!$A$7:$A$305,0))</x:f>
        <x:v>100</x:v>
      </x:c>
      <x:c r="M374" s="25" t="n">
        <x:f>INDEX('Dated offers'!$J$7:$J$305,MATCH($Z374,'Dated offers'!$A$7:$A$305,0))</x:f>
        <x:v>3.137</x:v>
      </x:c>
      <x:c r="N374" s="25" t="n">
        <x:f>INDEX('Dated offers'!$K$7:$K$305,MATCH($Z374,'Dated offers'!$A$7:$A$305,0))</x:f>
        <x:v>0</x:v>
      </x:c>
      <x:c r="O374" s="25" t="n">
        <x:f>F374*M374</x:f>
        <x:v>313.7</x:v>
      </x:c>
      <x:c r="P374" s="25" t="n">
        <x:f>G374*M374</x:f>
        <x:v>313.7</x:v>
      </x:c>
      <x:c r="Q374" s="25" t="n">
        <x:f>K374*M374+N374</x:f>
        <x:v>313.7</x:v>
      </x:c>
      <x:c r="R374" s="18" t="n">
        <x:f>K374-G374</x:f>
        <x:v>0</x:v>
      </x:c>
      <x:c r="S374" s="18" t="n">
        <x:f>INDEX('Dated offers'!$H$7:$H$305,MATCH($Z374,'Dated offers'!$A$7:$A$305,0))</x:f>
        <x:v>4387</x:v>
      </x:c>
      <x:c r="T374" s="2" t="str">
        <x:f>IF(K374&lt;G374,"Order below requirement",IF(K374&lt;L374,"Below price tier",IF(ISNUMBER(S374),IF(K374&gt;S374,"Quantity exceeds snapshot","Within quantity snapshot"),"Stock not stated")))</x:f>
        <x:v>Within quantity snapshot</x:v>
      </x:c>
      <x:c r="U374" s="2" t="str">
        <x:f>INDEX('Dated offers'!$C$7:$C$305,MATCH($Z374,'Dated offers'!$A$7:$A$305,0))</x:f>
        <x:v>DigiKey</x:v>
      </x:c>
      <x:c r="V374" s="2" t="str">
        <x:f>INDEX('Dated offers'!$D$7:$D$305,MATCH($Z374,'Dated offers'!$A$7:$A$305,0))</x:f>
        <x:v>Not stated</x:v>
      </x:c>
      <x:c r="W374" s="24" t="n">
        <x:f>INDEX('Dated offers'!$E$7:$E$305,MATCH($Z374,'Dated offers'!$A$7:$A$305,0))</x:f>
        <x:v>46307.47807256944</x:v>
      </x:c>
      <x:c r="X374" s="2" t="b">
        <x:f>INDEX('Dated offers'!$N$7:$N$305,MATCH($Z374,'Dated offers'!$A$7:$A$305,0))</x:f>
        <x:v>0</x:v>
      </x:c>
      <x:c r="Y374" s="2" t="str">
        <x:f>INDEX('Dated offers'!$O$7:$O$305,MATCH($Z374,'Dated offers'!$A$7:$A$305,0))</x:f>
        <x:v>Unreserved inventory snapshot</x:v>
      </x:c>
      <x:c r="Z374" s="17" t="str">
        <x:v>OF0211</x:v>
      </x:c>
      <x:c r="AA374" s="2"/>
      <x:c r="AB374" s="2" t="str">
        <x:f>INDEX('Dated offers'!$Q$7:$Q$305,MATCH($Z374,'Dated offers'!$A$7:$A$305,0))</x:f>
        <x:v>https://www.digikey.com/en/products/detail/espressif-systems/ESP32-S3FN8/15822446</x:v>
      </x:c>
    </x:row>
    <x:row r="375" ht="24" customHeight="1">
      <x:c r="A375" s="2" t="str">
        <x:v>100 boards / nominal</x:v>
      </x:c>
      <x:c r="B375" s="17" t="str">
        <x:v>F1206HI4000V032TM</x:v>
      </x:c>
      <x:c r="C375" s="18" t="n">
        <x:v>100</x:v>
      </x:c>
      <x:c r="D375" s="27" t="n">
        <x:v>0</x:v>
      </x:c>
      <x:c r="E375" s="18" t="n">
        <x:f>INDEX('Assembly BOM'!$C$7:$C$162,MATCH($B375,'Assembly BOM'!$A$7:$A$162,0))</x:f>
        <x:v>1</x:v>
      </x:c>
      <x:c r="F375" s="18" t="n">
        <x:f>C375*E375</x:f>
        <x:v>100</x:v>
      </x:c>
      <x:c r="G375" s="18" t="n">
        <x:f>ROUNDUP(F375*(1+D375),0)</x:f>
        <x:v>100</x:v>
      </x:c>
      <x:c r="H375" s="18" t="n">
        <x:f>INDEX('Dated offers'!$F$7:$F$305,MATCH($Z375,'Dated offers'!$A$7:$A$305,0))</x:f>
        <x:v>5</x:v>
      </x:c>
      <x:c r="I375" s="18" t="n">
        <x:f>INDEX('Dated offers'!$G$7:$G$305,MATCH($Z375,'Dated offers'!$A$7:$A$305,0))</x:f>
        <x:v>5</x:v>
      </x:c>
      <x:c r="J375" s="18" t="n">
        <x:f>CEILING(MAX(G375,H375),I375)</x:f>
        <x:v>100</x:v>
      </x:c>
      <x:c r="K375" s="18" t="n">
        <x:v>100</x:v>
      </x:c>
      <x:c r="L375" s="18" t="n">
        <x:f>INDEX('Dated offers'!$I$7:$I$305,MATCH($Z375,'Dated offers'!$A$7:$A$305,0))</x:f>
        <x:v>50</x:v>
      </x:c>
      <x:c r="M375" s="25" t="n">
        <x:f>INDEX('Dated offers'!$J$7:$J$305,MATCH($Z375,'Dated offers'!$A$7:$A$305,0))</x:f>
        <x:v>0.228</x:v>
      </x:c>
      <x:c r="N375" s="25" t="n">
        <x:f>INDEX('Dated offers'!$K$7:$K$305,MATCH($Z375,'Dated offers'!$A$7:$A$305,0))</x:f>
        <x:v>0</x:v>
      </x:c>
      <x:c r="O375" s="25" t="n">
        <x:f>F375*M375</x:f>
        <x:v>22.8</x:v>
      </x:c>
      <x:c r="P375" s="25" t="n">
        <x:f>G375*M375</x:f>
        <x:v>22.8</x:v>
      </x:c>
      <x:c r="Q375" s="25" t="n">
        <x:f>K375*M375+N375</x:f>
        <x:v>22.8</x:v>
      </x:c>
      <x:c r="R375" s="18" t="n">
        <x:f>K375-G375</x:f>
        <x:v>0</x:v>
      </x:c>
      <x:c r="S375" s="18" t="n">
        <x:f>INDEX('Dated offers'!$H$7:$H$305,MATCH($Z375,'Dated offers'!$A$7:$A$305,0))</x:f>
        <x:v>6270</x:v>
      </x:c>
      <x:c r="T375" s="2" t="str">
        <x:f>IF(K375&lt;G375,"Order below requirement",IF(K375&lt;L375,"Below price tier",IF(ISNUMBER(S375),IF(K375&gt;S375,"Quantity exceeds snapshot","Within quantity snapshot"),"Stock not stated")))</x:f>
        <x:v>Within quantity snapshot</x:v>
      </x:c>
      <x:c r="U375" s="2" t="str">
        <x:f>INDEX('Dated offers'!$C$7:$C$305,MATCH($Z375,'Dated offers'!$A$7:$A$305,0))</x:f>
        <x:v>LCSC</x:v>
      </x:c>
      <x:c r="V375" s="2" t="str">
        <x:f>INDEX('Dated offers'!$D$7:$D$305,MATCH($Z375,'Dated offers'!$A$7:$A$305,0))</x:f>
        <x:v>C246771</x:v>
      </x:c>
      <x:c r="W375" s="24" t="n">
        <x:f>INDEX('Dated offers'!$E$7:$E$305,MATCH($Z375,'Dated offers'!$A$7:$A$305,0))</x:f>
        <x:v>46307.44742240741</x:v>
      </x:c>
      <x:c r="X375" s="2" t="b">
        <x:f>INDEX('Dated offers'!$N$7:$N$305,MATCH($Z375,'Dated offers'!$A$7:$A$305,0))</x:f>
        <x:v>0</x:v>
      </x:c>
      <x:c r="Y375" s="2" t="str">
        <x:f>INDEX('Dated offers'!$O$7:$O$305,MATCH($Z375,'Dated offers'!$A$7:$A$305,0))</x:f>
        <x:v>Unreserved inventory snapshot</x:v>
      </x:c>
      <x:c r="Z375" s="17" t="str">
        <x:v>OF0212</x:v>
      </x:c>
      <x:c r="AA375" s="2"/>
      <x:c r="AB375" s="2" t="str">
        <x:f>INDEX('Dated offers'!$Q$7:$Q$305,MATCH($Z375,'Dated offers'!$A$7:$A$305,0))</x:f>
        <x:v>https://www.lcsc.com/product-detail/C246771.html</x:v>
      </x:c>
    </x:row>
    <x:row r="376" ht="24" customHeight="1">
      <x:c r="A376" s="2" t="str">
        <x:v>100 boards / nominal</x:v>
      </x:c>
      <x:c r="B376" s="17" t="str">
        <x:v>FSUSB42UMX</x:v>
      </x:c>
      <x:c r="C376" s="18" t="n">
        <x:v>100</x:v>
      </x:c>
      <x:c r="D376" s="27" t="n">
        <x:v>0</x:v>
      </x:c>
      <x:c r="E376" s="18" t="n">
        <x:f>INDEX('Assembly BOM'!$C$7:$C$162,MATCH($B376,'Assembly BOM'!$A$7:$A$162,0))</x:f>
        <x:v>1</x:v>
      </x:c>
      <x:c r="F376" s="18" t="n">
        <x:f>C376*E376</x:f>
        <x:v>100</x:v>
      </x:c>
      <x:c r="G376" s="18" t="n">
        <x:f>ROUNDUP(F376*(1+D376),0)</x:f>
        <x:v>100</x:v>
      </x:c>
      <x:c r="H376" s="18" t="n">
        <x:f>INDEX('Dated offers'!$F$7:$F$305,MATCH($Z376,'Dated offers'!$A$7:$A$305,0))</x:f>
        <x:v>1</x:v>
      </x:c>
      <x:c r="I376" s="18" t="n">
        <x:f>INDEX('Dated offers'!$G$7:$G$305,MATCH($Z376,'Dated offers'!$A$7:$A$305,0))</x:f>
        <x:v>1</x:v>
      </x:c>
      <x:c r="J376" s="18" t="n">
        <x:f>CEILING(MAX(G376,H376),I376)</x:f>
        <x:v>100</x:v>
      </x:c>
      <x:c r="K376" s="18" t="n">
        <x:v>100</x:v>
      </x:c>
      <x:c r="L376" s="18" t="n">
        <x:f>INDEX('Dated offers'!$I$7:$I$305,MATCH($Z376,'Dated offers'!$A$7:$A$305,0))</x:f>
        <x:v>100</x:v>
      </x:c>
      <x:c r="M376" s="25" t="n">
        <x:f>INDEX('Dated offers'!$J$7:$J$305,MATCH($Z376,'Dated offers'!$A$7:$A$305,0))</x:f>
        <x:v>0.2549</x:v>
      </x:c>
      <x:c r="N376" s="25" t="n">
        <x:f>INDEX('Dated offers'!$K$7:$K$305,MATCH($Z376,'Dated offers'!$A$7:$A$305,0))</x:f>
        <x:v>0</x:v>
      </x:c>
      <x:c r="O376" s="25" t="n">
        <x:f>F376*M376</x:f>
        <x:v>25.490000000000002</x:v>
      </x:c>
      <x:c r="P376" s="25" t="n">
        <x:f>G376*M376</x:f>
        <x:v>25.490000000000002</x:v>
      </x:c>
      <x:c r="Q376" s="25" t="n">
        <x:f>K376*M376+N376</x:f>
        <x:v>25.490000000000002</x:v>
      </x:c>
      <x:c r="R376" s="18" t="n">
        <x:f>K376-G376</x:f>
        <x:v>0</x:v>
      </x:c>
      <x:c r="S376" s="18" t="n">
        <x:f>INDEX('Dated offers'!$H$7:$H$305,MATCH($Z376,'Dated offers'!$A$7:$A$305,0))</x:f>
        <x:v>20301</x:v>
      </x:c>
      <x:c r="T376" s="2" t="str">
        <x:f>IF(K376&lt;G376,"Order below requirement",IF(K376&lt;L376,"Below price tier",IF(ISNUMBER(S376),IF(K376&gt;S376,"Quantity exceeds snapshot","Within quantity snapshot"),"Stock not stated")))</x:f>
        <x:v>Within quantity snapshot</x:v>
      </x:c>
      <x:c r="U376" s="2" t="str">
        <x:f>INDEX('Dated offers'!$C$7:$C$305,MATCH($Z376,'Dated offers'!$A$7:$A$305,0))</x:f>
        <x:v>LCSC</x:v>
      </x:c>
      <x:c r="V376" s="2" t="str">
        <x:f>INDEX('Dated offers'!$D$7:$D$305,MATCH($Z376,'Dated offers'!$A$7:$A$305,0))</x:f>
        <x:v>C11145</x:v>
      </x:c>
      <x:c r="W376" s="24" t="n">
        <x:f>INDEX('Dated offers'!$E$7:$E$305,MATCH($Z376,'Dated offers'!$A$7:$A$305,0))</x:f>
        <x:v>46307.447422847225</x:v>
      </x:c>
      <x:c r="X376" s="2" t="b">
        <x:f>INDEX('Dated offers'!$N$7:$N$305,MATCH($Z376,'Dated offers'!$A$7:$A$305,0))</x:f>
        <x:v>0</x:v>
      </x:c>
      <x:c r="Y376" s="2" t="str">
        <x:f>INDEX('Dated offers'!$O$7:$O$305,MATCH($Z376,'Dated offers'!$A$7:$A$305,0))</x:f>
        <x:v>Unreserved inventory snapshot</x:v>
      </x:c>
      <x:c r="Z376" s="17" t="str">
        <x:v>OF0213</x:v>
      </x:c>
      <x:c r="AA376" s="2"/>
      <x:c r="AB376" s="2" t="str">
        <x:f>INDEX('Dated offers'!$Q$7:$Q$305,MATCH($Z376,'Dated offers'!$A$7:$A$305,0))</x:f>
        <x:v>https://www.lcsc.com/product-detail/C11145.html</x:v>
      </x:c>
    </x:row>
    <x:row r="377" ht="24" customHeight="1">
      <x:c r="A377" s="2" t="str">
        <x:v>100 boards / nominal</x:v>
      </x:c>
      <x:c r="B377" s="17" t="str">
        <x:v>GRM1555C1H270JA01D</x:v>
      </x:c>
      <x:c r="C377" s="18" t="n">
        <x:v>100</x:v>
      </x:c>
      <x:c r="D377" s="27" t="n">
        <x:v>0</x:v>
      </x:c>
      <x:c r="E377" s="18" t="n">
        <x:f>INDEX('Assembly BOM'!$C$7:$C$162,MATCH($B377,'Assembly BOM'!$A$7:$A$162,0))</x:f>
        <x:v>2</x:v>
      </x:c>
      <x:c r="F377" s="18" t="n">
        <x:f>C377*E377</x:f>
        <x:v>200</x:v>
      </x:c>
      <x:c r="G377" s="18" t="n">
        <x:f>ROUNDUP(F377*(1+D377),0)</x:f>
        <x:v>200</x:v>
      </x:c>
      <x:c r="H377" s="18" t="n">
        <x:f>INDEX('Dated offers'!$F$7:$F$305,MATCH($Z377,'Dated offers'!$A$7:$A$305,0))</x:f>
        <x:v>1</x:v>
      </x:c>
      <x:c r="I377" s="18" t="n">
        <x:f>INDEX('Dated offers'!$G$7:$G$305,MATCH($Z377,'Dated offers'!$A$7:$A$305,0))</x:f>
        <x:v>1</x:v>
      </x:c>
      <x:c r="J377" s="18" t="n">
        <x:f>CEILING(MAX(G377,H377),I377)</x:f>
        <x:v>200</x:v>
      </x:c>
      <x:c r="K377" s="18" t="n">
        <x:v>200</x:v>
      </x:c>
      <x:c r="L377" s="18" t="n">
        <x:f>INDEX('Dated offers'!$I$7:$I$305,MATCH($Z377,'Dated offers'!$A$7:$A$305,0))</x:f>
        <x:v>100</x:v>
      </x:c>
      <x:c r="M377" s="25" t="n">
        <x:f>INDEX('Dated offers'!$J$7:$J$305,MATCH($Z377,'Dated offers'!$A$7:$A$305,0))</x:f>
        <x:v>0.0119</x:v>
      </x:c>
      <x:c r="N377" s="25" t="n">
        <x:f>INDEX('Dated offers'!$K$7:$K$305,MATCH($Z377,'Dated offers'!$A$7:$A$305,0))</x:f>
        <x:v>0</x:v>
      </x:c>
      <x:c r="O377" s="25" t="n">
        <x:f>F377*M377</x:f>
        <x:v>2.3800000000000003</x:v>
      </x:c>
      <x:c r="P377" s="25" t="n">
        <x:f>G377*M377</x:f>
        <x:v>2.3800000000000003</x:v>
      </x:c>
      <x:c r="Q377" s="25" t="n">
        <x:f>K377*M377+N377</x:f>
        <x:v>2.3800000000000003</x:v>
      </x:c>
      <x:c r="R377" s="18" t="n">
        <x:f>K377-G377</x:f>
        <x:v>0</x:v>
      </x:c>
      <x:c r="S377" s="18" t="n">
        <x:f>INDEX('Dated offers'!$H$7:$H$305,MATCH($Z377,'Dated offers'!$A$7:$A$305,0))</x:f>
        <x:v>4471424</x:v>
      </x:c>
      <x:c r="T377" s="2" t="str">
        <x:f>IF(K377&lt;G377,"Order below requirement",IF(K377&lt;L377,"Below price tier",IF(ISNUMBER(S377),IF(K377&gt;S377,"Quantity exceeds snapshot","Within quantity snapshot"),"Stock not stated")))</x:f>
        <x:v>Within quantity snapshot</x:v>
      </x:c>
      <x:c r="U377" s="2" t="str">
        <x:f>INDEX('Dated offers'!$C$7:$C$305,MATCH($Z377,'Dated offers'!$A$7:$A$305,0))</x:f>
        <x:v>DigiKey</x:v>
      </x:c>
      <x:c r="V377" s="2" t="str">
        <x:f>INDEX('Dated offers'!$D$7:$D$305,MATCH($Z377,'Dated offers'!$A$7:$A$305,0))</x:f>
        <x:v>Not stated</x:v>
      </x:c>
      <x:c r="W377" s="24" t="n">
        <x:f>INDEX('Dated offers'!$E$7:$E$305,MATCH($Z377,'Dated offers'!$A$7:$A$305,0))</x:f>
        <x:v>46307.47807256944</x:v>
      </x:c>
      <x:c r="X377" s="2" t="b">
        <x:f>INDEX('Dated offers'!$N$7:$N$305,MATCH($Z377,'Dated offers'!$A$7:$A$305,0))</x:f>
        <x:v>0</x:v>
      </x:c>
      <x:c r="Y377" s="2" t="str">
        <x:f>INDEX('Dated offers'!$O$7:$O$305,MATCH($Z377,'Dated offers'!$A$7:$A$305,0))</x:f>
        <x:v>Unreserved inventory snapshot</x:v>
      </x:c>
      <x:c r="Z377" s="17" t="str">
        <x:v>OF0214</x:v>
      </x:c>
      <x:c r="AA377" s="2"/>
      <x:c r="AB377" s="2" t="str">
        <x:f>INDEX('Dated offers'!$Q$7:$Q$305,MATCH($Z377,'Dated offers'!$A$7:$A$305,0))</x:f>
        <x:v>https://www.digikey.com/en/products/detail/murata-electronics/GRM1555C1H270JA01D/3175188</x:v>
      </x:c>
    </x:row>
    <x:row r="378" ht="24" customHeight="1">
      <x:c r="A378" s="2" t="str">
        <x:v>100 boards / nominal</x:v>
      </x:c>
      <x:c r="B378" s="17" t="str">
        <x:v>GRM155R71C104KA88D</x:v>
      </x:c>
      <x:c r="C378" s="18" t="n">
        <x:v>100</x:v>
      </x:c>
      <x:c r="D378" s="27" t="n">
        <x:v>0</x:v>
      </x:c>
      <x:c r="E378" s="18" t="n">
        <x:f>INDEX('Assembly BOM'!$C$7:$C$162,MATCH($B378,'Assembly BOM'!$A$7:$A$162,0))</x:f>
        <x:v>5</x:v>
      </x:c>
      <x:c r="F378" s="18" t="n">
        <x:f>C378*E378</x:f>
        <x:v>500</x:v>
      </x:c>
      <x:c r="G378" s="18" t="n">
        <x:f>ROUNDUP(F378*(1+D378),0)</x:f>
        <x:v>500</x:v>
      </x:c>
      <x:c r="H378" s="18" t="n">
        <x:f>INDEX('Dated offers'!$F$7:$F$305,MATCH($Z378,'Dated offers'!$A$7:$A$305,0))</x:f>
        <x:v>100</x:v>
      </x:c>
      <x:c r="I378" s="18" t="n">
        <x:f>INDEX('Dated offers'!$G$7:$G$305,MATCH($Z378,'Dated offers'!$A$7:$A$305,0))</x:f>
        <x:v>100</x:v>
      </x:c>
      <x:c r="J378" s="18" t="n">
        <x:f>CEILING(MAX(G378,H378),I378)</x:f>
        <x:v>500</x:v>
      </x:c>
      <x:c r="K378" s="18" t="n">
        <x:v>500</x:v>
      </x:c>
      <x:c r="L378" s="18" t="n">
        <x:f>INDEX('Dated offers'!$I$7:$I$305,MATCH($Z378,'Dated offers'!$A$7:$A$305,0))</x:f>
        <x:v>100</x:v>
      </x:c>
      <x:c r="M378" s="25" t="n">
        <x:f>INDEX('Dated offers'!$J$7:$J$305,MATCH($Z378,'Dated offers'!$A$7:$A$305,0))</x:f>
        <x:v>0.0052</x:v>
      </x:c>
      <x:c r="N378" s="25" t="n">
        <x:f>INDEX('Dated offers'!$K$7:$K$305,MATCH($Z378,'Dated offers'!$A$7:$A$305,0))</x:f>
        <x:v>0</x:v>
      </x:c>
      <x:c r="O378" s="25" t="n">
        <x:f>F378*M378</x:f>
        <x:v>2.6</x:v>
      </x:c>
      <x:c r="P378" s="25" t="n">
        <x:f>G378*M378</x:f>
        <x:v>2.6</x:v>
      </x:c>
      <x:c r="Q378" s="25" t="n">
        <x:f>K378*M378+N378</x:f>
        <x:v>2.6</x:v>
      </x:c>
      <x:c r="R378" s="18" t="n">
        <x:f>K378-G378</x:f>
        <x:v>0</x:v>
      </x:c>
      <x:c r="S378" s="18" t="n">
        <x:f>INDEX('Dated offers'!$H$7:$H$305,MATCH($Z378,'Dated offers'!$A$7:$A$305,0))</x:f>
        <x:v>957800</x:v>
      </x:c>
      <x:c r="T378" s="2" t="str">
        <x:f>IF(K378&lt;G378,"Order below requirement",IF(K378&lt;L378,"Below price tier",IF(ISNUMBER(S378),IF(K378&gt;S378,"Quantity exceeds snapshot","Within quantity snapshot"),"Stock not stated")))</x:f>
        <x:v>Within quantity snapshot</x:v>
      </x:c>
      <x:c r="U378" s="2" t="str">
        <x:f>INDEX('Dated offers'!$C$7:$C$305,MATCH($Z378,'Dated offers'!$A$7:$A$305,0))</x:f>
        <x:v>LCSC</x:v>
      </x:c>
      <x:c r="V378" s="2" t="str">
        <x:f>INDEX('Dated offers'!$D$7:$D$305,MATCH($Z378,'Dated offers'!$A$7:$A$305,0))</x:f>
        <x:v>C71629</x:v>
      </x:c>
      <x:c r="W378" s="24" t="n">
        <x:f>INDEX('Dated offers'!$E$7:$E$305,MATCH($Z378,'Dated offers'!$A$7:$A$305,0))</x:f>
        <x:v>46307.44742510417</x:v>
      </x:c>
      <x:c r="X378" s="2" t="b">
        <x:f>INDEX('Dated offers'!$N$7:$N$305,MATCH($Z378,'Dated offers'!$A$7:$A$305,0))</x:f>
        <x:v>0</x:v>
      </x:c>
      <x:c r="Y378" s="2" t="str">
        <x:f>INDEX('Dated offers'!$O$7:$O$305,MATCH($Z378,'Dated offers'!$A$7:$A$305,0))</x:f>
        <x:v>Unreserved inventory snapshot</x:v>
      </x:c>
      <x:c r="Z378" s="17" t="str">
        <x:v>OF0060</x:v>
      </x:c>
      <x:c r="AA378" s="2"/>
      <x:c r="AB378" s="2" t="str">
        <x:f>INDEX('Dated offers'!$Q$7:$Q$305,MATCH($Z378,'Dated offers'!$A$7:$A$305,0))</x:f>
        <x:v>https://www.lcsc.com/product-detail/C71629.html</x:v>
      </x:c>
    </x:row>
    <x:row r="379" ht="24" customHeight="1">
      <x:c r="A379" s="2" t="str">
        <x:v>100 boards / nominal</x:v>
      </x:c>
      <x:c r="B379" s="17" t="str">
        <x:v>GRM155R71E222KA01D</x:v>
      </x:c>
      <x:c r="C379" s="18" t="n">
        <x:v>100</x:v>
      </x:c>
      <x:c r="D379" s="27" t="n">
        <x:v>0</x:v>
      </x:c>
      <x:c r="E379" s="18" t="n">
        <x:f>INDEX('Assembly BOM'!$C$7:$C$162,MATCH($B379,'Assembly BOM'!$A$7:$A$162,0))</x:f>
        <x:v>3</x:v>
      </x:c>
      <x:c r="F379" s="18" t="n">
        <x:f>C379*E379</x:f>
        <x:v>300</x:v>
      </x:c>
      <x:c r="G379" s="18" t="n">
        <x:f>ROUNDUP(F379*(1+D379),0)</x:f>
        <x:v>300</x:v>
      </x:c>
      <x:c r="H379" s="18" t="n">
        <x:f>INDEX('Dated offers'!$F$7:$F$305,MATCH($Z379,'Dated offers'!$A$7:$A$305,0))</x:f>
        <x:v>1</x:v>
      </x:c>
      <x:c r="I379" s="18" t="n">
        <x:f>INDEX('Dated offers'!$G$7:$G$305,MATCH($Z379,'Dated offers'!$A$7:$A$305,0))</x:f>
        <x:v>1</x:v>
      </x:c>
      <x:c r="J379" s="18" t="n">
        <x:f>CEILING(MAX(G379,H379),I379)</x:f>
        <x:v>300</x:v>
      </x:c>
      <x:c r="K379" s="18" t="n">
        <x:v>300</x:v>
      </x:c>
      <x:c r="L379" s="18" t="n">
        <x:f>INDEX('Dated offers'!$I$7:$I$305,MATCH($Z379,'Dated offers'!$A$7:$A$305,0))</x:f>
        <x:v>100</x:v>
      </x:c>
      <x:c r="M379" s="25" t="n">
        <x:f>INDEX('Dated offers'!$J$7:$J$305,MATCH($Z379,'Dated offers'!$A$7:$A$305,0))</x:f>
        <x:v>0.0113</x:v>
      </x:c>
      <x:c r="N379" s="25" t="n">
        <x:f>INDEX('Dated offers'!$K$7:$K$305,MATCH($Z379,'Dated offers'!$A$7:$A$305,0))</x:f>
        <x:v>0</x:v>
      </x:c>
      <x:c r="O379" s="25" t="n">
        <x:f>F379*M379</x:f>
        <x:v>3.3899999999999997</x:v>
      </x:c>
      <x:c r="P379" s="25" t="n">
        <x:f>G379*M379</x:f>
        <x:v>3.3899999999999997</x:v>
      </x:c>
      <x:c r="Q379" s="25" t="n">
        <x:f>K379*M379+N379</x:f>
        <x:v>3.3899999999999997</x:v>
      </x:c>
      <x:c r="R379" s="18" t="n">
        <x:f>K379-G379</x:f>
        <x:v>0</x:v>
      </x:c>
      <x:c r="S379" s="18" t="n">
        <x:f>INDEX('Dated offers'!$H$7:$H$305,MATCH($Z379,'Dated offers'!$A$7:$A$305,0))</x:f>
        <x:v>85441</x:v>
      </x:c>
      <x:c r="T379" s="2" t="str">
        <x:f>IF(K379&lt;G379,"Order below requirement",IF(K379&lt;L379,"Below price tier",IF(ISNUMBER(S379),IF(K379&gt;S379,"Quantity exceeds snapshot","Within quantity snapshot"),"Stock not stated")))</x:f>
        <x:v>Within quantity snapshot</x:v>
      </x:c>
      <x:c r="U379" s="2" t="str">
        <x:f>INDEX('Dated offers'!$C$7:$C$305,MATCH($Z379,'Dated offers'!$A$7:$A$305,0))</x:f>
        <x:v>DigiKey</x:v>
      </x:c>
      <x:c r="V379" s="2" t="str">
        <x:f>INDEX('Dated offers'!$D$7:$D$305,MATCH($Z379,'Dated offers'!$A$7:$A$305,0))</x:f>
        <x:v>Not stated</x:v>
      </x:c>
      <x:c r="W379" s="24" t="n">
        <x:f>INDEX('Dated offers'!$E$7:$E$305,MATCH($Z379,'Dated offers'!$A$7:$A$305,0))</x:f>
        <x:v>46307.47807256944</x:v>
      </x:c>
      <x:c r="X379" s="2" t="b">
        <x:f>INDEX('Dated offers'!$N$7:$N$305,MATCH($Z379,'Dated offers'!$A$7:$A$305,0))</x:f>
        <x:v>0</x:v>
      </x:c>
      <x:c r="Y379" s="2" t="str">
        <x:f>INDEX('Dated offers'!$O$7:$O$305,MATCH($Z379,'Dated offers'!$A$7:$A$305,0))</x:f>
        <x:v>Unreserved inventory snapshot</x:v>
      </x:c>
      <x:c r="Z379" s="17" t="str">
        <x:v>OF0215</x:v>
      </x:c>
      <x:c r="AA379" s="2"/>
      <x:c r="AB379" s="2" t="str">
        <x:f>INDEX('Dated offers'!$Q$7:$Q$305,MATCH($Z379,'Dated offers'!$A$7:$A$305,0))</x:f>
        <x:v>https://www.digikey.com/en/products/detail/murata-electronics/GRM155R71E222KA01D/2175226</x:v>
      </x:c>
    </x:row>
    <x:row r="380" ht="24" customHeight="1">
      <x:c r="A380" s="2" t="str">
        <x:v>100 boards / nominal</x:v>
      </x:c>
      <x:c r="B380" s="17" t="str">
        <x:v>GRM188R72A104KA35D</x:v>
      </x:c>
      <x:c r="C380" s="18" t="n">
        <x:v>100</x:v>
      </x:c>
      <x:c r="D380" s="27" t="n">
        <x:v>0</x:v>
      </x:c>
      <x:c r="E380" s="18" t="n">
        <x:f>INDEX('Assembly BOM'!$C$7:$C$162,MATCH($B380,'Assembly BOM'!$A$7:$A$162,0))</x:f>
        <x:v>3</x:v>
      </x:c>
      <x:c r="F380" s="18" t="n">
        <x:f>C380*E380</x:f>
        <x:v>300</x:v>
      </x:c>
      <x:c r="G380" s="18" t="n">
        <x:f>ROUNDUP(F380*(1+D380),0)</x:f>
        <x:v>300</x:v>
      </x:c>
      <x:c r="H380" s="18" t="n">
        <x:f>INDEX('Dated offers'!$F$7:$F$305,MATCH($Z380,'Dated offers'!$A$7:$A$305,0))</x:f>
        <x:v>1</x:v>
      </x:c>
      <x:c r="I380" s="18" t="n">
        <x:f>INDEX('Dated offers'!$G$7:$G$305,MATCH($Z380,'Dated offers'!$A$7:$A$305,0))</x:f>
        <x:v>1</x:v>
      </x:c>
      <x:c r="J380" s="18" t="n">
        <x:f>CEILING(MAX(G380,H380),I380)</x:f>
        <x:v>300</x:v>
      </x:c>
      <x:c r="K380" s="18" t="n">
        <x:v>300</x:v>
      </x:c>
      <x:c r="L380" s="18" t="n">
        <x:f>INDEX('Dated offers'!$I$7:$I$305,MATCH($Z380,'Dated offers'!$A$7:$A$305,0))</x:f>
        <x:v>100</x:v>
      </x:c>
      <x:c r="M380" s="25" t="n">
        <x:f>INDEX('Dated offers'!$J$7:$J$305,MATCH($Z380,'Dated offers'!$A$7:$A$305,0))</x:f>
        <x:v>0.0532</x:v>
      </x:c>
      <x:c r="N380" s="25" t="n">
        <x:f>INDEX('Dated offers'!$K$7:$K$305,MATCH($Z380,'Dated offers'!$A$7:$A$305,0))</x:f>
        <x:v>0</x:v>
      </x:c>
      <x:c r="O380" s="25" t="n">
        <x:f>F380*M380</x:f>
        <x:v>15.959999999999999</x:v>
      </x:c>
      <x:c r="P380" s="25" t="n">
        <x:f>G380*M380</x:f>
        <x:v>15.959999999999999</x:v>
      </x:c>
      <x:c r="Q380" s="25" t="n">
        <x:f>K380*M380+N380</x:f>
        <x:v>15.959999999999999</x:v>
      </x:c>
      <x:c r="R380" s="18" t="n">
        <x:f>K380-G380</x:f>
        <x:v>0</x:v>
      </x:c>
      <x:c r="S380" s="18" t="n">
        <x:f>INDEX('Dated offers'!$H$7:$H$305,MATCH($Z380,'Dated offers'!$A$7:$A$305,0))</x:f>
        <x:v>404101</x:v>
      </x:c>
      <x:c r="T380" s="2" t="str">
        <x:f>IF(K380&lt;G380,"Order below requirement",IF(K380&lt;L380,"Below price tier",IF(ISNUMBER(S380),IF(K380&gt;S380,"Quantity exceeds snapshot","Within quantity snapshot"),"Stock not stated")))</x:f>
        <x:v>Within quantity snapshot</x:v>
      </x:c>
      <x:c r="U380" s="2" t="str">
        <x:f>INDEX('Dated offers'!$C$7:$C$305,MATCH($Z380,'Dated offers'!$A$7:$A$305,0))</x:f>
        <x:v>DigiKey</x:v>
      </x:c>
      <x:c r="V380" s="2" t="str">
        <x:f>INDEX('Dated offers'!$D$7:$D$305,MATCH($Z380,'Dated offers'!$A$7:$A$305,0))</x:f>
        <x:v>Exact GRM188R72A104KA35D Cut Tape</x:v>
      </x:c>
      <x:c r="W380" s="24" t="n">
        <x:f>INDEX('Dated offers'!$E$7:$E$305,MATCH($Z380,'Dated offers'!$A$7:$A$305,0))</x:f>
        <x:v>46307.7145725</x:v>
      </x:c>
      <x:c r="X380" s="2" t="b">
        <x:f>INDEX('Dated offers'!$N$7:$N$305,MATCH($Z380,'Dated offers'!$A$7:$A$305,0))</x:f>
        <x:v>0</x:v>
      </x:c>
      <x:c r="Y380" s="2" t="str">
        <x:f>INDEX('Dated offers'!$O$7:$O$305,MATCH($Z380,'Dated offers'!$A$7:$A$305,0))</x:f>
        <x:v>Unreserved inventory snapshot</x:v>
      </x:c>
      <x:c r="Z380" s="17" t="str">
        <x:v>OF0216</x:v>
      </x:c>
      <x:c r="AA380" s="2"/>
      <x:c r="AB380" s="2" t="str">
        <x:f>INDEX('Dated offers'!$Q$7:$Q$305,MATCH($Z380,'Dated offers'!$A$7:$A$305,0))</x:f>
        <x:v>https://www.digikey.com/en/products/detail/murata-electronics/GRM188R72A104KA35D/702826</x:v>
      </x:c>
    </x:row>
    <x:row r="381" ht="24" customHeight="1">
      <x:c r="A381" s="2" t="str">
        <x:v>100 boards / nominal</x:v>
      </x:c>
      <x:c r="B381" s="17" t="str">
        <x:v>GRM31C5C1H224JE02L</x:v>
      </x:c>
      <x:c r="C381" s="18" t="n">
        <x:v>100</x:v>
      </x:c>
      <x:c r="D381" s="27" t="n">
        <x:v>0</x:v>
      </x:c>
      <x:c r="E381" s="18" t="n">
        <x:f>INDEX('Assembly BOM'!$C$7:$C$162,MATCH($B381,'Assembly BOM'!$A$7:$A$162,0))</x:f>
        <x:v>1</x:v>
      </x:c>
      <x:c r="F381" s="18" t="n">
        <x:f>C381*E381</x:f>
        <x:v>100</x:v>
      </x:c>
      <x:c r="G381" s="18" t="n">
        <x:f>ROUNDUP(F381*(1+D381),0)</x:f>
        <x:v>100</x:v>
      </x:c>
      <x:c r="H381" s="18" t="n">
        <x:f>INDEX('Dated offers'!$F$7:$F$305,MATCH($Z381,'Dated offers'!$A$7:$A$305,0))</x:f>
        <x:v>5</x:v>
      </x:c>
      <x:c r="I381" s="18" t="n">
        <x:f>INDEX('Dated offers'!$G$7:$G$305,MATCH($Z381,'Dated offers'!$A$7:$A$305,0))</x:f>
        <x:v>5</x:v>
      </x:c>
      <x:c r="J381" s="18" t="n">
        <x:f>CEILING(MAX(G381,H381),I381)</x:f>
        <x:v>100</x:v>
      </x:c>
      <x:c r="K381" s="18" t="n">
        <x:v>100</x:v>
      </x:c>
      <x:c r="L381" s="18" t="n">
        <x:f>INDEX('Dated offers'!$I$7:$I$305,MATCH($Z381,'Dated offers'!$A$7:$A$305,0))</x:f>
        <x:v>50</x:v>
      </x:c>
      <x:c r="M381" s="25" t="n">
        <x:f>INDEX('Dated offers'!$J$7:$J$305,MATCH($Z381,'Dated offers'!$A$7:$A$305,0))</x:f>
        <x:v>0.2897</x:v>
      </x:c>
      <x:c r="N381" s="25" t="n">
        <x:f>INDEX('Dated offers'!$K$7:$K$305,MATCH($Z381,'Dated offers'!$A$7:$A$305,0))</x:f>
        <x:v>0</x:v>
      </x:c>
      <x:c r="O381" s="25" t="n">
        <x:f>F381*M381</x:f>
        <x:v>28.970000000000002</x:v>
      </x:c>
      <x:c r="P381" s="25" t="n">
        <x:f>G381*M381</x:f>
        <x:v>28.970000000000002</x:v>
      </x:c>
      <x:c r="Q381" s="25" t="n">
        <x:f>K381*M381+N381</x:f>
        <x:v>28.970000000000002</x:v>
      </x:c>
      <x:c r="R381" s="18" t="n">
        <x:f>K381-G381</x:f>
        <x:v>0</x:v>
      </x:c>
      <x:c r="S381" s="18" t="n">
        <x:f>INDEX('Dated offers'!$H$7:$H$305,MATCH($Z381,'Dated offers'!$A$7:$A$305,0))</x:f>
        <x:v>68865</x:v>
      </x:c>
      <x:c r="T381" s="2" t="str">
        <x:f>IF(K381&lt;G381,"Order below requirement",IF(K381&lt;L381,"Below price tier",IF(ISNUMBER(S381),IF(K381&gt;S381,"Quantity exceeds snapshot","Within quantity snapshot"),"Stock not stated")))</x:f>
        <x:v>Within quantity snapshot</x:v>
      </x:c>
      <x:c r="U381" s="2" t="str">
        <x:f>INDEX('Dated offers'!$C$7:$C$305,MATCH($Z381,'Dated offers'!$A$7:$A$305,0))</x:f>
        <x:v>LCSC</x:v>
      </x:c>
      <x:c r="V381" s="2" t="str">
        <x:f>INDEX('Dated offers'!$D$7:$D$305,MATCH($Z381,'Dated offers'!$A$7:$A$305,0))</x:f>
        <x:v>C464977</x:v>
      </x:c>
      <x:c r="W381" s="24" t="n">
        <x:f>INDEX('Dated offers'!$E$7:$E$305,MATCH($Z381,'Dated offers'!$A$7:$A$305,0))</x:f>
        <x:v>46307.619585625</x:v>
      </x:c>
      <x:c r="X381" s="2" t="b">
        <x:f>INDEX('Dated offers'!$N$7:$N$305,MATCH($Z381,'Dated offers'!$A$7:$A$305,0))</x:f>
        <x:v>0</x:v>
      </x:c>
      <x:c r="Y381" s="2" t="str">
        <x:f>INDEX('Dated offers'!$O$7:$O$305,MATCH($Z381,'Dated offers'!$A$7:$A$305,0))</x:f>
        <x:v>Unreserved inventory snapshot</x:v>
      </x:c>
      <x:c r="Z381" s="17" t="str">
        <x:v>OF0217</x:v>
      </x:c>
      <x:c r="AA381" s="2"/>
      <x:c r="AB381" s="2" t="str">
        <x:f>INDEX('Dated offers'!$Q$7:$Q$305,MATCH($Z381,'Dated offers'!$A$7:$A$305,0))</x:f>
        <x:v>https://www.lcsc.com/product-detail/C464977.html</x:v>
      </x:c>
    </x:row>
    <x:row r="382" ht="24" customHeight="1">
      <x:c r="A382" s="2" t="str">
        <x:v>100 boards / nominal</x:v>
      </x:c>
      <x:c r="B382" s="17" t="str">
        <x:v>GRM31C5C2A683JA01L</x:v>
      </x:c>
      <x:c r="C382" s="18" t="n">
        <x:v>100</x:v>
      </x:c>
      <x:c r="D382" s="27" t="n">
        <x:v>0</x:v>
      </x:c>
      <x:c r="E382" s="18" t="n">
        <x:f>INDEX('Assembly BOM'!$C$7:$C$162,MATCH($B382,'Assembly BOM'!$A$7:$A$162,0))</x:f>
        <x:v>1</x:v>
      </x:c>
      <x:c r="F382" s="18" t="n">
        <x:f>C382*E382</x:f>
        <x:v>100</x:v>
      </x:c>
      <x:c r="G382" s="18" t="n">
        <x:f>ROUNDUP(F382*(1+D382),0)</x:f>
        <x:v>100</x:v>
      </x:c>
      <x:c r="H382" s="18" t="n">
        <x:f>INDEX('Dated offers'!$F$7:$F$305,MATCH($Z382,'Dated offers'!$A$7:$A$305,0))</x:f>
        <x:v>1</x:v>
      </x:c>
      <x:c r="I382" s="18" t="n">
        <x:f>INDEX('Dated offers'!$G$7:$G$305,MATCH($Z382,'Dated offers'!$A$7:$A$305,0))</x:f>
        <x:v>1</x:v>
      </x:c>
      <x:c r="J382" s="18" t="n">
        <x:f>CEILING(MAX(G382,H382),I382)</x:f>
        <x:v>100</x:v>
      </x:c>
      <x:c r="K382" s="18" t="n">
        <x:v>100</x:v>
      </x:c>
      <x:c r="L382" s="18" t="n">
        <x:f>INDEX('Dated offers'!$I$7:$I$305,MATCH($Z382,'Dated offers'!$A$7:$A$305,0))</x:f>
        <x:v>100</x:v>
      </x:c>
      <x:c r="M382" s="25" t="n">
        <x:f>INDEX('Dated offers'!$J$7:$J$305,MATCH($Z382,'Dated offers'!$A$7:$A$305,0))</x:f>
        <x:v>0.2061</x:v>
      </x:c>
      <x:c r="N382" s="25" t="n">
        <x:f>INDEX('Dated offers'!$K$7:$K$305,MATCH($Z382,'Dated offers'!$A$7:$A$305,0))</x:f>
        <x:v>0</x:v>
      </x:c>
      <x:c r="O382" s="25" t="n">
        <x:f>F382*M382</x:f>
        <x:v>20.61</x:v>
      </x:c>
      <x:c r="P382" s="25" t="n">
        <x:f>G382*M382</x:f>
        <x:v>20.61</x:v>
      </x:c>
      <x:c r="Q382" s="25" t="n">
        <x:f>K382*M382+N382</x:f>
        <x:v>20.61</x:v>
      </x:c>
      <x:c r="R382" s="18" t="n">
        <x:f>K382-G382</x:f>
        <x:v>0</x:v>
      </x:c>
      <x:c r="S382" s="18" t="n">
        <x:f>INDEX('Dated offers'!$H$7:$H$305,MATCH($Z382,'Dated offers'!$A$7:$A$305,0))</x:f>
        <x:v>22417</x:v>
      </x:c>
      <x:c r="T382" s="2" t="str">
        <x:f>IF(K382&lt;G382,"Order below requirement",IF(K382&lt;L382,"Below price tier",IF(ISNUMBER(S382),IF(K382&gt;S382,"Quantity exceeds snapshot","Within quantity snapshot"),"Stock not stated")))</x:f>
        <x:v>Within quantity snapshot</x:v>
      </x:c>
      <x:c r="U382" s="2" t="str">
        <x:f>INDEX('Dated offers'!$C$7:$C$305,MATCH($Z382,'Dated offers'!$A$7:$A$305,0))</x:f>
        <x:v>DigiKey</x:v>
      </x:c>
      <x:c r="V382" s="2" t="str">
        <x:f>INDEX('Dated offers'!$D$7:$D$305,MATCH($Z382,'Dated offers'!$A$7:$A$305,0))</x:f>
        <x:v>Not stated</x:v>
      </x:c>
      <x:c r="W382" s="24" t="n">
        <x:f>INDEX('Dated offers'!$E$7:$E$305,MATCH($Z382,'Dated offers'!$A$7:$A$305,0))</x:f>
        <x:v>46307.47807262732</x:v>
      </x:c>
      <x:c r="X382" s="2" t="b">
        <x:f>INDEX('Dated offers'!$N$7:$N$305,MATCH($Z382,'Dated offers'!$A$7:$A$305,0))</x:f>
        <x:v>0</x:v>
      </x:c>
      <x:c r="Y382" s="2" t="str">
        <x:f>INDEX('Dated offers'!$O$7:$O$305,MATCH($Z382,'Dated offers'!$A$7:$A$305,0))</x:f>
        <x:v>Unreserved inventory snapshot</x:v>
      </x:c>
      <x:c r="Z382" s="17" t="str">
        <x:v>OF0218</x:v>
      </x:c>
      <x:c r="AA382" s="2"/>
      <x:c r="AB382" s="2" t="str">
        <x:f>INDEX('Dated offers'!$Q$7:$Q$305,MATCH($Z382,'Dated offers'!$A$7:$A$305,0))</x:f>
        <x:v>https://www.digikey.com/en/products/detail/murata-electronics/GRM31C5C2A683JA01L/10704119</x:v>
      </x:c>
    </x:row>
    <x:row r="383" ht="24" customHeight="1">
      <x:c r="A383" s="2" t="str">
        <x:v>100 boards / nominal</x:v>
      </x:c>
      <x:c r="B383" s="17" t="str">
        <x:v>H2414QR</x:v>
      </x:c>
      <x:c r="C383" s="18" t="n">
        <x:v>100</x:v>
      </x:c>
      <x:c r="D383" s="27" t="n">
        <x:v>0</x:v>
      </x:c>
      <x:c r="E383" s="18" t="n">
        <x:f>INDEX('Assembly BOM'!$C$7:$C$162,MATCH($B383,'Assembly BOM'!$A$7:$A$162,0))</x:f>
        <x:v>1</x:v>
      </x:c>
      <x:c r="F383" s="18" t="n">
        <x:f>C383*E383</x:f>
        <x:v>100</x:v>
      </x:c>
      <x:c r="G383" s="18" t="n">
        <x:f>ROUNDUP(F383*(1+D383),0)</x:f>
        <x:v>100</x:v>
      </x:c>
      <x:c r="H383" s="18" t="n">
        <x:f>INDEX('Dated offers'!$F$7:$F$305,MATCH($Z383,'Dated offers'!$A$7:$A$305,0))</x:f>
        <x:v>1</x:v>
      </x:c>
      <x:c r="I383" s="18" t="n">
        <x:f>INDEX('Dated offers'!$G$7:$G$305,MATCH($Z383,'Dated offers'!$A$7:$A$305,0))</x:f>
        <x:v>1</x:v>
      </x:c>
      <x:c r="J383" s="18" t="n">
        <x:f>CEILING(MAX(G383,H383),I383)</x:f>
        <x:v>100</x:v>
      </x:c>
      <x:c r="K383" s="18" t="n">
        <x:v>100</x:v>
      </x:c>
      <x:c r="L383" s="18" t="n">
        <x:f>INDEX('Dated offers'!$I$7:$I$305,MATCH($Z383,'Dated offers'!$A$7:$A$305,0))</x:f>
        <x:v>100</x:v>
      </x:c>
      <x:c r="M383" s="25" t="n">
        <x:f>INDEX('Dated offers'!$J$7:$J$305,MATCH($Z383,'Dated offers'!$A$7:$A$305,0))</x:f>
        <x:v>0.6439</x:v>
      </x:c>
      <x:c r="N383" s="25" t="n">
        <x:f>INDEX('Dated offers'!$K$7:$K$305,MATCH($Z383,'Dated offers'!$A$7:$A$305,0))</x:f>
        <x:v>0</x:v>
      </x:c>
      <x:c r="O383" s="25" t="n">
        <x:f>F383*M383</x:f>
        <x:v>64.39</x:v>
      </x:c>
      <x:c r="P383" s="25" t="n">
        <x:f>G383*M383</x:f>
        <x:v>64.39</x:v>
      </x:c>
      <x:c r="Q383" s="25" t="n">
        <x:f>K383*M383+N383</x:f>
        <x:v>64.39</x:v>
      </x:c>
      <x:c r="R383" s="18" t="n">
        <x:f>K383-G383</x:f>
        <x:v>0</x:v>
      </x:c>
      <x:c r="S383" s="18" t="n">
        <x:f>INDEX('Dated offers'!$H$7:$H$305,MATCH($Z383,'Dated offers'!$A$7:$A$305,0))</x:f>
        <x:v>606</x:v>
      </x:c>
      <x:c r="T383" s="2" t="str">
        <x:f>IF(K383&lt;G383,"Order below requirement",IF(K383&lt;L383,"Below price tier",IF(ISNUMBER(S383),IF(K383&gt;S383,"Quantity exceeds snapshot","Within quantity snapshot"),"Stock not stated")))</x:f>
        <x:v>Within quantity snapshot</x:v>
      </x:c>
      <x:c r="U383" s="2" t="str">
        <x:f>INDEX('Dated offers'!$C$7:$C$305,MATCH($Z383,'Dated offers'!$A$7:$A$305,0))</x:f>
        <x:v>LCSC</x:v>
      </x:c>
      <x:c r="V383" s="2" t="str">
        <x:f>INDEX('Dated offers'!$D$7:$D$305,MATCH($Z383,'Dated offers'!$A$7:$A$305,0))</x:f>
        <x:v>C4155001</x:v>
      </x:c>
      <x:c r="W383" s="24" t="n">
        <x:f>INDEX('Dated offers'!$E$7:$E$305,MATCH($Z383,'Dated offers'!$A$7:$A$305,0))</x:f>
        <x:v>46307.447437002316</x:v>
      </x:c>
      <x:c r="X383" s="2" t="b">
        <x:f>INDEX('Dated offers'!$N$7:$N$305,MATCH($Z383,'Dated offers'!$A$7:$A$305,0))</x:f>
        <x:v>0</x:v>
      </x:c>
      <x:c r="Y383" s="2" t="str">
        <x:f>INDEX('Dated offers'!$O$7:$O$305,MATCH($Z383,'Dated offers'!$A$7:$A$305,0))</x:f>
        <x:v>Unreserved inventory snapshot</x:v>
      </x:c>
      <x:c r="Z383" s="17" t="str">
        <x:v>OF0219</x:v>
      </x:c>
      <x:c r="AA383" s="2"/>
      <x:c r="AB383" s="2" t="str">
        <x:f>INDEX('Dated offers'!$Q$7:$Q$305,MATCH($Z383,'Dated offers'!$A$7:$A$305,0))</x:f>
        <x:v>https://www.lcsc.com/product-detail/C4155001.html</x:v>
      </x:c>
    </x:row>
    <x:row r="384" ht="24" customHeight="1">
      <x:c r="A384" s="2" t="str">
        <x:v>100 boards / nominal</x:v>
      </x:c>
      <x:c r="B384" s="17" t="str">
        <x:v>KGM05ACG1H150FH</x:v>
      </x:c>
      <x:c r="C384" s="18" t="n">
        <x:v>100</x:v>
      </x:c>
      <x:c r="D384" s="27" t="n">
        <x:v>0</x:v>
      </x:c>
      <x:c r="E384" s="18" t="n">
        <x:f>INDEX('Assembly BOM'!$C$7:$C$162,MATCH($B384,'Assembly BOM'!$A$7:$A$162,0))</x:f>
        <x:v>2</x:v>
      </x:c>
      <x:c r="F384" s="18" t="n">
        <x:f>C384*E384</x:f>
        <x:v>200</x:v>
      </x:c>
      <x:c r="G384" s="18" t="n">
        <x:f>ROUNDUP(F384*(1+D384),0)</x:f>
        <x:v>200</x:v>
      </x:c>
      <x:c r="H384" s="18" t="n">
        <x:f>INDEX('Dated offers'!$F$7:$F$305,MATCH($Z384,'Dated offers'!$A$7:$A$305,0))</x:f>
        <x:v>1</x:v>
      </x:c>
      <x:c r="I384" s="18" t="n">
        <x:f>INDEX('Dated offers'!$G$7:$G$305,MATCH($Z384,'Dated offers'!$A$7:$A$305,0))</x:f>
        <x:v>1</x:v>
      </x:c>
      <x:c r="J384" s="18" t="n">
        <x:f>CEILING(MAX(G384,H384),I384)</x:f>
        <x:v>200</x:v>
      </x:c>
      <x:c r="K384" s="18" t="n">
        <x:v>200</x:v>
      </x:c>
      <x:c r="L384" s="18" t="n">
        <x:f>INDEX('Dated offers'!$I$7:$I$305,MATCH($Z384,'Dated offers'!$A$7:$A$305,0))</x:f>
        <x:v>100</x:v>
      </x:c>
      <x:c r="M384" s="25" t="n">
        <x:f>INDEX('Dated offers'!$J$7:$J$305,MATCH($Z384,'Dated offers'!$A$7:$A$305,0))</x:f>
        <x:v>0.2879</x:v>
      </x:c>
      <x:c r="N384" s="25" t="n">
        <x:f>INDEX('Dated offers'!$K$7:$K$305,MATCH($Z384,'Dated offers'!$A$7:$A$305,0))</x:f>
        <x:v>0</x:v>
      </x:c>
      <x:c r="O384" s="25" t="n">
        <x:f>F384*M384</x:f>
        <x:v>57.58</x:v>
      </x:c>
      <x:c r="P384" s="25" t="n">
        <x:f>G384*M384</x:f>
        <x:v>57.58</x:v>
      </x:c>
      <x:c r="Q384" s="25" t="n">
        <x:f>K384*M384+N384</x:f>
        <x:v>57.58</x:v>
      </x:c>
      <x:c r="R384" s="18" t="n">
        <x:f>K384-G384</x:f>
        <x:v>0</x:v>
      </x:c>
      <x:c r="S384" s="18" t="n">
        <x:f>INDEX('Dated offers'!$H$7:$H$305,MATCH($Z384,'Dated offers'!$A$7:$A$305,0))</x:f>
        <x:v>36414</x:v>
      </x:c>
      <x:c r="T384" s="2" t="str">
        <x:f>IF(K384&lt;G384,"Order below requirement",IF(K384&lt;L384,"Below price tier",IF(ISNUMBER(S384),IF(K384&gt;S384,"Quantity exceeds snapshot","Within quantity snapshot"),"Stock not stated")))</x:f>
        <x:v>Within quantity snapshot</x:v>
      </x:c>
      <x:c r="U384" s="2" t="str">
        <x:f>INDEX('Dated offers'!$C$7:$C$305,MATCH($Z384,'Dated offers'!$A$7:$A$305,0))</x:f>
        <x:v>DigiKey</x:v>
      </x:c>
      <x:c r="V384" s="2" t="str">
        <x:f>INDEX('Dated offers'!$D$7:$D$305,MATCH($Z384,'Dated offers'!$A$7:$A$305,0))</x:f>
        <x:v>Not stated</x:v>
      </x:c>
      <x:c r="W384" s="24" t="n">
        <x:f>INDEX('Dated offers'!$E$7:$E$305,MATCH($Z384,'Dated offers'!$A$7:$A$305,0))</x:f>
        <x:v>46307.47807253472</x:v>
      </x:c>
      <x:c r="X384" s="2" t="b">
        <x:f>INDEX('Dated offers'!$N$7:$N$305,MATCH($Z384,'Dated offers'!$A$7:$A$305,0))</x:f>
        <x:v>0</x:v>
      </x:c>
      <x:c r="Y384" s="2" t="str">
        <x:f>INDEX('Dated offers'!$O$7:$O$305,MATCH($Z384,'Dated offers'!$A$7:$A$305,0))</x:f>
        <x:v>Unreserved inventory snapshot</x:v>
      </x:c>
      <x:c r="Z384" s="17" t="str">
        <x:v>OF0220</x:v>
      </x:c>
      <x:c r="AA384" s="2"/>
      <x:c r="AB384" s="2" t="str">
        <x:f>INDEX('Dated offers'!$Q$7:$Q$305,MATCH($Z384,'Dated offers'!$A$7:$A$305,0))</x:f>
        <x:v>https://www.digikey.com/en/products/detail/kyocera-avx/KGM05ACG1H150FH/1597388</x:v>
      </x:c>
    </x:row>
    <x:row r="385" ht="24" customHeight="1">
      <x:c r="A385" s="2" t="str">
        <x:v>100 boards / nominal</x:v>
      </x:c>
      <x:c r="B385" s="17" t="str">
        <x:v>L4CL1206LR050DNR-A</x:v>
      </x:c>
      <x:c r="C385" s="18" t="n">
        <x:v>100</x:v>
      </x:c>
      <x:c r="D385" s="27" t="n">
        <x:v>0</x:v>
      </x:c>
      <x:c r="E385" s="18" t="n">
        <x:f>INDEX('Assembly BOM'!$C$7:$C$162,MATCH($B385,'Assembly BOM'!$A$7:$A$162,0))</x:f>
        <x:v>1</x:v>
      </x:c>
      <x:c r="F385" s="18" t="n">
        <x:f>C385*E385</x:f>
        <x:v>100</x:v>
      </x:c>
      <x:c r="G385" s="18" t="n">
        <x:f>ROUNDUP(F385*(1+D385),0)</x:f>
        <x:v>100</x:v>
      </x:c>
      <x:c r="H385" s="18" t="n">
        <x:f>INDEX('Dated offers'!$F$7:$F$305,MATCH($Z385,'Dated offers'!$A$7:$A$305,0))</x:f>
        <x:v>1</x:v>
      </x:c>
      <x:c r="I385" s="18" t="n">
        <x:f>INDEX('Dated offers'!$G$7:$G$305,MATCH($Z385,'Dated offers'!$A$7:$A$305,0))</x:f>
        <x:v>1</x:v>
      </x:c>
      <x:c r="J385" s="18" t="n">
        <x:f>CEILING(MAX(G385,H385),I385)</x:f>
        <x:v>100</x:v>
      </x:c>
      <x:c r="K385" s="18" t="n">
        <x:v>100</x:v>
      </x:c>
      <x:c r="L385" s="18" t="n">
        <x:f>INDEX('Dated offers'!$I$7:$I$305,MATCH($Z385,'Dated offers'!$A$7:$A$305,0))</x:f>
        <x:v>100</x:v>
      </x:c>
      <x:c r="M385" s="25" t="n">
        <x:f>INDEX('Dated offers'!$J$7:$J$305,MATCH($Z385,'Dated offers'!$A$7:$A$305,0))</x:f>
        <x:v>0.7217</x:v>
      </x:c>
      <x:c r="N385" s="25" t="n">
        <x:f>INDEX('Dated offers'!$K$7:$K$305,MATCH($Z385,'Dated offers'!$A$7:$A$305,0))</x:f>
        <x:v>0</x:v>
      </x:c>
      <x:c r="O385" s="25" t="n">
        <x:f>F385*M385</x:f>
        <x:v>72.17</x:v>
      </x:c>
      <x:c r="P385" s="25" t="n">
        <x:f>G385*M385</x:f>
        <x:v>72.17</x:v>
      </x:c>
      <x:c r="Q385" s="25" t="n">
        <x:f>K385*M385+N385</x:f>
        <x:v>72.17</x:v>
      </x:c>
      <x:c r="R385" s="18" t="n">
        <x:f>K385-G385</x:f>
        <x:v>0</x:v>
      </x:c>
      <x:c r="S385" s="18" t="n">
        <x:f>INDEX('Dated offers'!$H$7:$H$305,MATCH($Z385,'Dated offers'!$A$7:$A$305,0))</x:f>
        <x:v>4377</x:v>
      </x:c>
      <x:c r="T385" s="2" t="str">
        <x:f>IF(K385&lt;G385,"Order below requirement",IF(K385&lt;L385,"Below price tier",IF(ISNUMBER(S385),IF(K385&gt;S385,"Quantity exceeds snapshot","Within quantity snapshot"),"Stock not stated")))</x:f>
        <x:v>Within quantity snapshot</x:v>
      </x:c>
      <x:c r="U385" s="2" t="str">
        <x:f>INDEX('Dated offers'!$C$7:$C$305,MATCH($Z385,'Dated offers'!$A$7:$A$305,0))</x:f>
        <x:v>DigiKey</x:v>
      </x:c>
      <x:c r="V385" s="2" t="str">
        <x:f>INDEX('Dated offers'!$D$7:$D$305,MATCH($Z385,'Dated offers'!$A$7:$A$305,0))</x:f>
        <x:v>Not stated</x:v>
      </x:c>
      <x:c r="W385" s="24" t="n">
        <x:f>INDEX('Dated offers'!$E$7:$E$305,MATCH($Z385,'Dated offers'!$A$7:$A$305,0))</x:f>
        <x:v>46307.47807273148</x:v>
      </x:c>
      <x:c r="X385" s="2" t="b">
        <x:f>INDEX('Dated offers'!$N$7:$N$305,MATCH($Z385,'Dated offers'!$A$7:$A$305,0))</x:f>
        <x:v>0</x:v>
      </x:c>
      <x:c r="Y385" s="2" t="str">
        <x:f>INDEX('Dated offers'!$O$7:$O$305,MATCH($Z385,'Dated offers'!$A$7:$A$305,0))</x:f>
        <x:v>Unreserved inventory snapshot</x:v>
      </x:c>
      <x:c r="Z385" s="17" t="str">
        <x:v>OF0221</x:v>
      </x:c>
      <x:c r="AA385" s="2"/>
      <x:c r="AB385" s="2" t="str">
        <x:f>INDEX('Dated offers'!$Q$7:$Q$305,MATCH($Z385,'Dated offers'!$A$7:$A$305,0))</x:f>
        <x:v>https://www.digikey.com/en/products/detail/littelfuse-inc/L4CL1206LR050DNR-A/21737223</x:v>
      </x:c>
    </x:row>
    <x:row r="386" ht="24" customHeight="1">
      <x:c r="A386" s="2" t="str">
        <x:v>100 boards / nominal</x:v>
      </x:c>
      <x:c r="B386" s="17" t="str">
        <x:v>LQW15AN24NH00D</x:v>
      </x:c>
      <x:c r="C386" s="18" t="n">
        <x:v>100</x:v>
      </x:c>
      <x:c r="D386" s="27" t="n">
        <x:v>0</x:v>
      </x:c>
      <x:c r="E386" s="18" t="n">
        <x:f>INDEX('Assembly BOM'!$C$7:$C$162,MATCH($B386,'Assembly BOM'!$A$7:$A$162,0))</x:f>
        <x:v>1</x:v>
      </x:c>
      <x:c r="F386" s="18" t="n">
        <x:f>C386*E386</x:f>
        <x:v>100</x:v>
      </x:c>
      <x:c r="G386" s="18" t="n">
        <x:f>ROUNDUP(F386*(1+D386),0)</x:f>
        <x:v>100</x:v>
      </x:c>
      <x:c r="H386" s="18" t="n">
        <x:f>INDEX('Dated offers'!$F$7:$F$305,MATCH($Z386,'Dated offers'!$A$7:$A$305,0))</x:f>
        <x:v>1</x:v>
      </x:c>
      <x:c r="I386" s="18" t="n">
        <x:f>INDEX('Dated offers'!$G$7:$G$305,MATCH($Z386,'Dated offers'!$A$7:$A$305,0))</x:f>
        <x:v>1</x:v>
      </x:c>
      <x:c r="J386" s="18" t="n">
        <x:f>CEILING(MAX(G386,H386),I386)</x:f>
        <x:v>100</x:v>
      </x:c>
      <x:c r="K386" s="18" t="n">
        <x:v>100</x:v>
      </x:c>
      <x:c r="L386" s="18" t="n">
        <x:f>INDEX('Dated offers'!$I$7:$I$305,MATCH($Z386,'Dated offers'!$A$7:$A$305,0))</x:f>
        <x:v>100</x:v>
      </x:c>
      <x:c r="M386" s="25" t="n">
        <x:f>INDEX('Dated offers'!$J$7:$J$305,MATCH($Z386,'Dated offers'!$A$7:$A$305,0))</x:f>
        <x:v>0.0757</x:v>
      </x:c>
      <x:c r="N386" s="25" t="n">
        <x:f>INDEX('Dated offers'!$K$7:$K$305,MATCH($Z386,'Dated offers'!$A$7:$A$305,0))</x:f>
        <x:v>0</x:v>
      </x:c>
      <x:c r="O386" s="25" t="n">
        <x:f>F386*M386</x:f>
        <x:v>7.57</x:v>
      </x:c>
      <x:c r="P386" s="25" t="n">
        <x:f>G386*M386</x:f>
        <x:v>7.57</x:v>
      </x:c>
      <x:c r="Q386" s="25" t="n">
        <x:f>K386*M386+N386</x:f>
        <x:v>7.57</x:v>
      </x:c>
      <x:c r="R386" s="18" t="n">
        <x:f>K386-G386</x:f>
        <x:v>0</x:v>
      </x:c>
      <x:c r="S386" s="18" t="n">
        <x:f>INDEX('Dated offers'!$H$7:$H$305,MATCH($Z386,'Dated offers'!$A$7:$A$305,0))</x:f>
        <x:v>11410</x:v>
      </x:c>
      <x:c r="T386" s="2" t="str">
        <x:f>IF(K386&lt;G386,"Order below requirement",IF(K386&lt;L386,"Below price tier",IF(ISNUMBER(S386),IF(K386&gt;S386,"Quantity exceeds snapshot","Within quantity snapshot"),"Stock not stated")))</x:f>
        <x:v>Within quantity snapshot</x:v>
      </x:c>
      <x:c r="U386" s="2" t="str">
        <x:f>INDEX('Dated offers'!$C$7:$C$305,MATCH($Z386,'Dated offers'!$A$7:$A$305,0))</x:f>
        <x:v>DigiKey</x:v>
      </x:c>
      <x:c r="V386" s="2" t="str">
        <x:f>INDEX('Dated offers'!$D$7:$D$305,MATCH($Z386,'Dated offers'!$A$7:$A$305,0))</x:f>
        <x:v>Not stated</x:v>
      </x:c>
      <x:c r="W386" s="24" t="n">
        <x:f>INDEX('Dated offers'!$E$7:$E$305,MATCH($Z386,'Dated offers'!$A$7:$A$305,0))</x:f>
        <x:v>46307.47807253472</x:v>
      </x:c>
      <x:c r="X386" s="2" t="b">
        <x:f>INDEX('Dated offers'!$N$7:$N$305,MATCH($Z386,'Dated offers'!$A$7:$A$305,0))</x:f>
        <x:v>0</x:v>
      </x:c>
      <x:c r="Y386" s="2" t="str">
        <x:f>INDEX('Dated offers'!$O$7:$O$305,MATCH($Z386,'Dated offers'!$A$7:$A$305,0))</x:f>
        <x:v>Unreserved inventory snapshot</x:v>
      </x:c>
      <x:c r="Z386" s="17" t="str">
        <x:v>OF0222</x:v>
      </x:c>
      <x:c r="AA386" s="2"/>
      <x:c r="AB386" s="2" t="str">
        <x:f>INDEX('Dated offers'!$Q$7:$Q$305,MATCH($Z386,'Dated offers'!$A$7:$A$305,0))</x:f>
        <x:v>https://www.digikey.com/en/products/detail/murata-electronics/LQW15AN24NH00D/700017</x:v>
      </x:c>
    </x:row>
    <x:row r="387" ht="24" customHeight="1">
      <x:c r="A387" s="2" t="str">
        <x:v>100 boards / nominal</x:v>
      </x:c>
      <x:c r="B387" s="17" t="str">
        <x:v>LTST-C190KGKT</x:v>
      </x:c>
      <x:c r="C387" s="18" t="n">
        <x:v>100</x:v>
      </x:c>
      <x:c r="D387" s="27" t="n">
        <x:v>0</x:v>
      </x:c>
      <x:c r="E387" s="18" t="n">
        <x:f>INDEX('Assembly BOM'!$C$7:$C$162,MATCH($B387,'Assembly BOM'!$A$7:$A$162,0))</x:f>
        <x:v>2</x:v>
      </x:c>
      <x:c r="F387" s="18" t="n">
        <x:f>C387*E387</x:f>
        <x:v>200</x:v>
      </x:c>
      <x:c r="G387" s="18" t="n">
        <x:f>ROUNDUP(F387*(1+D387),0)</x:f>
        <x:v>200</x:v>
      </x:c>
      <x:c r="H387" s="18" t="n">
        <x:f>INDEX('Dated offers'!$F$7:$F$305,MATCH($Z387,'Dated offers'!$A$7:$A$305,0))</x:f>
        <x:v>50</x:v>
      </x:c>
      <x:c r="I387" s="18" t="n">
        <x:f>INDEX('Dated offers'!$G$7:$G$305,MATCH($Z387,'Dated offers'!$A$7:$A$305,0))</x:f>
        <x:v>50</x:v>
      </x:c>
      <x:c r="J387" s="18" t="n">
        <x:f>CEILING(MAX(G387,H387),I387)</x:f>
        <x:v>200</x:v>
      </x:c>
      <x:c r="K387" s="18" t="n">
        <x:v>200</x:v>
      </x:c>
      <x:c r="L387" s="18" t="n">
        <x:f>INDEX('Dated offers'!$I$7:$I$305,MATCH($Z387,'Dated offers'!$A$7:$A$305,0))</x:f>
        <x:v>50</x:v>
      </x:c>
      <x:c r="M387" s="25" t="n">
        <x:f>INDEX('Dated offers'!$J$7:$J$305,MATCH($Z387,'Dated offers'!$A$7:$A$305,0))</x:f>
        <x:v>0.0168</x:v>
      </x:c>
      <x:c r="N387" s="25" t="n">
        <x:f>INDEX('Dated offers'!$K$7:$K$305,MATCH($Z387,'Dated offers'!$A$7:$A$305,0))</x:f>
        <x:v>0</x:v>
      </x:c>
      <x:c r="O387" s="25" t="n">
        <x:f>F387*M387</x:f>
        <x:v>3.36</x:v>
      </x:c>
      <x:c r="P387" s="25" t="n">
        <x:f>G387*M387</x:f>
        <x:v>3.36</x:v>
      </x:c>
      <x:c r="Q387" s="25" t="n">
        <x:f>K387*M387+N387</x:f>
        <x:v>3.36</x:v>
      </x:c>
      <x:c r="R387" s="18" t="n">
        <x:f>K387-G387</x:f>
        <x:v>0</x:v>
      </x:c>
      <x:c r="S387" s="18" t="n">
        <x:f>INDEX('Dated offers'!$H$7:$H$305,MATCH($Z387,'Dated offers'!$A$7:$A$305,0))</x:f>
        <x:v>280550</x:v>
      </x:c>
      <x:c r="T387" s="2" t="str">
        <x:f>IF(K387&lt;G387,"Order below requirement",IF(K387&lt;L387,"Below price tier",IF(ISNUMBER(S387),IF(K387&gt;S387,"Quantity exceeds snapshot","Within quantity snapshot"),"Stock not stated")))</x:f>
        <x:v>Within quantity snapshot</x:v>
      </x:c>
      <x:c r="U387" s="2" t="str">
        <x:f>INDEX('Dated offers'!$C$7:$C$305,MATCH($Z387,'Dated offers'!$A$7:$A$305,0))</x:f>
        <x:v>LCSC</x:v>
      </x:c>
      <x:c r="V387" s="2" t="str">
        <x:f>INDEX('Dated offers'!$D$7:$D$305,MATCH($Z387,'Dated offers'!$A$7:$A$305,0))</x:f>
        <x:v>C125094</x:v>
      </x:c>
      <x:c r="W387" s="24" t="n">
        <x:f>INDEX('Dated offers'!$E$7:$E$305,MATCH($Z387,'Dated offers'!$A$7:$A$305,0))</x:f>
        <x:v>46307.44744065972</x:v>
      </x:c>
      <x:c r="X387" s="2" t="b">
        <x:f>INDEX('Dated offers'!$N$7:$N$305,MATCH($Z387,'Dated offers'!$A$7:$A$305,0))</x:f>
        <x:v>0</x:v>
      </x:c>
      <x:c r="Y387" s="2" t="str">
        <x:f>INDEX('Dated offers'!$O$7:$O$305,MATCH($Z387,'Dated offers'!$A$7:$A$305,0))</x:f>
        <x:v>Unreserved inventory snapshot</x:v>
      </x:c>
      <x:c r="Z387" s="17" t="str">
        <x:v>OF0069</x:v>
      </x:c>
      <x:c r="AA387" s="2"/>
      <x:c r="AB387" s="2" t="str">
        <x:f>INDEX('Dated offers'!$Q$7:$Q$305,MATCH($Z387,'Dated offers'!$A$7:$A$305,0))</x:f>
        <x:v>https://www.lcsc.com/product-detail/C125094.html</x:v>
      </x:c>
    </x:row>
    <x:row r="388" ht="24" customHeight="1">
      <x:c r="A388" s="2" t="str">
        <x:v>100 boards / nominal</x:v>
      </x:c>
      <x:c r="B388" s="17" t="str">
        <x:v>LTST-C190KSKT</x:v>
      </x:c>
      <x:c r="C388" s="18" t="n">
        <x:v>100</x:v>
      </x:c>
      <x:c r="D388" s="27" t="n">
        <x:v>0</x:v>
      </x:c>
      <x:c r="E388" s="18" t="n">
        <x:f>INDEX('Assembly BOM'!$C$7:$C$162,MATCH($B388,'Assembly BOM'!$A$7:$A$162,0))</x:f>
        <x:v>1</x:v>
      </x:c>
      <x:c r="F388" s="18" t="n">
        <x:f>C388*E388</x:f>
        <x:v>100</x:v>
      </x:c>
      <x:c r="G388" s="18" t="n">
        <x:f>ROUNDUP(F388*(1+D388),0)</x:f>
        <x:v>100</x:v>
      </x:c>
      <x:c r="H388" s="18" t="n">
        <x:f>INDEX('Dated offers'!$F$7:$F$305,MATCH($Z388,'Dated offers'!$A$7:$A$305,0))</x:f>
        <x:v>20</x:v>
      </x:c>
      <x:c r="I388" s="18" t="n">
        <x:f>INDEX('Dated offers'!$G$7:$G$305,MATCH($Z388,'Dated offers'!$A$7:$A$305,0))</x:f>
        <x:v>20</x:v>
      </x:c>
      <x:c r="J388" s="18" t="n">
        <x:f>CEILING(MAX(G388,H388),I388)</x:f>
        <x:v>100</x:v>
      </x:c>
      <x:c r="K388" s="18" t="n">
        <x:v>100</x:v>
      </x:c>
      <x:c r="L388" s="18" t="n">
        <x:f>INDEX('Dated offers'!$I$7:$I$305,MATCH($Z388,'Dated offers'!$A$7:$A$305,0))</x:f>
        <x:v>20</x:v>
      </x:c>
      <x:c r="M388" s="25" t="n">
        <x:f>INDEX('Dated offers'!$J$7:$J$305,MATCH($Z388,'Dated offers'!$A$7:$A$305,0))</x:f>
        <x:v>0.0235</x:v>
      </x:c>
      <x:c r="N388" s="25" t="n">
        <x:f>INDEX('Dated offers'!$K$7:$K$305,MATCH($Z388,'Dated offers'!$A$7:$A$305,0))</x:f>
        <x:v>0</x:v>
      </x:c>
      <x:c r="O388" s="25" t="n">
        <x:f>F388*M388</x:f>
        <x:v>2.35</x:v>
      </x:c>
      <x:c r="P388" s="25" t="n">
        <x:f>G388*M388</x:f>
        <x:v>2.35</x:v>
      </x:c>
      <x:c r="Q388" s="25" t="n">
        <x:f>K388*M388+N388</x:f>
        <x:v>2.35</x:v>
      </x:c>
      <x:c r="R388" s="18" t="n">
        <x:f>K388-G388</x:f>
        <x:v>0</x:v>
      </x:c>
      <x:c r="S388" s="18" t="n">
        <x:f>INDEX('Dated offers'!$H$7:$H$305,MATCH($Z388,'Dated offers'!$A$7:$A$305,0))</x:f>
        <x:v>100880</x:v>
      </x:c>
      <x:c r="T388" s="2" t="str">
        <x:f>IF(K388&lt;G388,"Order below requirement",IF(K388&lt;L388,"Below price tier",IF(ISNUMBER(S388),IF(K388&gt;S388,"Quantity exceeds snapshot","Within quantity snapshot"),"Stock not stated")))</x:f>
        <x:v>Within quantity snapshot</x:v>
      </x:c>
      <x:c r="U388" s="2" t="str">
        <x:f>INDEX('Dated offers'!$C$7:$C$305,MATCH($Z388,'Dated offers'!$A$7:$A$305,0))</x:f>
        <x:v>LCSC</x:v>
      </x:c>
      <x:c r="V388" s="2" t="str">
        <x:f>INDEX('Dated offers'!$D$7:$D$305,MATCH($Z388,'Dated offers'!$A$7:$A$305,0))</x:f>
        <x:v>C125095</x:v>
      </x:c>
      <x:c r="W388" s="24" t="n">
        <x:f>INDEX('Dated offers'!$E$7:$E$305,MATCH($Z388,'Dated offers'!$A$7:$A$305,0))</x:f>
        <x:v>46307.44744263889</x:v>
      </x:c>
      <x:c r="X388" s="2" t="b">
        <x:f>INDEX('Dated offers'!$N$7:$N$305,MATCH($Z388,'Dated offers'!$A$7:$A$305,0))</x:f>
        <x:v>0</x:v>
      </x:c>
      <x:c r="Y388" s="2" t="str">
        <x:f>INDEX('Dated offers'!$O$7:$O$305,MATCH($Z388,'Dated offers'!$A$7:$A$305,0))</x:f>
        <x:v>Unreserved inventory snapshot</x:v>
      </x:c>
      <x:c r="Z388" s="17" t="str">
        <x:v>OF0070</x:v>
      </x:c>
      <x:c r="AA388" s="2"/>
      <x:c r="AB388" s="2" t="str">
        <x:f>INDEX('Dated offers'!$Q$7:$Q$305,MATCH($Z388,'Dated offers'!$A$7:$A$305,0))</x:f>
        <x:v>https://www.lcsc.com/product-detail/C125095.html</x:v>
      </x:c>
    </x:row>
    <x:row r="389" ht="24" customHeight="1">
      <x:c r="A389" s="2" t="str">
        <x:v>100 boards / nominal</x:v>
      </x:c>
      <x:c r="B389" s="17" t="str">
        <x:v>MMSZ5240B-7-F</x:v>
      </x:c>
      <x:c r="C389" s="18" t="n">
        <x:v>100</x:v>
      </x:c>
      <x:c r="D389" s="27" t="n">
        <x:v>0</x:v>
      </x:c>
      <x:c r="E389" s="18" t="n">
        <x:f>INDEX('Assembly BOM'!$C$7:$C$162,MATCH($B389,'Assembly BOM'!$A$7:$A$162,0))</x:f>
        <x:v>1</x:v>
      </x:c>
      <x:c r="F389" s="18" t="n">
        <x:f>C389*E389</x:f>
        <x:v>100</x:v>
      </x:c>
      <x:c r="G389" s="18" t="n">
        <x:f>ROUNDUP(F389*(1+D389),0)</x:f>
        <x:v>100</x:v>
      </x:c>
      <x:c r="H389" s="18" t="n">
        <x:f>INDEX('Dated offers'!$F$7:$F$305,MATCH($Z389,'Dated offers'!$A$7:$A$305,0))</x:f>
        <x:v>1</x:v>
      </x:c>
      <x:c r="I389" s="18" t="n">
        <x:f>INDEX('Dated offers'!$G$7:$G$305,MATCH($Z389,'Dated offers'!$A$7:$A$305,0))</x:f>
        <x:v>1</x:v>
      </x:c>
      <x:c r="J389" s="18" t="n">
        <x:f>CEILING(MAX(G389,H389),I389)</x:f>
        <x:v>100</x:v>
      </x:c>
      <x:c r="K389" s="18" t="n">
        <x:v>100</x:v>
      </x:c>
      <x:c r="L389" s="18" t="n">
        <x:f>INDEX('Dated offers'!$I$7:$I$305,MATCH($Z389,'Dated offers'!$A$7:$A$305,0))</x:f>
        <x:v>100</x:v>
      </x:c>
      <x:c r="M389" s="25" t="n">
        <x:f>INDEX('Dated offers'!$J$7:$J$305,MATCH($Z389,'Dated offers'!$A$7:$A$305,0))</x:f>
        <x:v>0.0787</x:v>
      </x:c>
      <x:c r="N389" s="25" t="n">
        <x:f>INDEX('Dated offers'!$K$7:$K$305,MATCH($Z389,'Dated offers'!$A$7:$A$305,0))</x:f>
        <x:v>0</x:v>
      </x:c>
      <x:c r="O389" s="25" t="n">
        <x:f>F389*M389</x:f>
        <x:v>7.870000000000001</x:v>
      </x:c>
      <x:c r="P389" s="25" t="n">
        <x:f>G389*M389</x:f>
        <x:v>7.870000000000001</x:v>
      </x:c>
      <x:c r="Q389" s="25" t="n">
        <x:f>K389*M389+N389</x:f>
        <x:v>7.870000000000001</x:v>
      </x:c>
      <x:c r="R389" s="18" t="n">
        <x:f>K389-G389</x:f>
        <x:v>0</x:v>
      </x:c>
      <x:c r="S389" s="18" t="n">
        <x:f>INDEX('Dated offers'!$H$7:$H$305,MATCH($Z389,'Dated offers'!$A$7:$A$305,0))</x:f>
        <x:v>4023</x:v>
      </x:c>
      <x:c r="T389" s="2" t="str">
        <x:f>IF(K389&lt;G389,"Order below requirement",IF(K389&lt;L389,"Below price tier",IF(ISNUMBER(S389),IF(K389&gt;S389,"Quantity exceeds snapshot","Within quantity snapshot"),"Stock not stated")))</x:f>
        <x:v>Within quantity snapshot</x:v>
      </x:c>
      <x:c r="U389" s="2" t="str">
        <x:f>INDEX('Dated offers'!$C$7:$C$305,MATCH($Z389,'Dated offers'!$A$7:$A$305,0))</x:f>
        <x:v>DigiKey</x:v>
      </x:c>
      <x:c r="V389" s="2" t="str">
        <x:f>INDEX('Dated offers'!$D$7:$D$305,MATCH($Z389,'Dated offers'!$A$7:$A$305,0))</x:f>
        <x:v>Not stated</x:v>
      </x:c>
      <x:c r="W389" s="24" t="n">
        <x:f>INDEX('Dated offers'!$E$7:$E$305,MATCH($Z389,'Dated offers'!$A$7:$A$305,0))</x:f>
        <x:v>46307.47807266204</x:v>
      </x:c>
      <x:c r="X389" s="2" t="b">
        <x:f>INDEX('Dated offers'!$N$7:$N$305,MATCH($Z389,'Dated offers'!$A$7:$A$305,0))</x:f>
        <x:v>0</x:v>
      </x:c>
      <x:c r="Y389" s="2" t="str">
        <x:f>INDEX('Dated offers'!$O$7:$O$305,MATCH($Z389,'Dated offers'!$A$7:$A$305,0))</x:f>
        <x:v>Unreserved inventory snapshot</x:v>
      </x:c>
      <x:c r="Z389" s="17" t="str">
        <x:v>OF0223</x:v>
      </x:c>
      <x:c r="AA389" s="2"/>
      <x:c r="AB389" s="2" t="str">
        <x:f>INDEX('Dated offers'!$Q$7:$Q$305,MATCH($Z389,'Dated offers'!$A$7:$A$305,0))</x:f>
        <x:v>https://www.digikey.com/en/products/detail/diodes-incorporated/MMSZ5240B-7-F/814369</x:v>
      </x:c>
    </x:row>
    <x:row r="390" ht="24" customHeight="1">
      <x:c r="A390" s="2" t="str">
        <x:v>100 boards / nominal</x:v>
      </x:c>
      <x:c r="B390" s="17" t="str">
        <x:v>MP2329GG-P</x:v>
      </x:c>
      <x:c r="C390" s="18" t="n">
        <x:v>100</x:v>
      </x:c>
      <x:c r="D390" s="27" t="n">
        <x:v>0</x:v>
      </x:c>
      <x:c r="E390" s="18" t="n">
        <x:f>INDEX('Assembly BOM'!$C$7:$C$162,MATCH($B390,'Assembly BOM'!$A$7:$A$162,0))</x:f>
        <x:v>1</x:v>
      </x:c>
      <x:c r="F390" s="18" t="n">
        <x:f>C390*E390</x:f>
        <x:v>100</x:v>
      </x:c>
      <x:c r="G390" s="18" t="n">
        <x:f>ROUNDUP(F390*(1+D390),0)</x:f>
        <x:v>100</x:v>
      </x:c>
      <x:c r="H390" s="18" t="n">
        <x:f>INDEX('Dated offers'!$F$7:$F$305,MATCH($Z390,'Dated offers'!$A$7:$A$305,0))</x:f>
        <x:v>1</x:v>
      </x:c>
      <x:c r="I390" s="18" t="n">
        <x:f>INDEX('Dated offers'!$G$7:$G$305,MATCH($Z390,'Dated offers'!$A$7:$A$305,0))</x:f>
        <x:v>1</x:v>
      </x:c>
      <x:c r="J390" s="18" t="n">
        <x:f>CEILING(MAX(G390,H390),I390)</x:f>
        <x:v>100</x:v>
      </x:c>
      <x:c r="K390" s="18" t="n">
        <x:v>100</x:v>
      </x:c>
      <x:c r="L390" s="18" t="n">
        <x:f>INDEX('Dated offers'!$I$7:$I$305,MATCH($Z390,'Dated offers'!$A$7:$A$305,0))</x:f>
        <x:v>100</x:v>
      </x:c>
      <x:c r="M390" s="25" t="n">
        <x:f>INDEX('Dated offers'!$J$7:$J$305,MATCH($Z390,'Dated offers'!$A$7:$A$305,0))</x:f>
        <x:v>1.15</x:v>
      </x:c>
      <x:c r="N390" s="25" t="n">
        <x:f>INDEX('Dated offers'!$K$7:$K$305,MATCH($Z390,'Dated offers'!$A$7:$A$305,0))</x:f>
        <x:v>0</x:v>
      </x:c>
      <x:c r="O390" s="25" t="n">
        <x:f>F390*M390</x:f>
        <x:v>114.99999999999999</x:v>
      </x:c>
      <x:c r="P390" s="25" t="n">
        <x:f>G390*M390</x:f>
        <x:v>114.99999999999999</x:v>
      </x:c>
      <x:c r="Q390" s="25" t="n">
        <x:f>K390*M390+N390</x:f>
        <x:v>114.99999999999999</x:v>
      </x:c>
      <x:c r="R390" s="18" t="n">
        <x:f>K390-G390</x:f>
        <x:v>0</x:v>
      </x:c>
      <x:c r="S390" s="18" t="n">
        <x:f>INDEX('Dated offers'!$H$7:$H$305,MATCH($Z390,'Dated offers'!$A$7:$A$305,0))</x:f>
        <x:v>11638</x:v>
      </x:c>
      <x:c r="T390" s="2" t="str">
        <x:f>IF(K390&lt;G390,"Order below requirement",IF(K390&lt;L390,"Below price tier",IF(ISNUMBER(S390),IF(K390&gt;S390,"Quantity exceeds snapshot","Within quantity snapshot"),"Stock not stated")))</x:f>
        <x:v>Within quantity snapshot</x:v>
      </x:c>
      <x:c r="U390" s="2" t="str">
        <x:f>INDEX('Dated offers'!$C$7:$C$305,MATCH($Z390,'Dated offers'!$A$7:$A$305,0))</x:f>
        <x:v>MPS direct</x:v>
      </x:c>
      <x:c r="V390" s="2" t="str">
        <x:f>INDEX('Dated offers'!$D$7:$D$305,MATCH($Z390,'Dated offers'!$A$7:$A$305,0))</x:f>
        <x:v>MP2329GG-P or primary same-die GG-Z reel alias</x:v>
      </x:c>
      <x:c r="W390" s="24" t="n">
        <x:f>INDEX('Dated offers'!$E$7:$E$305,MATCH($Z390,'Dated offers'!$A$7:$A$305,0))</x:f>
        <x:v>46307</x:v>
      </x:c>
      <x:c r="X390" s="2" t="b">
        <x:f>INDEX('Dated offers'!$N$7:$N$305,MATCH($Z390,'Dated offers'!$A$7:$A$305,0))</x:f>
        <x:v>0</x:v>
      </x:c>
      <x:c r="Y390" s="2" t="str">
        <x:f>INDEX('Dated offers'!$O$7:$O$305,MATCH($Z390,'Dated offers'!$A$7:$A$305,0))</x:f>
        <x:v>Scheduled MPS availability / supplier acceptance</x:v>
      </x:c>
      <x:c r="Z390" s="17" t="str">
        <x:v>OF0224</x:v>
      </x:c>
      <x:c r="AA390" s="2"/>
      <x:c r="AB390" s="2" t="str">
        <x:f>INDEX('Dated offers'!$Q$7:$Q$305,MATCH($Z390,'Dated offers'!$A$7:$A$305,0))</x:f>
        <x:v>https://www.monolithicpower.com/en/products/power-management/mp2329.html</x:v>
      </x:c>
    </x:row>
    <x:row r="391" ht="24" customHeight="1">
      <x:c r="A391" s="2" t="str">
        <x:v>100 boards / nominal</x:v>
      </x:c>
      <x:c r="B391" s="17" t="str">
        <x:v>MP4583GQVE-Z</x:v>
      </x:c>
      <x:c r="C391" s="18" t="n">
        <x:v>100</x:v>
      </x:c>
      <x:c r="D391" s="27" t="n">
        <x:v>0</x:v>
      </x:c>
      <x:c r="E391" s="18" t="n">
        <x:f>INDEX('Assembly BOM'!$C$7:$C$162,MATCH($B391,'Assembly BOM'!$A$7:$A$162,0))</x:f>
        <x:v>1</x:v>
      </x:c>
      <x:c r="F391" s="18" t="n">
        <x:f>C391*E391</x:f>
        <x:v>100</x:v>
      </x:c>
      <x:c r="G391" s="18" t="n">
        <x:f>ROUNDUP(F391*(1+D391),0)</x:f>
        <x:v>100</x:v>
      </x:c>
      <x:c r="H391" s="18" t="n">
        <x:f>INDEX('Dated offers'!$F$7:$F$305,MATCH($Z391,'Dated offers'!$A$7:$A$305,0))</x:f>
        <x:v>1</x:v>
      </x:c>
      <x:c r="I391" s="18" t="n">
        <x:f>INDEX('Dated offers'!$G$7:$G$305,MATCH($Z391,'Dated offers'!$A$7:$A$305,0))</x:f>
        <x:v>1</x:v>
      </x:c>
      <x:c r="J391" s="18" t="n">
        <x:f>CEILING(MAX(G391,H391),I391)</x:f>
        <x:v>100</x:v>
      </x:c>
      <x:c r="K391" s="18" t="n">
        <x:v>100</x:v>
      </x:c>
      <x:c r="L391" s="18" t="n">
        <x:f>INDEX('Dated offers'!$I$7:$I$305,MATCH($Z391,'Dated offers'!$A$7:$A$305,0))</x:f>
        <x:v>100</x:v>
      </x:c>
      <x:c r="M391" s="25" t="n">
        <x:f>INDEX('Dated offers'!$J$7:$J$305,MATCH($Z391,'Dated offers'!$A$7:$A$305,0))</x:f>
        <x:v>1.72</x:v>
      </x:c>
      <x:c r="N391" s="25" t="n">
        <x:f>INDEX('Dated offers'!$K$7:$K$305,MATCH($Z391,'Dated offers'!$A$7:$A$305,0))</x:f>
        <x:v>0</x:v>
      </x:c>
      <x:c r="O391" s="25" t="n">
        <x:f>F391*M391</x:f>
        <x:v>172</x:v>
      </x:c>
      <x:c r="P391" s="25" t="n">
        <x:f>G391*M391</x:f>
        <x:v>172</x:v>
      </x:c>
      <x:c r="Q391" s="25" t="n">
        <x:f>K391*M391+N391</x:f>
        <x:v>172</x:v>
      </x:c>
      <x:c r="R391" s="18" t="n">
        <x:f>K391-G391</x:f>
        <x:v>0</x:v>
      </x:c>
      <x:c r="S391" s="18" t="n">
        <x:f>INDEX('Dated offers'!$H$7:$H$305,MATCH($Z391,'Dated offers'!$A$7:$A$305,0))</x:f>
        <x:v>100</x:v>
      </x:c>
      <x:c r="T391" s="2" t="str">
        <x:f>IF(K391&lt;G391,"Order below requirement",IF(K391&lt;L391,"Below price tier",IF(ISNUMBER(S391),IF(K391&gt;S391,"Quantity exceeds snapshot","Within quantity snapshot"),"Stock not stated")))</x:f>
        <x:v>Within quantity snapshot</x:v>
      </x:c>
      <x:c r="U391" s="2" t="str">
        <x:f>INDEX('Dated offers'!$C$7:$C$305,MATCH($Z391,'Dated offers'!$A$7:$A$305,0))</x:f>
        <x:v>MPS direct</x:v>
      </x:c>
      <x:c r="V391" s="2" t="str">
        <x:f>INDEX('Dated offers'!$D$7:$D$305,MATCH($Z391,'Dated offers'!$A$7:$A$305,0))</x:f>
        <x:v>MP4583GQVE-Z</x:v>
      </x:c>
      <x:c r="W391" s="24" t="n">
        <x:f>INDEX('Dated offers'!$E$7:$E$305,MATCH($Z391,'Dated offers'!$A$7:$A$305,0))</x:f>
        <x:v>46307.475412395834</x:v>
      </x:c>
      <x:c r="X391" s="2" t="b">
        <x:f>INDEX('Dated offers'!$N$7:$N$305,MATCH($Z391,'Dated offers'!$A$7:$A$305,0))</x:f>
        <x:v>0</x:v>
      </x:c>
      <x:c r="Y391" s="2" t="str">
        <x:f>INDEX('Dated offers'!$O$7:$O$305,MATCH($Z391,'Dated offers'!$A$7:$A$305,0))</x:f>
        <x:v>MPS company inventory/limit must cover lot</x:v>
      </x:c>
      <x:c r="Z391" s="17" t="str">
        <x:v>OF0225</x:v>
      </x:c>
      <x:c r="AA391" s="2"/>
      <x:c r="AB391" s="2" t="str">
        <x:f>INDEX('Dated offers'!$Q$7:$Q$305,MATCH($Z391,'Dated offers'!$A$7:$A$305,0))</x:f>
        <x:v>https://www.monolithicpower.com/en/products/mp4583.html</x:v>
      </x:c>
    </x:row>
    <x:row r="392" ht="24" customHeight="1">
      <x:c r="A392" s="2" t="str">
        <x:v>100 boards / nominal</x:v>
      </x:c>
      <x:c r="B392" s="17" t="str">
        <x:v>NCA9536DQJ</x:v>
      </x:c>
      <x:c r="C392" s="18" t="n">
        <x:v>100</x:v>
      </x:c>
      <x:c r="D392" s="27" t="n">
        <x:v>0</x:v>
      </x:c>
      <x:c r="E392" s="18" t="n">
        <x:f>INDEX('Assembly BOM'!$C$7:$C$162,MATCH($B392,'Assembly BOM'!$A$7:$A$162,0))</x:f>
        <x:v>1</x:v>
      </x:c>
      <x:c r="F392" s="18" t="n">
        <x:f>C392*E392</x:f>
        <x:v>100</x:v>
      </x:c>
      <x:c r="G392" s="18" t="n">
        <x:f>ROUNDUP(F392*(1+D392),0)</x:f>
        <x:v>100</x:v>
      </x:c>
      <x:c r="H392" s="18" t="n">
        <x:f>INDEX('Dated offers'!$F$7:$F$305,MATCH($Z392,'Dated offers'!$A$7:$A$305,0))</x:f>
        <x:v>1</x:v>
      </x:c>
      <x:c r="I392" s="18" t="n">
        <x:f>INDEX('Dated offers'!$G$7:$G$305,MATCH($Z392,'Dated offers'!$A$7:$A$305,0))</x:f>
        <x:v>1</x:v>
      </x:c>
      <x:c r="J392" s="18" t="n">
        <x:f>CEILING(MAX(G392,H392),I392)</x:f>
        <x:v>100</x:v>
      </x:c>
      <x:c r="K392" s="18" t="n">
        <x:v>100</x:v>
      </x:c>
      <x:c r="L392" s="18" t="n">
        <x:f>INDEX('Dated offers'!$I$7:$I$305,MATCH($Z392,'Dated offers'!$A$7:$A$305,0))</x:f>
        <x:v>100</x:v>
      </x:c>
      <x:c r="M392" s="25" t="n">
        <x:f>INDEX('Dated offers'!$J$7:$J$305,MATCH($Z392,'Dated offers'!$A$7:$A$305,0))</x:f>
        <x:v>0.4527</x:v>
      </x:c>
      <x:c r="N392" s="25" t="n">
        <x:f>INDEX('Dated offers'!$K$7:$K$305,MATCH($Z392,'Dated offers'!$A$7:$A$305,0))</x:f>
        <x:v>0</x:v>
      </x:c>
      <x:c r="O392" s="25" t="n">
        <x:f>F392*M392</x:f>
        <x:v>45.269999999999996</x:v>
      </x:c>
      <x:c r="P392" s="25" t="n">
        <x:f>G392*M392</x:f>
        <x:v>45.269999999999996</x:v>
      </x:c>
      <x:c r="Q392" s="25" t="n">
        <x:f>K392*M392+N392</x:f>
        <x:v>45.269999999999996</x:v>
      </x:c>
      <x:c r="R392" s="18" t="n">
        <x:f>K392-G392</x:f>
        <x:v>0</x:v>
      </x:c>
      <x:c r="S392" s="18" t="n">
        <x:f>INDEX('Dated offers'!$H$7:$H$305,MATCH($Z392,'Dated offers'!$A$7:$A$305,0))</x:f>
        <x:v>648</x:v>
      </x:c>
      <x:c r="T392" s="2" t="str">
        <x:f>IF(K392&lt;G392,"Order below requirement",IF(K392&lt;L392,"Below price tier",IF(ISNUMBER(S392),IF(K392&gt;S392,"Quantity exceeds snapshot","Within quantity snapshot"),"Stock not stated")))</x:f>
        <x:v>Within quantity snapshot</x:v>
      </x:c>
      <x:c r="U392" s="2" t="str">
        <x:f>INDEX('Dated offers'!$C$7:$C$305,MATCH($Z392,'Dated offers'!$A$7:$A$305,0))</x:f>
        <x:v>DigiKey</x:v>
      </x:c>
      <x:c r="V392" s="2" t="str">
        <x:f>INDEX('Dated offers'!$D$7:$D$305,MATCH($Z392,'Dated offers'!$A$7:$A$305,0))</x:f>
        <x:v>1727-NCA9536DQJCT-ND</x:v>
      </x:c>
      <x:c r="W392" s="24" t="n">
        <x:f>INDEX('Dated offers'!$E$7:$E$305,MATCH($Z392,'Dated offers'!$A$7:$A$305,0))</x:f>
        <x:v>46307.733225972224</x:v>
      </x:c>
      <x:c r="X392" s="2" t="b">
        <x:f>INDEX('Dated offers'!$N$7:$N$305,MATCH($Z392,'Dated offers'!$A$7:$A$305,0))</x:f>
        <x:v>0</x:v>
      </x:c>
      <x:c r="Y392" s="2" t="str">
        <x:f>INDEX('Dated offers'!$O$7:$O$305,MATCH($Z392,'Dated offers'!$A$7:$A$305,0))</x:f>
        <x:v>Unreserved inventory snapshot</x:v>
      </x:c>
      <x:c r="Z392" s="17" t="str">
        <x:v>OF0226</x:v>
      </x:c>
      <x:c r="AA392" s="2"/>
      <x:c r="AB392" s="2" t="str">
        <x:f>INDEX('Dated offers'!$Q$7:$Q$305,MATCH($Z392,'Dated offers'!$A$7:$A$305,0))</x:f>
        <x:v>https://www.digikey.com/en/products/detail/nexperia-usa-inc/NCA9536DQJ/29535394</x:v>
      </x:c>
    </x:row>
    <x:row r="393" ht="24" customHeight="1">
      <x:c r="A393" s="2" t="str">
        <x:v>100 boards / nominal</x:v>
      </x:c>
      <x:c r="B393" s="17" t="str">
        <x:v>NX3008NBK,215</x:v>
      </x:c>
      <x:c r="C393" s="18" t="n">
        <x:v>100</x:v>
      </x:c>
      <x:c r="D393" s="27" t="n">
        <x:v>0</x:v>
      </x:c>
      <x:c r="E393" s="18" t="n">
        <x:f>INDEX('Assembly BOM'!$C$7:$C$162,MATCH($B393,'Assembly BOM'!$A$7:$A$162,0))</x:f>
        <x:v>3</x:v>
      </x:c>
      <x:c r="F393" s="18" t="n">
        <x:f>C393*E393</x:f>
        <x:v>300</x:v>
      </x:c>
      <x:c r="G393" s="18" t="n">
        <x:f>ROUNDUP(F393*(1+D393),0)</x:f>
        <x:v>300</x:v>
      </x:c>
      <x:c r="H393" s="18" t="n">
        <x:f>INDEX('Dated offers'!$F$7:$F$305,MATCH($Z393,'Dated offers'!$A$7:$A$305,0))</x:f>
        <x:v>1</x:v>
      </x:c>
      <x:c r="I393" s="18" t="n">
        <x:f>INDEX('Dated offers'!$G$7:$G$305,MATCH($Z393,'Dated offers'!$A$7:$A$305,0))</x:f>
        <x:v>1</x:v>
      </x:c>
      <x:c r="J393" s="18" t="n">
        <x:f>CEILING(MAX(G393,H393),I393)</x:f>
        <x:v>300</x:v>
      </x:c>
      <x:c r="K393" s="18" t="n">
        <x:v>300</x:v>
      </x:c>
      <x:c r="L393" s="18" t="n">
        <x:f>INDEX('Dated offers'!$I$7:$I$305,MATCH($Z393,'Dated offers'!$A$7:$A$305,0))</x:f>
        <x:v>100</x:v>
      </x:c>
      <x:c r="M393" s="25" t="n">
        <x:f>INDEX('Dated offers'!$J$7:$J$305,MATCH($Z393,'Dated offers'!$A$7:$A$305,0))</x:f>
        <x:v>0.0796</x:v>
      </x:c>
      <x:c r="N393" s="25" t="n">
        <x:f>INDEX('Dated offers'!$K$7:$K$305,MATCH($Z393,'Dated offers'!$A$7:$A$305,0))</x:f>
        <x:v>0</x:v>
      </x:c>
      <x:c r="O393" s="25" t="n">
        <x:f>F393*M393</x:f>
        <x:v>23.880000000000003</x:v>
      </x:c>
      <x:c r="P393" s="25" t="n">
        <x:f>G393*M393</x:f>
        <x:v>23.880000000000003</x:v>
      </x:c>
      <x:c r="Q393" s="25" t="n">
        <x:f>K393*M393+N393</x:f>
        <x:v>23.880000000000003</x:v>
      </x:c>
      <x:c r="R393" s="18" t="n">
        <x:f>K393-G393</x:f>
        <x:v>0</x:v>
      </x:c>
      <x:c r="S393" s="18" t="n">
        <x:f>INDEX('Dated offers'!$H$7:$H$305,MATCH($Z393,'Dated offers'!$A$7:$A$305,0))</x:f>
        <x:v>3387</x:v>
      </x:c>
      <x:c r="T393" s="2" t="str">
        <x:f>IF(K393&lt;G393,"Order below requirement",IF(K393&lt;L393,"Below price tier",IF(ISNUMBER(S393),IF(K393&gt;S393,"Quantity exceeds snapshot","Within quantity snapshot"),"Stock not stated")))</x:f>
        <x:v>Within quantity snapshot</x:v>
      </x:c>
      <x:c r="U393" s="2" t="str">
        <x:f>INDEX('Dated offers'!$C$7:$C$305,MATCH($Z393,'Dated offers'!$A$7:$A$305,0))</x:f>
        <x:v>DigiKey</x:v>
      </x:c>
      <x:c r="V393" s="2" t="str">
        <x:f>INDEX('Dated offers'!$D$7:$D$305,MATCH($Z393,'Dated offers'!$A$7:$A$305,0))</x:f>
        <x:v>Not stated</x:v>
      </x:c>
      <x:c r="W393" s="24" t="n">
        <x:f>INDEX('Dated offers'!$E$7:$E$305,MATCH($Z393,'Dated offers'!$A$7:$A$305,0))</x:f>
        <x:v>46307.47807267361</x:v>
      </x:c>
      <x:c r="X393" s="2" t="b">
        <x:f>INDEX('Dated offers'!$N$7:$N$305,MATCH($Z393,'Dated offers'!$A$7:$A$305,0))</x:f>
        <x:v>0</x:v>
      </x:c>
      <x:c r="Y393" s="2" t="str">
        <x:f>INDEX('Dated offers'!$O$7:$O$305,MATCH($Z393,'Dated offers'!$A$7:$A$305,0))</x:f>
        <x:v>Unreserved inventory snapshot</x:v>
      </x:c>
      <x:c r="Z393" s="17" t="str">
        <x:v>OF0227</x:v>
      </x:c>
      <x:c r="AA393" s="2"/>
      <x:c r="AB393" s="2" t="str">
        <x:f>INDEX('Dated offers'!$Q$7:$Q$305,MATCH($Z393,'Dated offers'!$A$7:$A$305,0))</x:f>
        <x:v>https://www.digikey.com/en/products/detail/nexperia-usa-inc/NX3008NBK-215/2779967</x:v>
      </x:c>
    </x:row>
    <x:row r="394" ht="24" customHeight="1">
      <x:c r="A394" s="2" t="str">
        <x:v>100 boards / nominal</x:v>
      </x:c>
      <x:c r="B394" s="17" t="str">
        <x:v>PSMN015-100YLX</x:v>
      </x:c>
      <x:c r="C394" s="18" t="n">
        <x:v>100</x:v>
      </x:c>
      <x:c r="D394" s="27" t="n">
        <x:v>0</x:v>
      </x:c>
      <x:c r="E394" s="18" t="n">
        <x:f>INDEX('Assembly BOM'!$C$7:$C$162,MATCH($B394,'Assembly BOM'!$A$7:$A$162,0))</x:f>
        <x:v>1</x:v>
      </x:c>
      <x:c r="F394" s="18" t="n">
        <x:f>C394*E394</x:f>
        <x:v>100</x:v>
      </x:c>
      <x:c r="G394" s="18" t="n">
        <x:f>ROUNDUP(F394*(1+D394),0)</x:f>
        <x:v>100</x:v>
      </x:c>
      <x:c r="H394" s="18" t="n">
        <x:f>INDEX('Dated offers'!$F$7:$F$305,MATCH($Z394,'Dated offers'!$A$7:$A$305,0))</x:f>
        <x:v>1</x:v>
      </x:c>
      <x:c r="I394" s="18" t="n">
        <x:f>INDEX('Dated offers'!$G$7:$G$305,MATCH($Z394,'Dated offers'!$A$7:$A$305,0))</x:f>
        <x:v>1</x:v>
      </x:c>
      <x:c r="J394" s="18" t="n">
        <x:f>CEILING(MAX(G394,H394),I394)</x:f>
        <x:v>100</x:v>
      </x:c>
      <x:c r="K394" s="18" t="n">
        <x:v>100</x:v>
      </x:c>
      <x:c r="L394" s="18" t="n">
        <x:f>INDEX('Dated offers'!$I$7:$I$305,MATCH($Z394,'Dated offers'!$A$7:$A$305,0))</x:f>
        <x:v>100</x:v>
      </x:c>
      <x:c r="M394" s="25" t="n">
        <x:f>INDEX('Dated offers'!$J$7:$J$305,MATCH($Z394,'Dated offers'!$A$7:$A$305,0))</x:f>
        <x:v>0.8312</x:v>
      </x:c>
      <x:c r="N394" s="25" t="n">
        <x:f>INDEX('Dated offers'!$K$7:$K$305,MATCH($Z394,'Dated offers'!$A$7:$A$305,0))</x:f>
        <x:v>0</x:v>
      </x:c>
      <x:c r="O394" s="25" t="n">
        <x:f>F394*M394</x:f>
        <x:v>83.12</x:v>
      </x:c>
      <x:c r="P394" s="25" t="n">
        <x:f>G394*M394</x:f>
        <x:v>83.12</x:v>
      </x:c>
      <x:c r="Q394" s="25" t="n">
        <x:f>K394*M394+N394</x:f>
        <x:v>83.12</x:v>
      </x:c>
      <x:c r="R394" s="18" t="n">
        <x:f>K394-G394</x:f>
        <x:v>0</x:v>
      </x:c>
      <x:c r="S394" s="18" t="n">
        <x:f>INDEX('Dated offers'!$H$7:$H$305,MATCH($Z394,'Dated offers'!$A$7:$A$305,0))</x:f>
        <x:v>825</x:v>
      </x:c>
      <x:c r="T394" s="2" t="str">
        <x:f>IF(K394&lt;G394,"Order below requirement",IF(K394&lt;L394,"Below price tier",IF(ISNUMBER(S394),IF(K394&gt;S394,"Quantity exceeds snapshot","Within quantity snapshot"),"Stock not stated")))</x:f>
        <x:v>Within quantity snapshot</x:v>
      </x:c>
      <x:c r="U394" s="2" t="str">
        <x:f>INDEX('Dated offers'!$C$7:$C$305,MATCH($Z394,'Dated offers'!$A$7:$A$305,0))</x:f>
        <x:v>DigiKey</x:v>
      </x:c>
      <x:c r="V394" s="2" t="str">
        <x:f>INDEX('Dated offers'!$D$7:$D$305,MATCH($Z394,'Dated offers'!$A$7:$A$305,0))</x:f>
        <x:v>Not stated</x:v>
      </x:c>
      <x:c r="W394" s="24" t="n">
        <x:f>INDEX('Dated offers'!$E$7:$E$305,MATCH($Z394,'Dated offers'!$A$7:$A$305,0))</x:f>
        <x:v>46307.4780725463</x:v>
      </x:c>
      <x:c r="X394" s="2" t="b">
        <x:f>INDEX('Dated offers'!$N$7:$N$305,MATCH($Z394,'Dated offers'!$A$7:$A$305,0))</x:f>
        <x:v>0</x:v>
      </x:c>
      <x:c r="Y394" s="2" t="str">
        <x:f>INDEX('Dated offers'!$O$7:$O$305,MATCH($Z394,'Dated offers'!$A$7:$A$305,0))</x:f>
        <x:v>Unreserved inventory snapshot</x:v>
      </x:c>
      <x:c r="Z394" s="17" t="str">
        <x:v>OF0228</x:v>
      </x:c>
      <x:c r="AA394" s="2"/>
      <x:c r="AB394" s="2" t="str">
        <x:f>INDEX('Dated offers'!$Q$7:$Q$305,MATCH($Z394,'Dated offers'!$A$7:$A$305,0))</x:f>
        <x:v>https://www.digikey.com/en/products/detail/nexperia-usa-inc/PSMN015-100YLX/5981419</x:v>
      </x:c>
    </x:row>
    <x:row r="395" ht="24" customHeight="1">
      <x:c r="A395" s="2" t="str">
        <x:v>100 boards / nominal</x:v>
      </x:c>
      <x:c r="B395" s="17" t="str">
        <x:v>RC0402FR-07130KL</x:v>
      </x:c>
      <x:c r="C395" s="18" t="n">
        <x:v>100</x:v>
      </x:c>
      <x:c r="D395" s="27" t="n">
        <x:v>0</x:v>
      </x:c>
      <x:c r="E395" s="18" t="n">
        <x:f>INDEX('Assembly BOM'!$C$7:$C$162,MATCH($B395,'Assembly BOM'!$A$7:$A$162,0))</x:f>
        <x:v>1</x:v>
      </x:c>
      <x:c r="F395" s="18" t="n">
        <x:f>C395*E395</x:f>
        <x:v>100</x:v>
      </x:c>
      <x:c r="G395" s="18" t="n">
        <x:f>ROUNDUP(F395*(1+D395),0)</x:f>
        <x:v>100</x:v>
      </x:c>
      <x:c r="H395" s="18" t="n">
        <x:f>INDEX('Dated offers'!$F$7:$F$305,MATCH($Z395,'Dated offers'!$A$7:$A$305,0))</x:f>
        <x:v>100</x:v>
      </x:c>
      <x:c r="I395" s="18" t="n">
        <x:f>INDEX('Dated offers'!$G$7:$G$305,MATCH($Z395,'Dated offers'!$A$7:$A$305,0))</x:f>
        <x:v>100</x:v>
      </x:c>
      <x:c r="J395" s="18" t="n">
        <x:f>CEILING(MAX(G395,H395),I395)</x:f>
        <x:v>100</x:v>
      </x:c>
      <x:c r="K395" s="18" t="n">
        <x:v>100</x:v>
      </x:c>
      <x:c r="L395" s="18" t="n">
        <x:f>INDEX('Dated offers'!$I$7:$I$305,MATCH($Z395,'Dated offers'!$A$7:$A$305,0))</x:f>
        <x:v>100</x:v>
      </x:c>
      <x:c r="M395" s="25" t="n">
        <x:f>INDEX('Dated offers'!$J$7:$J$305,MATCH($Z395,'Dated offers'!$A$7:$A$305,0))</x:f>
        <x:v>0.0032</x:v>
      </x:c>
      <x:c r="N395" s="25" t="n">
        <x:f>INDEX('Dated offers'!$K$7:$K$305,MATCH($Z395,'Dated offers'!$A$7:$A$305,0))</x:f>
        <x:v>0</x:v>
      </x:c>
      <x:c r="O395" s="25" t="n">
        <x:f>F395*M395</x:f>
        <x:v>0.32</x:v>
      </x:c>
      <x:c r="P395" s="25" t="n">
        <x:f>G395*M395</x:f>
        <x:v>0.32</x:v>
      </x:c>
      <x:c r="Q395" s="25" t="n">
        <x:f>K395*M395+N395</x:f>
        <x:v>0.32</x:v>
      </x:c>
      <x:c r="R395" s="18" t="n">
        <x:f>K395-G395</x:f>
        <x:v>0</x:v>
      </x:c>
      <x:c r="S395" s="18" t="n">
        <x:f>INDEX('Dated offers'!$H$7:$H$305,MATCH($Z395,'Dated offers'!$A$7:$A$305,0))</x:f>
        <x:v>902900</x:v>
      </x:c>
      <x:c r="T395" s="2" t="str">
        <x:f>IF(K395&lt;G395,"Order below requirement",IF(K395&lt;L395,"Below price tier",IF(ISNUMBER(S395),IF(K395&gt;S395,"Quantity exceeds snapshot","Within quantity snapshot"),"Stock not stated")))</x:f>
        <x:v>Within quantity snapshot</x:v>
      </x:c>
      <x:c r="U395" s="2" t="str">
        <x:f>INDEX('Dated offers'!$C$7:$C$305,MATCH($Z395,'Dated offers'!$A$7:$A$305,0))</x:f>
        <x:v>LCSC</x:v>
      </x:c>
      <x:c r="V395" s="2" t="str">
        <x:f>INDEX('Dated offers'!$D$7:$D$305,MATCH($Z395,'Dated offers'!$A$7:$A$305,0))</x:f>
        <x:v>C93946</x:v>
      </x:c>
      <x:c r="W395" s="24" t="n">
        <x:f>INDEX('Dated offers'!$E$7:$E$305,MATCH($Z395,'Dated offers'!$A$7:$A$305,0))</x:f>
        <x:v>46307.44744263889</x:v>
      </x:c>
      <x:c r="X395" s="2" t="b">
        <x:f>INDEX('Dated offers'!$N$7:$N$305,MATCH($Z395,'Dated offers'!$A$7:$A$305,0))</x:f>
        <x:v>0</x:v>
      </x:c>
      <x:c r="Y395" s="2" t="str">
        <x:f>INDEX('Dated offers'!$O$7:$O$305,MATCH($Z395,'Dated offers'!$A$7:$A$305,0))</x:f>
        <x:v>Unreserved inventory snapshot</x:v>
      </x:c>
      <x:c r="Z395" s="17" t="str">
        <x:v>OF0077</x:v>
      </x:c>
      <x:c r="AA395" s="2"/>
      <x:c r="AB395" s="2" t="str">
        <x:f>INDEX('Dated offers'!$Q$7:$Q$305,MATCH($Z395,'Dated offers'!$A$7:$A$305,0))</x:f>
        <x:v>https://www.lcsc.com/product-detail/C93946.html</x:v>
      </x:c>
    </x:row>
    <x:row r="396" ht="24" customHeight="1">
      <x:c r="A396" s="2" t="str">
        <x:v>100 boards / nominal</x:v>
      </x:c>
      <x:c r="B396" s="17" t="str">
        <x:v>RC0402FR-071K8L</x:v>
      </x:c>
      <x:c r="C396" s="18" t="n">
        <x:v>100</x:v>
      </x:c>
      <x:c r="D396" s="27" t="n">
        <x:v>0</x:v>
      </x:c>
      <x:c r="E396" s="18" t="n">
        <x:f>INDEX('Assembly BOM'!$C$7:$C$162,MATCH($B396,'Assembly BOM'!$A$7:$A$162,0))</x:f>
        <x:v>1</x:v>
      </x:c>
      <x:c r="F396" s="18" t="n">
        <x:f>C396*E396</x:f>
        <x:v>100</x:v>
      </x:c>
      <x:c r="G396" s="18" t="n">
        <x:f>ROUNDUP(F396*(1+D396),0)</x:f>
        <x:v>100</x:v>
      </x:c>
      <x:c r="H396" s="18" t="n">
        <x:f>INDEX('Dated offers'!$F$7:$F$305,MATCH($Z396,'Dated offers'!$A$7:$A$305,0))</x:f>
        <x:v>100</x:v>
      </x:c>
      <x:c r="I396" s="18" t="n">
        <x:f>INDEX('Dated offers'!$G$7:$G$305,MATCH($Z396,'Dated offers'!$A$7:$A$305,0))</x:f>
        <x:v>100</x:v>
      </x:c>
      <x:c r="J396" s="18" t="n">
        <x:f>CEILING(MAX(G396,H396),I396)</x:f>
        <x:v>100</x:v>
      </x:c>
      <x:c r="K396" s="18" t="n">
        <x:v>100</x:v>
      </x:c>
      <x:c r="L396" s="18" t="n">
        <x:f>INDEX('Dated offers'!$I$7:$I$305,MATCH($Z396,'Dated offers'!$A$7:$A$305,0))</x:f>
        <x:v>100</x:v>
      </x:c>
      <x:c r="M396" s="25" t="n">
        <x:f>INDEX('Dated offers'!$J$7:$J$305,MATCH($Z396,'Dated offers'!$A$7:$A$305,0))</x:f>
        <x:v>0.0034</x:v>
      </x:c>
      <x:c r="N396" s="25" t="n">
        <x:f>INDEX('Dated offers'!$K$7:$K$305,MATCH($Z396,'Dated offers'!$A$7:$A$305,0))</x:f>
        <x:v>0</x:v>
      </x:c>
      <x:c r="O396" s="25" t="n">
        <x:f>F396*M396</x:f>
        <x:v>0.33999999999999997</x:v>
      </x:c>
      <x:c r="P396" s="25" t="n">
        <x:f>G396*M396</x:f>
        <x:v>0.33999999999999997</x:v>
      </x:c>
      <x:c r="Q396" s="25" t="n">
        <x:f>K396*M396+N396</x:f>
        <x:v>0.33999999999999997</x:v>
      </x:c>
      <x:c r="R396" s="18" t="n">
        <x:f>K396-G396</x:f>
        <x:v>0</x:v>
      </x:c>
      <x:c r="S396" s="18" t="n">
        <x:f>INDEX('Dated offers'!$H$7:$H$305,MATCH($Z396,'Dated offers'!$A$7:$A$305,0))</x:f>
        <x:v>128100</x:v>
      </x:c>
      <x:c r="T396" s="2" t="str">
        <x:f>IF(K396&lt;G396,"Order below requirement",IF(K396&lt;L396,"Below price tier",IF(ISNUMBER(S396),IF(K396&gt;S396,"Quantity exceeds snapshot","Within quantity snapshot"),"Stock not stated")))</x:f>
        <x:v>Within quantity snapshot</x:v>
      </x:c>
      <x:c r="U396" s="2" t="str">
        <x:f>INDEX('Dated offers'!$C$7:$C$305,MATCH($Z396,'Dated offers'!$A$7:$A$305,0))</x:f>
        <x:v>LCSC</x:v>
      </x:c>
      <x:c r="V396" s="2" t="str">
        <x:f>INDEX('Dated offers'!$D$7:$D$305,MATCH($Z396,'Dated offers'!$A$7:$A$305,0))</x:f>
        <x:v>C163481</x:v>
      </x:c>
      <x:c r="W396" s="24" t="n">
        <x:f>INDEX('Dated offers'!$E$7:$E$305,MATCH($Z396,'Dated offers'!$A$7:$A$305,0))</x:f>
        <x:v>46307.447445798614</x:v>
      </x:c>
      <x:c r="X396" s="2" t="b">
        <x:f>INDEX('Dated offers'!$N$7:$N$305,MATCH($Z396,'Dated offers'!$A$7:$A$305,0))</x:f>
        <x:v>0</x:v>
      </x:c>
      <x:c r="Y396" s="2" t="str">
        <x:f>INDEX('Dated offers'!$O$7:$O$305,MATCH($Z396,'Dated offers'!$A$7:$A$305,0))</x:f>
        <x:v>Unreserved inventory snapshot</x:v>
      </x:c>
      <x:c r="Z396" s="17" t="str">
        <x:v>OF0078</x:v>
      </x:c>
      <x:c r="AA396" s="2"/>
      <x:c r="AB396" s="2" t="str">
        <x:f>INDEX('Dated offers'!$Q$7:$Q$305,MATCH($Z396,'Dated offers'!$A$7:$A$305,0))</x:f>
        <x:v>https://www.lcsc.com/product-detail/C163481.html</x:v>
      </x:c>
    </x:row>
    <x:row r="397" ht="24" customHeight="1">
      <x:c r="A397" s="2" t="str">
        <x:v>100 boards / nominal</x:v>
      </x:c>
      <x:c r="B397" s="17" t="str">
        <x:v>RC0402FR-07240RL</x:v>
      </x:c>
      <x:c r="C397" s="18" t="n">
        <x:v>100</x:v>
      </x:c>
      <x:c r="D397" s="27" t="n">
        <x:v>0</x:v>
      </x:c>
      <x:c r="E397" s="18" t="n">
        <x:f>INDEX('Assembly BOM'!$C$7:$C$162,MATCH($B397,'Assembly BOM'!$A$7:$A$162,0))</x:f>
        <x:v>1</x:v>
      </x:c>
      <x:c r="F397" s="18" t="n">
        <x:f>C397*E397</x:f>
        <x:v>100</x:v>
      </x:c>
      <x:c r="G397" s="18" t="n">
        <x:f>ROUNDUP(F397*(1+D397),0)</x:f>
        <x:v>100</x:v>
      </x:c>
      <x:c r="H397" s="18" t="n">
        <x:f>INDEX('Dated offers'!$F$7:$F$305,MATCH($Z397,'Dated offers'!$A$7:$A$305,0))</x:f>
        <x:v>1</x:v>
      </x:c>
      <x:c r="I397" s="18" t="n">
        <x:f>INDEX('Dated offers'!$G$7:$G$305,MATCH($Z397,'Dated offers'!$A$7:$A$305,0))</x:f>
        <x:v>1</x:v>
      </x:c>
      <x:c r="J397" s="18" t="n">
        <x:f>CEILING(MAX(G397,H397),I397)</x:f>
        <x:v>100</x:v>
      </x:c>
      <x:c r="K397" s="18" t="n">
        <x:v>100</x:v>
      </x:c>
      <x:c r="L397" s="18" t="n">
        <x:f>INDEX('Dated offers'!$I$7:$I$305,MATCH($Z397,'Dated offers'!$A$7:$A$305,0))</x:f>
        <x:v>100</x:v>
      </x:c>
      <x:c r="M397" s="25" t="n">
        <x:f>INDEX('Dated offers'!$J$7:$J$305,MATCH($Z397,'Dated offers'!$A$7:$A$305,0))</x:f>
        <x:v>0.0097</x:v>
      </x:c>
      <x:c r="N397" s="25" t="n">
        <x:f>INDEX('Dated offers'!$K$7:$K$305,MATCH($Z397,'Dated offers'!$A$7:$A$305,0))</x:f>
        <x:v>0</x:v>
      </x:c>
      <x:c r="O397" s="25" t="n">
        <x:f>F397*M397</x:f>
        <x:v>0.97</x:v>
      </x:c>
      <x:c r="P397" s="25" t="n">
        <x:f>G397*M397</x:f>
        <x:v>0.97</x:v>
      </x:c>
      <x:c r="Q397" s="25" t="n">
        <x:f>K397*M397+N397</x:f>
        <x:v>0.97</x:v>
      </x:c>
      <x:c r="R397" s="18" t="n">
        <x:f>K397-G397</x:f>
        <x:v>0</x:v>
      </x:c>
      <x:c r="S397" s="18" t="n">
        <x:f>INDEX('Dated offers'!$H$7:$H$305,MATCH($Z397,'Dated offers'!$A$7:$A$305,0))</x:f>
        <x:v>880015</x:v>
      </x:c>
      <x:c r="T397" s="2" t="str">
        <x:f>IF(K397&lt;G397,"Order below requirement",IF(K397&lt;L397,"Below price tier",IF(ISNUMBER(S397),IF(K397&gt;S397,"Quantity exceeds snapshot","Within quantity snapshot"),"Stock not stated")))</x:f>
        <x:v>Within quantity snapshot</x:v>
      </x:c>
      <x:c r="U397" s="2" t="str">
        <x:f>INDEX('Dated offers'!$C$7:$C$305,MATCH($Z397,'Dated offers'!$A$7:$A$305,0))</x:f>
        <x:v>DigiKey</x:v>
      </x:c>
      <x:c r="V397" s="2" t="str">
        <x:f>INDEX('Dated offers'!$D$7:$D$305,MATCH($Z397,'Dated offers'!$A$7:$A$305,0))</x:f>
        <x:v>Not stated</x:v>
      </x:c>
      <x:c r="W397" s="24" t="n">
        <x:f>INDEX('Dated offers'!$E$7:$E$305,MATCH($Z397,'Dated offers'!$A$7:$A$305,0))</x:f>
        <x:v>46307.47807267361</x:v>
      </x:c>
      <x:c r="X397" s="2" t="b">
        <x:f>INDEX('Dated offers'!$N$7:$N$305,MATCH($Z397,'Dated offers'!$A$7:$A$305,0))</x:f>
        <x:v>0</x:v>
      </x:c>
      <x:c r="Y397" s="2" t="str">
        <x:f>INDEX('Dated offers'!$O$7:$O$305,MATCH($Z397,'Dated offers'!$A$7:$A$305,0))</x:f>
        <x:v>Unreserved inventory snapshot</x:v>
      </x:c>
      <x:c r="Z397" s="17" t="str">
        <x:v>OF0229</x:v>
      </x:c>
      <x:c r="AA397" s="2"/>
      <x:c r="AB397" s="2" t="str">
        <x:f>INDEX('Dated offers'!$Q$7:$Q$305,MATCH($Z397,'Dated offers'!$A$7:$A$305,0))</x:f>
        <x:v>https://www.digikey.com/en/products/detail/yageo/RC0402FR-07240RL/2827564</x:v>
      </x:c>
    </x:row>
    <x:row r="398" ht="24" customHeight="1">
      <x:c r="A398" s="2" t="str">
        <x:v>100 boards / nominal</x:v>
      </x:c>
      <x:c r="B398" s="17" t="str">
        <x:v>RC0402FR-073K6L</x:v>
      </x:c>
      <x:c r="C398" s="18" t="n">
        <x:v>100</x:v>
      </x:c>
      <x:c r="D398" s="27" t="n">
        <x:v>0</x:v>
      </x:c>
      <x:c r="E398" s="18" t="n">
        <x:f>INDEX('Assembly BOM'!$C$7:$C$162,MATCH($B398,'Assembly BOM'!$A$7:$A$162,0))</x:f>
        <x:v>1</x:v>
      </x:c>
      <x:c r="F398" s="18" t="n">
        <x:f>C398*E398</x:f>
        <x:v>100</x:v>
      </x:c>
      <x:c r="G398" s="18" t="n">
        <x:f>ROUNDUP(F398*(1+D398),0)</x:f>
        <x:v>100</x:v>
      </x:c>
      <x:c r="H398" s="18" t="n">
        <x:f>INDEX('Dated offers'!$F$7:$F$305,MATCH($Z398,'Dated offers'!$A$7:$A$305,0))</x:f>
        <x:v>100</x:v>
      </x:c>
      <x:c r="I398" s="18" t="n">
        <x:f>INDEX('Dated offers'!$G$7:$G$305,MATCH($Z398,'Dated offers'!$A$7:$A$305,0))</x:f>
        <x:v>100</x:v>
      </x:c>
      <x:c r="J398" s="18" t="n">
        <x:f>CEILING(MAX(G398,H398),I398)</x:f>
        <x:v>100</x:v>
      </x:c>
      <x:c r="K398" s="18" t="n">
        <x:v>100</x:v>
      </x:c>
      <x:c r="L398" s="18" t="n">
        <x:f>INDEX('Dated offers'!$I$7:$I$305,MATCH($Z398,'Dated offers'!$A$7:$A$305,0))</x:f>
        <x:v>100</x:v>
      </x:c>
      <x:c r="M398" s="25" t="n">
        <x:f>INDEX('Dated offers'!$J$7:$J$305,MATCH($Z398,'Dated offers'!$A$7:$A$305,0))</x:f>
        <x:v>0.002</x:v>
      </x:c>
      <x:c r="N398" s="25" t="n">
        <x:f>INDEX('Dated offers'!$K$7:$K$305,MATCH($Z398,'Dated offers'!$A$7:$A$305,0))</x:f>
        <x:v>0</x:v>
      </x:c>
      <x:c r="O398" s="25" t="n">
        <x:f>F398*M398</x:f>
        <x:v>0.2</x:v>
      </x:c>
      <x:c r="P398" s="25" t="n">
        <x:f>G398*M398</x:f>
        <x:v>0.2</x:v>
      </x:c>
      <x:c r="Q398" s="25" t="n">
        <x:f>K398*M398+N398</x:f>
        <x:v>0.2</x:v>
      </x:c>
      <x:c r="R398" s="18" t="n">
        <x:f>K398-G398</x:f>
        <x:v>0</x:v>
      </x:c>
      <x:c r="S398" s="18" t="n">
        <x:f>INDEX('Dated offers'!$H$7:$H$305,MATCH($Z398,'Dated offers'!$A$7:$A$305,0))</x:f>
        <x:v>556600</x:v>
      </x:c>
      <x:c r="T398" s="2" t="str">
        <x:f>IF(K398&lt;G398,"Order below requirement",IF(K398&lt;L398,"Below price tier",IF(ISNUMBER(S398),IF(K398&gt;S398,"Quantity exceeds snapshot","Within quantity snapshot"),"Stock not stated")))</x:f>
        <x:v>Within quantity snapshot</x:v>
      </x:c>
      <x:c r="U398" s="2" t="str">
        <x:f>INDEX('Dated offers'!$C$7:$C$305,MATCH($Z398,'Dated offers'!$A$7:$A$305,0))</x:f>
        <x:v>LCSC</x:v>
      </x:c>
      <x:c r="V398" s="2" t="str">
        <x:f>INDEX('Dated offers'!$D$7:$D$305,MATCH($Z398,'Dated offers'!$A$7:$A$305,0))</x:f>
        <x:v>C137990</x:v>
      </x:c>
      <x:c r="W398" s="24" t="n">
        <x:f>INDEX('Dated offers'!$E$7:$E$305,MATCH($Z398,'Dated offers'!$A$7:$A$305,0))</x:f>
        <x:v>46307.44744980324</x:v>
      </x:c>
      <x:c r="X398" s="2" t="b">
        <x:f>INDEX('Dated offers'!$N$7:$N$305,MATCH($Z398,'Dated offers'!$A$7:$A$305,0))</x:f>
        <x:v>0</x:v>
      </x:c>
      <x:c r="Y398" s="2" t="str">
        <x:f>INDEX('Dated offers'!$O$7:$O$305,MATCH($Z398,'Dated offers'!$A$7:$A$305,0))</x:f>
        <x:v>Unreserved inventory snapshot</x:v>
      </x:c>
      <x:c r="Z398" s="17" t="str">
        <x:v>OF0080</x:v>
      </x:c>
      <x:c r="AA398" s="2"/>
      <x:c r="AB398" s="2" t="str">
        <x:f>INDEX('Dated offers'!$Q$7:$Q$305,MATCH($Z398,'Dated offers'!$A$7:$A$305,0))</x:f>
        <x:v>https://www.lcsc.com/product-detail/C137990.html</x:v>
      </x:c>
    </x:row>
    <x:row r="399" ht="24" customHeight="1">
      <x:c r="A399" s="2" t="str">
        <x:v>100 boards / nominal</x:v>
      </x:c>
      <x:c r="B399" s="17" t="str">
        <x:v>RC0603FR-0710KL</x:v>
      </x:c>
      <x:c r="C399" s="18" t="n">
        <x:v>100</x:v>
      </x:c>
      <x:c r="D399" s="27" t="n">
        <x:v>0</x:v>
      </x:c>
      <x:c r="E399" s="18" t="n">
        <x:f>INDEX('Assembly BOM'!$C$7:$C$162,MATCH($B399,'Assembly BOM'!$A$7:$A$162,0))</x:f>
        <x:v>4</x:v>
      </x:c>
      <x:c r="F399" s="18" t="n">
        <x:f>C399*E399</x:f>
        <x:v>400</x:v>
      </x:c>
      <x:c r="G399" s="18" t="n">
        <x:f>ROUNDUP(F399*(1+D399),0)</x:f>
        <x:v>400</x:v>
      </x:c>
      <x:c r="H399" s="18" t="n">
        <x:f>INDEX('Dated offers'!$F$7:$F$305,MATCH($Z399,'Dated offers'!$A$7:$A$305,0))</x:f>
        <x:v>100</x:v>
      </x:c>
      <x:c r="I399" s="18" t="n">
        <x:f>INDEX('Dated offers'!$G$7:$G$305,MATCH($Z399,'Dated offers'!$A$7:$A$305,0))</x:f>
        <x:v>100</x:v>
      </x:c>
      <x:c r="J399" s="18" t="n">
        <x:f>CEILING(MAX(G399,H399),I399)</x:f>
        <x:v>400</x:v>
      </x:c>
      <x:c r="K399" s="18" t="n">
        <x:v>400</x:v>
      </x:c>
      <x:c r="L399" s="18" t="n">
        <x:f>INDEX('Dated offers'!$I$7:$I$305,MATCH($Z399,'Dated offers'!$A$7:$A$305,0))</x:f>
        <x:v>100</x:v>
      </x:c>
      <x:c r="M399" s="25" t="n">
        <x:f>INDEX('Dated offers'!$J$7:$J$305,MATCH($Z399,'Dated offers'!$A$7:$A$305,0))</x:f>
        <x:v>0.0034</x:v>
      </x:c>
      <x:c r="N399" s="25" t="n">
        <x:f>INDEX('Dated offers'!$K$7:$K$305,MATCH($Z399,'Dated offers'!$A$7:$A$305,0))</x:f>
        <x:v>0</x:v>
      </x:c>
      <x:c r="O399" s="25" t="n">
        <x:f>F399*M399</x:f>
        <x:v>1.3599999999999999</x:v>
      </x:c>
      <x:c r="P399" s="25" t="n">
        <x:f>G399*M399</x:f>
        <x:v>1.3599999999999999</x:v>
      </x:c>
      <x:c r="Q399" s="25" t="n">
        <x:f>K399*M399+N399</x:f>
        <x:v>1.3599999999999999</x:v>
      </x:c>
      <x:c r="R399" s="18" t="n">
        <x:f>K399-G399</x:f>
        <x:v>0</x:v>
      </x:c>
      <x:c r="S399" s="18" t="n">
        <x:f>INDEX('Dated offers'!$H$7:$H$305,MATCH($Z399,'Dated offers'!$A$7:$A$305,0))</x:f>
        <x:v>4714200</x:v>
      </x:c>
      <x:c r="T399" s="2" t="str">
        <x:f>IF(K399&lt;G399,"Order below requirement",IF(K399&lt;L399,"Below price tier",IF(ISNUMBER(S399),IF(K399&gt;S399,"Quantity exceeds snapshot","Within quantity snapshot"),"Stock not stated")))</x:f>
        <x:v>Within quantity snapshot</x:v>
      </x:c>
      <x:c r="U399" s="2" t="str">
        <x:f>INDEX('Dated offers'!$C$7:$C$305,MATCH($Z399,'Dated offers'!$A$7:$A$305,0))</x:f>
        <x:v>LCSC</x:v>
      </x:c>
      <x:c r="V399" s="2" t="str">
        <x:f>INDEX('Dated offers'!$D$7:$D$305,MATCH($Z399,'Dated offers'!$A$7:$A$305,0))</x:f>
        <x:v>C98220</x:v>
      </x:c>
      <x:c r="W399" s="24" t="n">
        <x:f>INDEX('Dated offers'!$E$7:$E$305,MATCH($Z399,'Dated offers'!$A$7:$A$305,0))</x:f>
        <x:v>46307.44744924769</x:v>
      </x:c>
      <x:c r="X399" s="2" t="b">
        <x:f>INDEX('Dated offers'!$N$7:$N$305,MATCH($Z399,'Dated offers'!$A$7:$A$305,0))</x:f>
        <x:v>0</x:v>
      </x:c>
      <x:c r="Y399" s="2" t="str">
        <x:f>INDEX('Dated offers'!$O$7:$O$305,MATCH($Z399,'Dated offers'!$A$7:$A$305,0))</x:f>
        <x:v>Unreserved inventory snapshot</x:v>
      </x:c>
      <x:c r="Z399" s="17" t="str">
        <x:v>OF0081</x:v>
      </x:c>
      <x:c r="AA399" s="2"/>
      <x:c r="AB399" s="2" t="str">
        <x:f>INDEX('Dated offers'!$Q$7:$Q$305,MATCH($Z399,'Dated offers'!$A$7:$A$305,0))</x:f>
        <x:v>https://www.lcsc.com/product-detail/C98220.html</x:v>
      </x:c>
    </x:row>
    <x:row r="400" ht="24" customHeight="1">
      <x:c r="A400" s="2" t="str">
        <x:v>100 boards / nominal</x:v>
      </x:c>
      <x:c r="B400" s="17" t="str">
        <x:v>RC0603FR-0710RL</x:v>
      </x:c>
      <x:c r="C400" s="18" t="n">
        <x:v>100</x:v>
      </x:c>
      <x:c r="D400" s="27" t="n">
        <x:v>0</x:v>
      </x:c>
      <x:c r="E400" s="18" t="n">
        <x:f>INDEX('Assembly BOM'!$C$7:$C$162,MATCH($B400,'Assembly BOM'!$A$7:$A$162,0))</x:f>
        <x:v>1</x:v>
      </x:c>
      <x:c r="F400" s="18" t="n">
        <x:f>C400*E400</x:f>
        <x:v>100</x:v>
      </x:c>
      <x:c r="G400" s="18" t="n">
        <x:f>ROUNDUP(F400*(1+D400),0)</x:f>
        <x:v>100</x:v>
      </x:c>
      <x:c r="H400" s="18" t="n">
        <x:f>INDEX('Dated offers'!$F$7:$F$305,MATCH($Z400,'Dated offers'!$A$7:$A$305,0))</x:f>
        <x:v>100</x:v>
      </x:c>
      <x:c r="I400" s="18" t="n">
        <x:f>INDEX('Dated offers'!$G$7:$G$305,MATCH($Z400,'Dated offers'!$A$7:$A$305,0))</x:f>
        <x:v>100</x:v>
      </x:c>
      <x:c r="J400" s="18" t="n">
        <x:f>CEILING(MAX(G400,H400),I400)</x:f>
        <x:v>100</x:v>
      </x:c>
      <x:c r="K400" s="18" t="n">
        <x:v>100</x:v>
      </x:c>
      <x:c r="L400" s="18" t="n">
        <x:f>INDEX('Dated offers'!$I$7:$I$305,MATCH($Z400,'Dated offers'!$A$7:$A$305,0))</x:f>
        <x:v>100</x:v>
      </x:c>
      <x:c r="M400" s="25" t="n">
        <x:f>INDEX('Dated offers'!$J$7:$J$305,MATCH($Z400,'Dated offers'!$A$7:$A$305,0))</x:f>
        <x:v>0.0065</x:v>
      </x:c>
      <x:c r="N400" s="25" t="n">
        <x:f>INDEX('Dated offers'!$K$7:$K$305,MATCH($Z400,'Dated offers'!$A$7:$A$305,0))</x:f>
        <x:v>0</x:v>
      </x:c>
      <x:c r="O400" s="25" t="n">
        <x:f>F400*M400</x:f>
        <x:v>0.65</x:v>
      </x:c>
      <x:c r="P400" s="25" t="n">
        <x:f>G400*M400</x:f>
        <x:v>0.65</x:v>
      </x:c>
      <x:c r="Q400" s="25" t="n">
        <x:f>K400*M400+N400</x:f>
        <x:v>0.65</x:v>
      </x:c>
      <x:c r="R400" s="18" t="n">
        <x:f>K400-G400</x:f>
        <x:v>0</x:v>
      </x:c>
      <x:c r="S400" s="18" t="n">
        <x:f>INDEX('Dated offers'!$H$7:$H$305,MATCH($Z400,'Dated offers'!$A$7:$A$305,0))</x:f>
        <x:v>5557100</x:v>
      </x:c>
      <x:c r="T400" s="2" t="str">
        <x:f>IF(K400&lt;G400,"Order below requirement",IF(K400&lt;L400,"Below price tier",IF(ISNUMBER(S400),IF(K400&gt;S400,"Quantity exceeds snapshot","Within quantity snapshot"),"Stock not stated")))</x:f>
        <x:v>Within quantity snapshot</x:v>
      </x:c>
      <x:c r="U400" s="2" t="str">
        <x:f>INDEX('Dated offers'!$C$7:$C$305,MATCH($Z400,'Dated offers'!$A$7:$A$305,0))</x:f>
        <x:v>LCSC</x:v>
      </x:c>
      <x:c r="V400" s="2" t="str">
        <x:f>INDEX('Dated offers'!$D$7:$D$305,MATCH($Z400,'Dated offers'!$A$7:$A$305,0))</x:f>
        <x:v>C109318</x:v>
      </x:c>
      <x:c r="W400" s="24" t="n">
        <x:f>INDEX('Dated offers'!$E$7:$E$305,MATCH($Z400,'Dated offers'!$A$7:$A$305,0))</x:f>
        <x:v>46307.44745208333</x:v>
      </x:c>
      <x:c r="X400" s="2" t="b">
        <x:f>INDEX('Dated offers'!$N$7:$N$305,MATCH($Z400,'Dated offers'!$A$7:$A$305,0))</x:f>
        <x:v>0</x:v>
      </x:c>
      <x:c r="Y400" s="2" t="str">
        <x:f>INDEX('Dated offers'!$O$7:$O$305,MATCH($Z400,'Dated offers'!$A$7:$A$305,0))</x:f>
        <x:v>Unreserved inventory snapshot</x:v>
      </x:c>
      <x:c r="Z400" s="17" t="str">
        <x:v>OF0082</x:v>
      </x:c>
      <x:c r="AA400" s="2"/>
      <x:c r="AB400" s="2" t="str">
        <x:f>INDEX('Dated offers'!$Q$7:$Q$305,MATCH($Z400,'Dated offers'!$A$7:$A$305,0))</x:f>
        <x:v>https://www.lcsc.com/product-detail/C109318.html</x:v>
      </x:c>
    </x:row>
    <x:row r="401" ht="24" customHeight="1">
      <x:c r="A401" s="2" t="str">
        <x:v>100 boards / nominal</x:v>
      </x:c>
      <x:c r="B401" s="17" t="str">
        <x:v>RC0603FR-0716KL</x:v>
      </x:c>
      <x:c r="C401" s="18" t="n">
        <x:v>100</x:v>
      </x:c>
      <x:c r="D401" s="27" t="n">
        <x:v>0</x:v>
      </x:c>
      <x:c r="E401" s="18" t="n">
        <x:f>INDEX('Assembly BOM'!$C$7:$C$162,MATCH($B401,'Assembly BOM'!$A$7:$A$162,0))</x:f>
        <x:v>1</x:v>
      </x:c>
      <x:c r="F401" s="18" t="n">
        <x:f>C401*E401</x:f>
        <x:v>100</x:v>
      </x:c>
      <x:c r="G401" s="18" t="n">
        <x:f>ROUNDUP(F401*(1+D401),0)</x:f>
        <x:v>100</x:v>
      </x:c>
      <x:c r="H401" s="18" t="n">
        <x:f>INDEX('Dated offers'!$F$7:$F$305,MATCH($Z401,'Dated offers'!$A$7:$A$305,0))</x:f>
        <x:v>100</x:v>
      </x:c>
      <x:c r="I401" s="18" t="n">
        <x:f>INDEX('Dated offers'!$G$7:$G$305,MATCH($Z401,'Dated offers'!$A$7:$A$305,0))</x:f>
        <x:v>100</x:v>
      </x:c>
      <x:c r="J401" s="18" t="n">
        <x:f>CEILING(MAX(G401,H401),I401)</x:f>
        <x:v>100</x:v>
      </x:c>
      <x:c r="K401" s="18" t="n">
        <x:v>100</x:v>
      </x:c>
      <x:c r="L401" s="18" t="n">
        <x:f>INDEX('Dated offers'!$I$7:$I$305,MATCH($Z401,'Dated offers'!$A$7:$A$305,0))</x:f>
        <x:v>100</x:v>
      </x:c>
      <x:c r="M401" s="25" t="n">
        <x:f>INDEX('Dated offers'!$J$7:$J$305,MATCH($Z401,'Dated offers'!$A$7:$A$305,0))</x:f>
        <x:v>0.005</x:v>
      </x:c>
      <x:c r="N401" s="25" t="n">
        <x:f>INDEX('Dated offers'!$K$7:$K$305,MATCH($Z401,'Dated offers'!$A$7:$A$305,0))</x:f>
        <x:v>0</x:v>
      </x:c>
      <x:c r="O401" s="25" t="n">
        <x:f>F401*M401</x:f>
        <x:v>0.5</x:v>
      </x:c>
      <x:c r="P401" s="25" t="n">
        <x:f>G401*M401</x:f>
        <x:v>0.5</x:v>
      </x:c>
      <x:c r="Q401" s="25" t="n">
        <x:f>K401*M401+N401</x:f>
        <x:v>0.5</x:v>
      </x:c>
      <x:c r="R401" s="18" t="n">
        <x:f>K401-G401</x:f>
        <x:v>0</x:v>
      </x:c>
      <x:c r="S401" s="18" t="n">
        <x:f>INDEX('Dated offers'!$H$7:$H$305,MATCH($Z401,'Dated offers'!$A$7:$A$305,0))</x:f>
        <x:v>311100</x:v>
      </x:c>
      <x:c r="T401" s="2" t="str">
        <x:f>IF(K401&lt;G401,"Order below requirement",IF(K401&lt;L401,"Below price tier",IF(ISNUMBER(S401),IF(K401&gt;S401,"Quantity exceeds snapshot","Within quantity snapshot"),"Stock not stated")))</x:f>
        <x:v>Within quantity snapshot</x:v>
      </x:c>
      <x:c r="U401" s="2" t="str">
        <x:f>INDEX('Dated offers'!$C$7:$C$305,MATCH($Z401,'Dated offers'!$A$7:$A$305,0))</x:f>
        <x:v>LCSC</x:v>
      </x:c>
      <x:c r="V401" s="2" t="str">
        <x:f>INDEX('Dated offers'!$D$7:$D$305,MATCH($Z401,'Dated offers'!$A$7:$A$305,0))</x:f>
        <x:v>C137788</x:v>
      </x:c>
      <x:c r="W401" s="24" t="n">
        <x:f>INDEX('Dated offers'!$E$7:$E$305,MATCH($Z401,'Dated offers'!$A$7:$A$305,0))</x:f>
        <x:v>46307.447455416666</x:v>
      </x:c>
      <x:c r="X401" s="2" t="b">
        <x:f>INDEX('Dated offers'!$N$7:$N$305,MATCH($Z401,'Dated offers'!$A$7:$A$305,0))</x:f>
        <x:v>0</x:v>
      </x:c>
      <x:c r="Y401" s="2" t="str">
        <x:f>INDEX('Dated offers'!$O$7:$O$305,MATCH($Z401,'Dated offers'!$A$7:$A$305,0))</x:f>
        <x:v>Unreserved inventory snapshot</x:v>
      </x:c>
      <x:c r="Z401" s="17" t="str">
        <x:v>OF0083</x:v>
      </x:c>
      <x:c r="AA401" s="2"/>
      <x:c r="AB401" s="2" t="str">
        <x:f>INDEX('Dated offers'!$Q$7:$Q$305,MATCH($Z401,'Dated offers'!$A$7:$A$305,0))</x:f>
        <x:v>https://www.lcsc.com/product-detail/C137788.html</x:v>
      </x:c>
    </x:row>
    <x:row r="402" ht="24" customHeight="1">
      <x:c r="A402" s="2" t="str">
        <x:v>100 boards / nominal</x:v>
      </x:c>
      <x:c r="B402" s="17" t="str">
        <x:v>RC0603FR-0718K2L</x:v>
      </x:c>
      <x:c r="C402" s="18" t="n">
        <x:v>100</x:v>
      </x:c>
      <x:c r="D402" s="27" t="n">
        <x:v>0</x:v>
      </x:c>
      <x:c r="E402" s="18" t="n">
        <x:f>INDEX('Assembly BOM'!$C$7:$C$162,MATCH($B402,'Assembly BOM'!$A$7:$A$162,0))</x:f>
        <x:v>1</x:v>
      </x:c>
      <x:c r="F402" s="18" t="n">
        <x:f>C402*E402</x:f>
        <x:v>100</x:v>
      </x:c>
      <x:c r="G402" s="18" t="n">
        <x:f>ROUNDUP(F402*(1+D402),0)</x:f>
        <x:v>100</x:v>
      </x:c>
      <x:c r="H402" s="18" t="n">
        <x:f>INDEX('Dated offers'!$F$7:$F$305,MATCH($Z402,'Dated offers'!$A$7:$A$305,0))</x:f>
        <x:v>1</x:v>
      </x:c>
      <x:c r="I402" s="18" t="n">
        <x:f>INDEX('Dated offers'!$G$7:$G$305,MATCH($Z402,'Dated offers'!$A$7:$A$305,0))</x:f>
        <x:v>1</x:v>
      </x:c>
      <x:c r="J402" s="18" t="n">
        <x:f>CEILING(MAX(G402,H402),I402)</x:f>
        <x:v>100</x:v>
      </x:c>
      <x:c r="K402" s="18" t="n">
        <x:v>100</x:v>
      </x:c>
      <x:c r="L402" s="18" t="n">
        <x:f>INDEX('Dated offers'!$I$7:$I$305,MATCH($Z402,'Dated offers'!$A$7:$A$305,0))</x:f>
        <x:v>100</x:v>
      </x:c>
      <x:c r="M402" s="25" t="n">
        <x:f>INDEX('Dated offers'!$J$7:$J$305,MATCH($Z402,'Dated offers'!$A$7:$A$305,0))</x:f>
        <x:v>0.0122</x:v>
      </x:c>
      <x:c r="N402" s="25" t="n">
        <x:f>INDEX('Dated offers'!$K$7:$K$305,MATCH($Z402,'Dated offers'!$A$7:$A$305,0))</x:f>
        <x:v>0</x:v>
      </x:c>
      <x:c r="O402" s="25" t="n">
        <x:f>F402*M402</x:f>
        <x:v>1.22</x:v>
      </x:c>
      <x:c r="P402" s="25" t="n">
        <x:f>G402*M402</x:f>
        <x:v>1.22</x:v>
      </x:c>
      <x:c r="Q402" s="25" t="n">
        <x:f>K402*M402+N402</x:f>
        <x:v>1.22</x:v>
      </x:c>
      <x:c r="R402" s="18" t="n">
        <x:f>K402-G402</x:f>
        <x:v>0</x:v>
      </x:c>
      <x:c r="S402" s="18" t="n">
        <x:f>INDEX('Dated offers'!$H$7:$H$305,MATCH($Z402,'Dated offers'!$A$7:$A$305,0))</x:f>
        <x:v>88477</x:v>
      </x:c>
      <x:c r="T402" s="2" t="str">
        <x:f>IF(K402&lt;G402,"Order below requirement",IF(K402&lt;L402,"Below price tier",IF(ISNUMBER(S402),IF(K402&gt;S402,"Quantity exceeds snapshot","Within quantity snapshot"),"Stock not stated")))</x:f>
        <x:v>Within quantity snapshot</x:v>
      </x:c>
      <x:c r="U402" s="2" t="str">
        <x:f>INDEX('Dated offers'!$C$7:$C$305,MATCH($Z402,'Dated offers'!$A$7:$A$305,0))</x:f>
        <x:v>DigiKey</x:v>
      </x:c>
      <x:c r="V402" s="2" t="str">
        <x:f>INDEX('Dated offers'!$D$7:$D$305,MATCH($Z402,'Dated offers'!$A$7:$A$305,0))</x:f>
        <x:v>Not stated</x:v>
      </x:c>
      <x:c r="W402" s="24" t="n">
        <x:f>INDEX('Dated offers'!$E$7:$E$305,MATCH($Z402,'Dated offers'!$A$7:$A$305,0))</x:f>
        <x:v>46307.47807252315</x:v>
      </x:c>
      <x:c r="X402" s="2" t="b">
        <x:f>INDEX('Dated offers'!$N$7:$N$305,MATCH($Z402,'Dated offers'!$A$7:$A$305,0))</x:f>
        <x:v>0</x:v>
      </x:c>
      <x:c r="Y402" s="2" t="str">
        <x:f>INDEX('Dated offers'!$O$7:$O$305,MATCH($Z402,'Dated offers'!$A$7:$A$305,0))</x:f>
        <x:v>Unreserved inventory snapshot</x:v>
      </x:c>
      <x:c r="Z402" s="17" t="str">
        <x:v>OF0230</x:v>
      </x:c>
      <x:c r="AA402" s="2"/>
      <x:c r="AB402" s="2" t="str">
        <x:f>INDEX('Dated offers'!$Q$7:$Q$305,MATCH($Z402,'Dated offers'!$A$7:$A$305,0))</x:f>
        <x:v>https://www.digikey.com/en/products/detail/yageo/RC0603FR-0718K2L/729938</x:v>
      </x:c>
    </x:row>
    <x:row r="403" ht="24" customHeight="1">
      <x:c r="A403" s="2" t="str">
        <x:v>100 boards / nominal</x:v>
      </x:c>
      <x:c r="B403" s="17" t="str">
        <x:v>RC0603FR-071KL</x:v>
      </x:c>
      <x:c r="C403" s="18" t="n">
        <x:v>100</x:v>
      </x:c>
      <x:c r="D403" s="27" t="n">
        <x:v>0</x:v>
      </x:c>
      <x:c r="E403" s="18" t="n">
        <x:f>INDEX('Assembly BOM'!$C$7:$C$162,MATCH($B403,'Assembly BOM'!$A$7:$A$162,0))</x:f>
        <x:v>1</x:v>
      </x:c>
      <x:c r="F403" s="18" t="n">
        <x:f>C403*E403</x:f>
        <x:v>100</x:v>
      </x:c>
      <x:c r="G403" s="18" t="n">
        <x:f>ROUNDUP(F403*(1+D403),0)</x:f>
        <x:v>100</x:v>
      </x:c>
      <x:c r="H403" s="18" t="n">
        <x:f>INDEX('Dated offers'!$F$7:$F$305,MATCH($Z403,'Dated offers'!$A$7:$A$305,0))</x:f>
        <x:v>100</x:v>
      </x:c>
      <x:c r="I403" s="18" t="n">
        <x:f>INDEX('Dated offers'!$G$7:$G$305,MATCH($Z403,'Dated offers'!$A$7:$A$305,0))</x:f>
        <x:v>100</x:v>
      </x:c>
      <x:c r="J403" s="18" t="n">
        <x:f>CEILING(MAX(G403,H403),I403)</x:f>
        <x:v>100</x:v>
      </x:c>
      <x:c r="K403" s="18" t="n">
        <x:v>100</x:v>
      </x:c>
      <x:c r="L403" s="18" t="n">
        <x:f>INDEX('Dated offers'!$I$7:$I$305,MATCH($Z403,'Dated offers'!$A$7:$A$305,0))</x:f>
        <x:v>100</x:v>
      </x:c>
      <x:c r="M403" s="25" t="n">
        <x:f>INDEX('Dated offers'!$J$7:$J$305,MATCH($Z403,'Dated offers'!$A$7:$A$305,0))</x:f>
        <x:v>0.0037</x:v>
      </x:c>
      <x:c r="N403" s="25" t="n">
        <x:f>INDEX('Dated offers'!$K$7:$K$305,MATCH($Z403,'Dated offers'!$A$7:$A$305,0))</x:f>
        <x:v>0</x:v>
      </x:c>
      <x:c r="O403" s="25" t="n">
        <x:f>F403*M403</x:f>
        <x:v>0.37</x:v>
      </x:c>
      <x:c r="P403" s="25" t="n">
        <x:f>G403*M403</x:f>
        <x:v>0.37</x:v>
      </x:c>
      <x:c r="Q403" s="25" t="n">
        <x:f>K403*M403+N403</x:f>
        <x:v>0.37</x:v>
      </x:c>
      <x:c r="R403" s="18" t="n">
        <x:f>K403-G403</x:f>
        <x:v>0</x:v>
      </x:c>
      <x:c r="S403" s="18" t="n">
        <x:f>INDEX('Dated offers'!$H$7:$H$305,MATCH($Z403,'Dated offers'!$A$7:$A$305,0))</x:f>
        <x:v>9834600</x:v>
      </x:c>
      <x:c r="T403" s="2" t="str">
        <x:f>IF(K403&lt;G403,"Order below requirement",IF(K403&lt;L403,"Below price tier",IF(ISNUMBER(S403),IF(K403&gt;S403,"Quantity exceeds snapshot","Within quantity snapshot"),"Stock not stated")))</x:f>
        <x:v>Within quantity snapshot</x:v>
      </x:c>
      <x:c r="U403" s="2" t="str">
        <x:f>INDEX('Dated offers'!$C$7:$C$305,MATCH($Z403,'Dated offers'!$A$7:$A$305,0))</x:f>
        <x:v>LCSC</x:v>
      </x:c>
      <x:c r="V403" s="2" t="str">
        <x:f>INDEX('Dated offers'!$D$7:$D$305,MATCH($Z403,'Dated offers'!$A$7:$A$305,0))</x:f>
        <x:v>C22548</x:v>
      </x:c>
      <x:c r="W403" s="24" t="n">
        <x:f>INDEX('Dated offers'!$E$7:$E$305,MATCH($Z403,'Dated offers'!$A$7:$A$305,0))</x:f>
        <x:v>46307.44745611111</x:v>
      </x:c>
      <x:c r="X403" s="2" t="b">
        <x:f>INDEX('Dated offers'!$N$7:$N$305,MATCH($Z403,'Dated offers'!$A$7:$A$305,0))</x:f>
        <x:v>0</x:v>
      </x:c>
      <x:c r="Y403" s="2" t="str">
        <x:f>INDEX('Dated offers'!$O$7:$O$305,MATCH($Z403,'Dated offers'!$A$7:$A$305,0))</x:f>
        <x:v>Unreserved inventory snapshot</x:v>
      </x:c>
      <x:c r="Z403" s="17" t="str">
        <x:v>OF0085</x:v>
      </x:c>
      <x:c r="AA403" s="2"/>
      <x:c r="AB403" s="2" t="str">
        <x:f>INDEX('Dated offers'!$Q$7:$Q$305,MATCH($Z403,'Dated offers'!$A$7:$A$305,0))</x:f>
        <x:v>https://www.lcsc.com/product-detail/C22548.html</x:v>
      </x:c>
    </x:row>
    <x:row r="404" ht="24" customHeight="1">
      <x:c r="A404" s="2" t="str">
        <x:v>100 boards / nominal</x:v>
      </x:c>
      <x:c r="B404" s="17" t="str">
        <x:v>RC1206FR-071ML</x:v>
      </x:c>
      <x:c r="C404" s="18" t="n">
        <x:v>100</x:v>
      </x:c>
      <x:c r="D404" s="27" t="n">
        <x:v>0</x:v>
      </x:c>
      <x:c r="E404" s="18" t="n">
        <x:f>INDEX('Assembly BOM'!$C$7:$C$162,MATCH($B404,'Assembly BOM'!$A$7:$A$162,0))</x:f>
        <x:v>1</x:v>
      </x:c>
      <x:c r="F404" s="18" t="n">
        <x:f>C404*E404</x:f>
        <x:v>100</x:v>
      </x:c>
      <x:c r="G404" s="18" t="n">
        <x:f>ROUNDUP(F404*(1+D404),0)</x:f>
        <x:v>100</x:v>
      </x:c>
      <x:c r="H404" s="18" t="n">
        <x:f>INDEX('Dated offers'!$F$7:$F$305,MATCH($Z404,'Dated offers'!$A$7:$A$305,0))</x:f>
        <x:v>50</x:v>
      </x:c>
      <x:c r="I404" s="18" t="n">
        <x:f>INDEX('Dated offers'!$G$7:$G$305,MATCH($Z404,'Dated offers'!$A$7:$A$305,0))</x:f>
        <x:v>50</x:v>
      </x:c>
      <x:c r="J404" s="18" t="n">
        <x:f>CEILING(MAX(G404,H404),I404)</x:f>
        <x:v>100</x:v>
      </x:c>
      <x:c r="K404" s="18" t="n">
        <x:v>100</x:v>
      </x:c>
      <x:c r="L404" s="18" t="n">
        <x:f>INDEX('Dated offers'!$I$7:$I$305,MATCH($Z404,'Dated offers'!$A$7:$A$305,0))</x:f>
        <x:v>50</x:v>
      </x:c>
      <x:c r="M404" s="25" t="n">
        <x:f>INDEX('Dated offers'!$J$7:$J$305,MATCH($Z404,'Dated offers'!$A$7:$A$305,0))</x:f>
        <x:v>0.0122</x:v>
      </x:c>
      <x:c r="N404" s="25" t="n">
        <x:f>INDEX('Dated offers'!$K$7:$K$305,MATCH($Z404,'Dated offers'!$A$7:$A$305,0))</x:f>
        <x:v>0</x:v>
      </x:c>
      <x:c r="O404" s="25" t="n">
        <x:f>F404*M404</x:f>
        <x:v>1.22</x:v>
      </x:c>
      <x:c r="P404" s="25" t="n">
        <x:f>G404*M404</x:f>
        <x:v>1.22</x:v>
      </x:c>
      <x:c r="Q404" s="25" t="n">
        <x:f>K404*M404+N404</x:f>
        <x:v>1.22</x:v>
      </x:c>
      <x:c r="R404" s="18" t="n">
        <x:f>K404-G404</x:f>
        <x:v>0</x:v>
      </x:c>
      <x:c r="S404" s="18" t="n">
        <x:f>INDEX('Dated offers'!$H$7:$H$305,MATCH($Z404,'Dated offers'!$A$7:$A$305,0))</x:f>
        <x:v>645150</x:v>
      </x:c>
      <x:c r="T404" s="2" t="str">
        <x:f>IF(K404&lt;G404,"Order below requirement",IF(K404&lt;L404,"Below price tier",IF(ISNUMBER(S404),IF(K404&gt;S404,"Quantity exceeds snapshot","Within quantity snapshot"),"Stock not stated")))</x:f>
        <x:v>Within quantity snapshot</x:v>
      </x:c>
      <x:c r="U404" s="2" t="str">
        <x:f>INDEX('Dated offers'!$C$7:$C$305,MATCH($Z404,'Dated offers'!$A$7:$A$305,0))</x:f>
        <x:v>LCSC</x:v>
      </x:c>
      <x:c r="V404" s="2" t="str">
        <x:f>INDEX('Dated offers'!$D$7:$D$305,MATCH($Z404,'Dated offers'!$A$7:$A$305,0))</x:f>
        <x:v>C108083</x:v>
      </x:c>
      <x:c r="W404" s="24" t="n">
        <x:f>INDEX('Dated offers'!$E$7:$E$305,MATCH($Z404,'Dated offers'!$A$7:$A$305,0))</x:f>
        <x:v>46307.44745853009</x:v>
      </x:c>
      <x:c r="X404" s="2" t="b">
        <x:f>INDEX('Dated offers'!$N$7:$N$305,MATCH($Z404,'Dated offers'!$A$7:$A$305,0))</x:f>
        <x:v>0</x:v>
      </x:c>
      <x:c r="Y404" s="2" t="str">
        <x:f>INDEX('Dated offers'!$O$7:$O$305,MATCH($Z404,'Dated offers'!$A$7:$A$305,0))</x:f>
        <x:v>Unreserved inventory snapshot</x:v>
      </x:c>
      <x:c r="Z404" s="17" t="str">
        <x:v>OF0086</x:v>
      </x:c>
      <x:c r="AA404" s="2"/>
      <x:c r="AB404" s="2" t="str">
        <x:f>INDEX('Dated offers'!$Q$7:$Q$305,MATCH($Z404,'Dated offers'!$A$7:$A$305,0))</x:f>
        <x:v>https://www.lcsc.com/product-detail/C108083.html</x:v>
      </x:c>
    </x:row>
    <x:row r="405" ht="24" customHeight="1">
      <x:c r="A405" s="2" t="str">
        <x:v>100 boards / nominal</x:v>
      </x:c>
      <x:c r="B405" s="17" t="str">
        <x:v>RG1608N-222-W-T1</x:v>
      </x:c>
      <x:c r="C405" s="18" t="n">
        <x:v>100</x:v>
      </x:c>
      <x:c r="D405" s="27" t="n">
        <x:v>0</x:v>
      </x:c>
      <x:c r="E405" s="18" t="n">
        <x:f>INDEX('Assembly BOM'!$C$7:$C$162,MATCH($B405,'Assembly BOM'!$A$7:$A$162,0))</x:f>
        <x:v>2</x:v>
      </x:c>
      <x:c r="F405" s="18" t="n">
        <x:f>C405*E405</x:f>
        <x:v>200</x:v>
      </x:c>
      <x:c r="G405" s="18" t="n">
        <x:f>ROUNDUP(F405*(1+D405),0)</x:f>
        <x:v>200</x:v>
      </x:c>
      <x:c r="H405" s="18" t="n">
        <x:f>INDEX('Dated offers'!$F$7:$F$305,MATCH($Z405,'Dated offers'!$A$7:$A$305,0))</x:f>
        <x:v>1</x:v>
      </x:c>
      <x:c r="I405" s="18" t="n">
        <x:f>INDEX('Dated offers'!$G$7:$G$305,MATCH($Z405,'Dated offers'!$A$7:$A$305,0))</x:f>
        <x:v>1</x:v>
      </x:c>
      <x:c r="J405" s="18" t="n">
        <x:f>CEILING(MAX(G405,H405),I405)</x:f>
        <x:v>200</x:v>
      </x:c>
      <x:c r="K405" s="18" t="n">
        <x:v>200</x:v>
      </x:c>
      <x:c r="L405" s="18" t="n">
        <x:f>INDEX('Dated offers'!$I$7:$I$305,MATCH($Z405,'Dated offers'!$A$7:$A$305,0))</x:f>
        <x:v>100</x:v>
      </x:c>
      <x:c r="M405" s="25" t="n">
        <x:f>INDEX('Dated offers'!$J$7:$J$305,MATCH($Z405,'Dated offers'!$A$7:$A$305,0))</x:f>
        <x:v>0.4381</x:v>
      </x:c>
      <x:c r="N405" s="25" t="n">
        <x:f>INDEX('Dated offers'!$K$7:$K$305,MATCH($Z405,'Dated offers'!$A$7:$A$305,0))</x:f>
        <x:v>0</x:v>
      </x:c>
      <x:c r="O405" s="25" t="n">
        <x:f>F405*M405</x:f>
        <x:v>87.62</x:v>
      </x:c>
      <x:c r="P405" s="25" t="n">
        <x:f>G405*M405</x:f>
        <x:v>87.62</x:v>
      </x:c>
      <x:c r="Q405" s="25" t="n">
        <x:f>K405*M405+N405</x:f>
        <x:v>87.62</x:v>
      </x:c>
      <x:c r="R405" s="18" t="n">
        <x:f>K405-G405</x:f>
        <x:v>0</x:v>
      </x:c>
      <x:c r="S405" s="18" t="n">
        <x:f>INDEX('Dated offers'!$H$7:$H$305,MATCH($Z405,'Dated offers'!$A$7:$A$305,0))</x:f>
        <x:v>87579</x:v>
      </x:c>
      <x:c r="T405" s="2" t="str">
        <x:f>IF(K405&lt;G405,"Order below requirement",IF(K405&lt;L405,"Below price tier",IF(ISNUMBER(S405),IF(K405&gt;S405,"Quantity exceeds snapshot","Within quantity snapshot"),"Stock not stated")))</x:f>
        <x:v>Within quantity snapshot</x:v>
      </x:c>
      <x:c r="U405" s="2" t="str">
        <x:f>INDEX('Dated offers'!$C$7:$C$305,MATCH($Z405,'Dated offers'!$A$7:$A$305,0))</x:f>
        <x:v>DigiKey</x:v>
      </x:c>
      <x:c r="V405" s="2" t="str">
        <x:f>INDEX('Dated offers'!$D$7:$D$305,MATCH($Z405,'Dated offers'!$A$7:$A$305,0))</x:f>
        <x:v>Not stated</x:v>
      </x:c>
      <x:c r="W405" s="24" t="n">
        <x:f>INDEX('Dated offers'!$E$7:$E$305,MATCH($Z405,'Dated offers'!$A$7:$A$305,0))</x:f>
        <x:v>46307.47807252315</x:v>
      </x:c>
      <x:c r="X405" s="2" t="b">
        <x:f>INDEX('Dated offers'!$N$7:$N$305,MATCH($Z405,'Dated offers'!$A$7:$A$305,0))</x:f>
        <x:v>0</x:v>
      </x:c>
      <x:c r="Y405" s="2" t="str">
        <x:f>INDEX('Dated offers'!$O$7:$O$305,MATCH($Z405,'Dated offers'!$A$7:$A$305,0))</x:f>
        <x:v>Unreserved inventory snapshot</x:v>
      </x:c>
      <x:c r="Z405" s="17" t="str">
        <x:v>OF0231</x:v>
      </x:c>
      <x:c r="AA405" s="2"/>
      <x:c r="AB405" s="2" t="str">
        <x:f>INDEX('Dated offers'!$Q$7:$Q$305,MATCH($Z405,'Dated offers'!$A$7:$A$305,0))</x:f>
        <x:v>https://www.digikey.com/en/products/detail/susumu/RG1608N-222-W-T1/600605</x:v>
      </x:c>
    </x:row>
    <x:row r="406" ht="24" customHeight="1">
      <x:c r="A406" s="2" t="str">
        <x:v>100 boards / nominal</x:v>
      </x:c>
      <x:c r="B406" s="17" t="str">
        <x:v>RG1608N-392-W-T1</x:v>
      </x:c>
      <x:c r="C406" s="18" t="n">
        <x:v>100</x:v>
      </x:c>
      <x:c r="D406" s="27" t="n">
        <x:v>0</x:v>
      </x:c>
      <x:c r="E406" s="18" t="n">
        <x:f>INDEX('Assembly BOM'!$C$7:$C$162,MATCH($B406,'Assembly BOM'!$A$7:$A$162,0))</x:f>
        <x:v>1</x:v>
      </x:c>
      <x:c r="F406" s="18" t="n">
        <x:f>C406*E406</x:f>
        <x:v>100</x:v>
      </x:c>
      <x:c r="G406" s="18" t="n">
        <x:f>ROUNDUP(F406*(1+D406),0)</x:f>
        <x:v>100</x:v>
      </x:c>
      <x:c r="H406" s="18" t="n">
        <x:f>INDEX('Dated offers'!$F$7:$F$305,MATCH($Z406,'Dated offers'!$A$7:$A$305,0))</x:f>
        <x:v>1</x:v>
      </x:c>
      <x:c r="I406" s="18" t="n">
        <x:f>INDEX('Dated offers'!$G$7:$G$305,MATCH($Z406,'Dated offers'!$A$7:$A$305,0))</x:f>
        <x:v>1</x:v>
      </x:c>
      <x:c r="J406" s="18" t="n">
        <x:f>CEILING(MAX(G406,H406),I406)</x:f>
        <x:v>100</x:v>
      </x:c>
      <x:c r="K406" s="18" t="n">
        <x:v>100</x:v>
      </x:c>
      <x:c r="L406" s="18" t="n">
        <x:f>INDEX('Dated offers'!$I$7:$I$305,MATCH($Z406,'Dated offers'!$A$7:$A$305,0))</x:f>
        <x:v>100</x:v>
      </x:c>
      <x:c r="M406" s="25" t="n">
        <x:f>INDEX('Dated offers'!$J$7:$J$305,MATCH($Z406,'Dated offers'!$A$7:$A$305,0))</x:f>
        <x:v>0.4381</x:v>
      </x:c>
      <x:c r="N406" s="25" t="n">
        <x:f>INDEX('Dated offers'!$K$7:$K$305,MATCH($Z406,'Dated offers'!$A$7:$A$305,0))</x:f>
        <x:v>0</x:v>
      </x:c>
      <x:c r="O406" s="25" t="n">
        <x:f>F406*M406</x:f>
        <x:v>43.81</x:v>
      </x:c>
      <x:c r="P406" s="25" t="n">
        <x:f>G406*M406</x:f>
        <x:v>43.81</x:v>
      </x:c>
      <x:c r="Q406" s="25" t="n">
        <x:f>K406*M406+N406</x:f>
        <x:v>43.81</x:v>
      </x:c>
      <x:c r="R406" s="18" t="n">
        <x:f>K406-G406</x:f>
        <x:v>0</x:v>
      </x:c>
      <x:c r="S406" s="18" t="n">
        <x:f>INDEX('Dated offers'!$H$7:$H$305,MATCH($Z406,'Dated offers'!$A$7:$A$305,0))</x:f>
        <x:v>9903</x:v>
      </x:c>
      <x:c r="T406" s="2" t="str">
        <x:f>IF(K406&lt;G406,"Order below requirement",IF(K406&lt;L406,"Below price tier",IF(ISNUMBER(S406),IF(K406&gt;S406,"Quantity exceeds snapshot","Within quantity snapshot"),"Stock not stated")))</x:f>
        <x:v>Within quantity snapshot</x:v>
      </x:c>
      <x:c r="U406" s="2" t="str">
        <x:f>INDEX('Dated offers'!$C$7:$C$305,MATCH($Z406,'Dated offers'!$A$7:$A$305,0))</x:f>
        <x:v>DigiKey</x:v>
      </x:c>
      <x:c r="V406" s="2" t="str">
        <x:f>INDEX('Dated offers'!$D$7:$D$305,MATCH($Z406,'Dated offers'!$A$7:$A$305,0))</x:f>
        <x:v>Not stated</x:v>
      </x:c>
      <x:c r="W406" s="24" t="n">
        <x:f>INDEX('Dated offers'!$E$7:$E$305,MATCH($Z406,'Dated offers'!$A$7:$A$305,0))</x:f>
        <x:v>46307.47807252315</x:v>
      </x:c>
      <x:c r="X406" s="2" t="b">
        <x:f>INDEX('Dated offers'!$N$7:$N$305,MATCH($Z406,'Dated offers'!$A$7:$A$305,0))</x:f>
        <x:v>0</x:v>
      </x:c>
      <x:c r="Y406" s="2" t="str">
        <x:f>INDEX('Dated offers'!$O$7:$O$305,MATCH($Z406,'Dated offers'!$A$7:$A$305,0))</x:f>
        <x:v>Unreserved inventory snapshot</x:v>
      </x:c>
      <x:c r="Z406" s="17" t="str">
        <x:v>OF0232</x:v>
      </x:c>
      <x:c r="AA406" s="2"/>
      <x:c r="AB406" s="2" t="str">
        <x:f>INDEX('Dated offers'!$Q$7:$Q$305,MATCH($Z406,'Dated offers'!$A$7:$A$305,0))</x:f>
        <x:v>https://www.digikey.com/en/products/detail/susumu/RG1608N-392-W-T1/600611</x:v>
      </x:c>
    </x:row>
    <x:row r="407" ht="24" customHeight="1">
      <x:c r="A407" s="2" t="str">
        <x:v>100 boards / nominal</x:v>
      </x:c>
      <x:c r="B407" s="17" t="str">
        <x:v>RG1608N-682-W-T1</x:v>
      </x:c>
      <x:c r="C407" s="18" t="n">
        <x:v>100</x:v>
      </x:c>
      <x:c r="D407" s="27" t="n">
        <x:v>0</x:v>
      </x:c>
      <x:c r="E407" s="18" t="n">
        <x:f>INDEX('Assembly BOM'!$C$7:$C$162,MATCH($B407,'Assembly BOM'!$A$7:$A$162,0))</x:f>
        <x:v>1</x:v>
      </x:c>
      <x:c r="F407" s="18" t="n">
        <x:f>C407*E407</x:f>
        <x:v>100</x:v>
      </x:c>
      <x:c r="G407" s="18" t="n">
        <x:f>ROUNDUP(F407*(1+D407),0)</x:f>
        <x:v>100</x:v>
      </x:c>
      <x:c r="H407" s="18" t="n">
        <x:f>INDEX('Dated offers'!$F$7:$F$305,MATCH($Z407,'Dated offers'!$A$7:$A$305,0))</x:f>
        <x:v>1</x:v>
      </x:c>
      <x:c r="I407" s="18" t="n">
        <x:f>INDEX('Dated offers'!$G$7:$G$305,MATCH($Z407,'Dated offers'!$A$7:$A$305,0))</x:f>
        <x:v>1</x:v>
      </x:c>
      <x:c r="J407" s="18" t="n">
        <x:f>CEILING(MAX(G407,H407),I407)</x:f>
        <x:v>100</x:v>
      </x:c>
      <x:c r="K407" s="18" t="n">
        <x:v>100</x:v>
      </x:c>
      <x:c r="L407" s="18" t="n">
        <x:f>INDEX('Dated offers'!$I$7:$I$305,MATCH($Z407,'Dated offers'!$A$7:$A$305,0))</x:f>
        <x:v>100</x:v>
      </x:c>
      <x:c r="M407" s="25" t="n">
        <x:f>INDEX('Dated offers'!$J$7:$J$305,MATCH($Z407,'Dated offers'!$A$7:$A$305,0))</x:f>
        <x:v>0.4133</x:v>
      </x:c>
      <x:c r="N407" s="25" t="n">
        <x:f>INDEX('Dated offers'!$K$7:$K$305,MATCH($Z407,'Dated offers'!$A$7:$A$305,0))</x:f>
        <x:v>0</x:v>
      </x:c>
      <x:c r="O407" s="25" t="n">
        <x:f>F407*M407</x:f>
        <x:v>41.33</x:v>
      </x:c>
      <x:c r="P407" s="25" t="n">
        <x:f>G407*M407</x:f>
        <x:v>41.33</x:v>
      </x:c>
      <x:c r="Q407" s="25" t="n">
        <x:f>K407*M407+N407</x:f>
        <x:v>41.33</x:v>
      </x:c>
      <x:c r="R407" s="18" t="n">
        <x:f>K407-G407</x:f>
        <x:v>0</x:v>
      </x:c>
      <x:c r="S407" s="18" t="n">
        <x:f>INDEX('Dated offers'!$H$7:$H$305,MATCH($Z407,'Dated offers'!$A$7:$A$305,0))</x:f>
        <x:v>3134</x:v>
      </x:c>
      <x:c r="T407" s="2" t="str">
        <x:f>IF(K407&lt;G407,"Order below requirement",IF(K407&lt;L407,"Below price tier",IF(ISNUMBER(S407),IF(K407&gt;S407,"Quantity exceeds snapshot","Within quantity snapshot"),"Stock not stated")))</x:f>
        <x:v>Within quantity snapshot</x:v>
      </x:c>
      <x:c r="U407" s="2" t="str">
        <x:f>INDEX('Dated offers'!$C$7:$C$305,MATCH($Z407,'Dated offers'!$A$7:$A$305,0))</x:f>
        <x:v>DigiKey</x:v>
      </x:c>
      <x:c r="V407" s="2" t="str">
        <x:f>INDEX('Dated offers'!$D$7:$D$305,MATCH($Z407,'Dated offers'!$A$7:$A$305,0))</x:f>
        <x:v>Not stated</x:v>
      </x:c>
      <x:c r="W407" s="24" t="n">
        <x:f>INDEX('Dated offers'!$E$7:$E$305,MATCH($Z407,'Dated offers'!$A$7:$A$305,0))</x:f>
        <x:v>46307.478072592596</x:v>
      </x:c>
      <x:c r="X407" s="2" t="b">
        <x:f>INDEX('Dated offers'!$N$7:$N$305,MATCH($Z407,'Dated offers'!$A$7:$A$305,0))</x:f>
        <x:v>0</x:v>
      </x:c>
      <x:c r="Y407" s="2" t="str">
        <x:f>INDEX('Dated offers'!$O$7:$O$305,MATCH($Z407,'Dated offers'!$A$7:$A$305,0))</x:f>
        <x:v>Unreserved inventory snapshot</x:v>
      </x:c>
      <x:c r="Z407" s="17" t="str">
        <x:v>OF0233</x:v>
      </x:c>
      <x:c r="AA407" s="2"/>
      <x:c r="AB407" s="2" t="str">
        <x:f>INDEX('Dated offers'!$Q$7:$Q$305,MATCH($Z407,'Dated offers'!$A$7:$A$305,0))</x:f>
        <x:v>https://www.digikey.com/en/products/detail/susumu/RG1608N-682-W-T1/600805</x:v>
      </x:c>
    </x:row>
    <x:row r="408" ht="24" customHeight="1">
      <x:c r="A408" s="2" t="str">
        <x:v>100 boards / nominal</x:v>
      </x:c>
      <x:c r="B408" s="17" t="str">
        <x:v>RHA0J471MCN1GS</x:v>
      </x:c>
      <x:c r="C408" s="18" t="n">
        <x:v>100</x:v>
      </x:c>
      <x:c r="D408" s="27" t="n">
        <x:v>0</x:v>
      </x:c>
      <x:c r="E408" s="18" t="n">
        <x:f>INDEX('Assembly BOM'!$C$7:$C$162,MATCH($B408,'Assembly BOM'!$A$7:$A$162,0))</x:f>
        <x:v>1</x:v>
      </x:c>
      <x:c r="F408" s="18" t="n">
        <x:f>C408*E408</x:f>
        <x:v>100</x:v>
      </x:c>
      <x:c r="G408" s="18" t="n">
        <x:f>ROUNDUP(F408*(1+D408),0)</x:f>
        <x:v>100</x:v>
      </x:c>
      <x:c r="H408" s="18" t="n">
        <x:f>INDEX('Dated offers'!$F$7:$F$305,MATCH($Z408,'Dated offers'!$A$7:$A$305,0))</x:f>
        <x:v>1</x:v>
      </x:c>
      <x:c r="I408" s="18" t="n">
        <x:f>INDEX('Dated offers'!$G$7:$G$305,MATCH($Z408,'Dated offers'!$A$7:$A$305,0))</x:f>
        <x:v>1</x:v>
      </x:c>
      <x:c r="J408" s="18" t="n">
        <x:f>CEILING(MAX(G408,H408),I408)</x:f>
        <x:v>100</x:v>
      </x:c>
      <x:c r="K408" s="18" t="n">
        <x:v>100</x:v>
      </x:c>
      <x:c r="L408" s="18" t="n">
        <x:f>INDEX('Dated offers'!$I$7:$I$305,MATCH($Z408,'Dated offers'!$A$7:$A$305,0))</x:f>
        <x:v>100</x:v>
      </x:c>
      <x:c r="M408" s="25" t="n">
        <x:f>INDEX('Dated offers'!$J$7:$J$305,MATCH($Z408,'Dated offers'!$A$7:$A$305,0))</x:f>
        <x:v>0.6091</x:v>
      </x:c>
      <x:c r="N408" s="25" t="n">
        <x:f>INDEX('Dated offers'!$K$7:$K$305,MATCH($Z408,'Dated offers'!$A$7:$A$305,0))</x:f>
        <x:v>0</x:v>
      </x:c>
      <x:c r="O408" s="25" t="n">
        <x:f>F408*M408</x:f>
        <x:v>60.91</x:v>
      </x:c>
      <x:c r="P408" s="25" t="n">
        <x:f>G408*M408</x:f>
        <x:v>60.91</x:v>
      </x:c>
      <x:c r="Q408" s="25" t="n">
        <x:f>K408*M408+N408</x:f>
        <x:v>60.91</x:v>
      </x:c>
      <x:c r="R408" s="18" t="n">
        <x:f>K408-G408</x:f>
        <x:v>0</x:v>
      </x:c>
      <x:c r="S408" s="18" t="n">
        <x:f>INDEX('Dated offers'!$H$7:$H$305,MATCH($Z408,'Dated offers'!$A$7:$A$305,0))</x:f>
        <x:v>43782</x:v>
      </x:c>
      <x:c r="T408" s="2" t="str">
        <x:f>IF(K408&lt;G408,"Order below requirement",IF(K408&lt;L408,"Below price tier",IF(ISNUMBER(S408),IF(K408&gt;S408,"Quantity exceeds snapshot","Within quantity snapshot"),"Stock not stated")))</x:f>
        <x:v>Within quantity snapshot</x:v>
      </x:c>
      <x:c r="U408" s="2" t="str">
        <x:f>INDEX('Dated offers'!$C$7:$C$305,MATCH($Z408,'Dated offers'!$A$7:$A$305,0))</x:f>
        <x:v>DigiKey</x:v>
      </x:c>
      <x:c r="V408" s="2" t="str">
        <x:f>INDEX('Dated offers'!$D$7:$D$305,MATCH($Z408,'Dated offers'!$A$7:$A$305,0))</x:f>
        <x:v>Not stated</x:v>
      </x:c>
      <x:c r="W408" s="24" t="n">
        <x:f>INDEX('Dated offers'!$E$7:$E$305,MATCH($Z408,'Dated offers'!$A$7:$A$305,0))</x:f>
        <x:v>46307.47807258102</x:v>
      </x:c>
      <x:c r="X408" s="2" t="b">
        <x:f>INDEX('Dated offers'!$N$7:$N$305,MATCH($Z408,'Dated offers'!$A$7:$A$305,0))</x:f>
        <x:v>0</x:v>
      </x:c>
      <x:c r="Y408" s="2" t="str">
        <x:f>INDEX('Dated offers'!$O$7:$O$305,MATCH($Z408,'Dated offers'!$A$7:$A$305,0))</x:f>
        <x:v>Unreserved inventory snapshot</x:v>
      </x:c>
      <x:c r="Z408" s="17" t="str">
        <x:v>OF0234</x:v>
      </x:c>
      <x:c r="AA408" s="2"/>
      <x:c r="AB408" s="2" t="str">
        <x:f>INDEX('Dated offers'!$Q$7:$Q$305,MATCH($Z408,'Dated offers'!$A$7:$A$305,0))</x:f>
        <x:v>https://www.digikey.com/en/products/detail/nichicon/RHA0J471MCN1GS/2209461</x:v>
      </x:c>
    </x:row>
    <x:row r="409" ht="24" customHeight="1">
      <x:c r="A409" s="2" t="str">
        <x:v>100 boards / nominal</x:v>
      </x:c>
      <x:c r="B409" s="17" t="str">
        <x:v>RN73R1ETTP9650B25</x:v>
      </x:c>
      <x:c r="C409" s="18" t="n">
        <x:v>100</x:v>
      </x:c>
      <x:c r="D409" s="27" t="n">
        <x:v>0</x:v>
      </x:c>
      <x:c r="E409" s="18" t="n">
        <x:f>INDEX('Assembly BOM'!$C$7:$C$162,MATCH($B409,'Assembly BOM'!$A$7:$A$162,0))</x:f>
        <x:v>1</x:v>
      </x:c>
      <x:c r="F409" s="18" t="n">
        <x:f>C409*E409</x:f>
        <x:v>100</x:v>
      </x:c>
      <x:c r="G409" s="18" t="n">
        <x:f>ROUNDUP(F409*(1+D409),0)</x:f>
        <x:v>100</x:v>
      </x:c>
      <x:c r="H409" s="18" t="n">
        <x:f>INDEX('Dated offers'!$F$7:$F$305,MATCH($Z409,'Dated offers'!$A$7:$A$305,0))</x:f>
        <x:v>1</x:v>
      </x:c>
      <x:c r="I409" s="18" t="n">
        <x:f>INDEX('Dated offers'!$G$7:$G$305,MATCH($Z409,'Dated offers'!$A$7:$A$305,0))</x:f>
        <x:v>1</x:v>
      </x:c>
      <x:c r="J409" s="18" t="n">
        <x:f>CEILING(MAX(G409,H409),I409)</x:f>
        <x:v>100</x:v>
      </x:c>
      <x:c r="K409" s="18" t="n">
        <x:v>100</x:v>
      </x:c>
      <x:c r="L409" s="18" t="n">
        <x:f>INDEX('Dated offers'!$I$7:$I$305,MATCH($Z409,'Dated offers'!$A$7:$A$305,0))</x:f>
        <x:v>100</x:v>
      </x:c>
      <x:c r="M409" s="25" t="n">
        <x:f>INDEX('Dated offers'!$J$7:$J$305,MATCH($Z409,'Dated offers'!$A$7:$A$305,0))</x:f>
        <x:v>0.0891</x:v>
      </x:c>
      <x:c r="N409" s="25" t="n">
        <x:f>INDEX('Dated offers'!$K$7:$K$305,MATCH($Z409,'Dated offers'!$A$7:$A$305,0))</x:f>
        <x:v>0</x:v>
      </x:c>
      <x:c r="O409" s="25" t="n">
        <x:f>F409*M409</x:f>
        <x:v>8.91</x:v>
      </x:c>
      <x:c r="P409" s="25" t="n">
        <x:f>G409*M409</x:f>
        <x:v>8.91</x:v>
      </x:c>
      <x:c r="Q409" s="25" t="n">
        <x:f>K409*M409+N409</x:f>
        <x:v>8.91</x:v>
      </x:c>
      <x:c r="R409" s="18" t="n">
        <x:f>K409-G409</x:f>
        <x:v>0</x:v>
      </x:c>
      <x:c r="S409" s="18" t="n">
        <x:f>INDEX('Dated offers'!$H$7:$H$305,MATCH($Z409,'Dated offers'!$A$7:$A$305,0))</x:f>
        <x:v>292</x:v>
      </x:c>
      <x:c r="T409" s="2" t="str">
        <x:f>IF(K409&lt;G409,"Order below requirement",IF(K409&lt;L409,"Below price tier",IF(ISNUMBER(S409),IF(K409&gt;S409,"Quantity exceeds snapshot","Within quantity snapshot"),"Stock not stated")))</x:f>
        <x:v>Within quantity snapshot</x:v>
      </x:c>
      <x:c r="U409" s="2" t="str">
        <x:f>INDEX('Dated offers'!$C$7:$C$305,MATCH($Z409,'Dated offers'!$A$7:$A$305,0))</x:f>
        <x:v>DigiKey</x:v>
      </x:c>
      <x:c r="V409" s="2" t="str">
        <x:f>INDEX('Dated offers'!$D$7:$D$305,MATCH($Z409,'Dated offers'!$A$7:$A$305,0))</x:f>
        <x:v>Not stated</x:v>
      </x:c>
      <x:c r="W409" s="24" t="n">
        <x:f>INDEX('Dated offers'!$E$7:$E$305,MATCH($Z409,'Dated offers'!$A$7:$A$305,0))</x:f>
        <x:v>46307.47807262732</x:v>
      </x:c>
      <x:c r="X409" s="2" t="b">
        <x:f>INDEX('Dated offers'!$N$7:$N$305,MATCH($Z409,'Dated offers'!$A$7:$A$305,0))</x:f>
        <x:v>0</x:v>
      </x:c>
      <x:c r="Y409" s="2" t="str">
        <x:f>INDEX('Dated offers'!$O$7:$O$305,MATCH($Z409,'Dated offers'!$A$7:$A$305,0))</x:f>
        <x:v>Unreserved inventory snapshot</x:v>
      </x:c>
      <x:c r="Z409" s="17" t="str">
        <x:v>OF0235</x:v>
      </x:c>
      <x:c r="AA409" s="2"/>
      <x:c r="AB409" s="2" t="str">
        <x:f>INDEX('Dated offers'!$Q$7:$Q$305,MATCH($Z409,'Dated offers'!$A$7:$A$305,0))</x:f>
        <x:v>https://www.digikey.com/en/products/detail/koa-speer-electronics-inc/RN73R1ETTP9650B25/10007834</x:v>
      </x:c>
    </x:row>
    <x:row r="410" ht="24" customHeight="1">
      <x:c r="A410" s="2" t="str">
        <x:v>100 boards / nominal</x:v>
      </x:c>
      <x:c r="B410" s="17" t="str">
        <x:v>RT0402BRD07107KL</x:v>
      </x:c>
      <x:c r="C410" s="18" t="n">
        <x:v>100</x:v>
      </x:c>
      <x:c r="D410" s="27" t="n">
        <x:v>0</x:v>
      </x:c>
      <x:c r="E410" s="18" t="n">
        <x:f>INDEX('Assembly BOM'!$C$7:$C$162,MATCH($B410,'Assembly BOM'!$A$7:$A$162,0))</x:f>
        <x:v>2</x:v>
      </x:c>
      <x:c r="F410" s="18" t="n">
        <x:f>C410*E410</x:f>
        <x:v>200</x:v>
      </x:c>
      <x:c r="G410" s="18" t="n">
        <x:f>ROUNDUP(F410*(1+D410),0)</x:f>
        <x:v>200</x:v>
      </x:c>
      <x:c r="H410" s="18" t="n">
        <x:f>INDEX('Dated offers'!$F$7:$F$305,MATCH($Z410,'Dated offers'!$A$7:$A$305,0))</x:f>
        <x:v>1</x:v>
      </x:c>
      <x:c r="I410" s="18" t="n">
        <x:f>INDEX('Dated offers'!$G$7:$G$305,MATCH($Z410,'Dated offers'!$A$7:$A$305,0))</x:f>
        <x:v>1</x:v>
      </x:c>
      <x:c r="J410" s="18" t="n">
        <x:f>CEILING(MAX(G410,H410),I410)</x:f>
        <x:v>200</x:v>
      </x:c>
      <x:c r="K410" s="18" t="n">
        <x:v>200</x:v>
      </x:c>
      <x:c r="L410" s="18" t="n">
        <x:f>INDEX('Dated offers'!$I$7:$I$305,MATCH($Z410,'Dated offers'!$A$7:$A$305,0))</x:f>
        <x:v>100</x:v>
      </x:c>
      <x:c r="M410" s="25" t="n">
        <x:f>INDEX('Dated offers'!$J$7:$J$305,MATCH($Z410,'Dated offers'!$A$7:$A$305,0))</x:f>
        <x:v>0.0846</x:v>
      </x:c>
      <x:c r="N410" s="25" t="n">
        <x:f>INDEX('Dated offers'!$K$7:$K$305,MATCH($Z410,'Dated offers'!$A$7:$A$305,0))</x:f>
        <x:v>0</x:v>
      </x:c>
      <x:c r="O410" s="25" t="n">
        <x:f>F410*M410</x:f>
        <x:v>16.919999999999998</x:v>
      </x:c>
      <x:c r="P410" s="25" t="n">
        <x:f>G410*M410</x:f>
        <x:v>16.919999999999998</x:v>
      </x:c>
      <x:c r="Q410" s="25" t="n">
        <x:f>K410*M410+N410</x:f>
        <x:v>16.919999999999998</x:v>
      </x:c>
      <x:c r="R410" s="18" t="n">
        <x:f>K410-G410</x:f>
        <x:v>0</x:v>
      </x:c>
      <x:c r="S410" s="18" t="n">
        <x:f>INDEX('Dated offers'!$H$7:$H$305,MATCH($Z410,'Dated offers'!$A$7:$A$305,0))</x:f>
        <x:v>1437</x:v>
      </x:c>
      <x:c r="T410" s="2" t="str">
        <x:f>IF(K410&lt;G410,"Order below requirement",IF(K410&lt;L410,"Below price tier",IF(ISNUMBER(S410),IF(K410&gt;S410,"Quantity exceeds snapshot","Within quantity snapshot"),"Stock not stated")))</x:f>
        <x:v>Within quantity snapshot</x:v>
      </x:c>
      <x:c r="U410" s="2" t="str">
        <x:f>INDEX('Dated offers'!$C$7:$C$305,MATCH($Z410,'Dated offers'!$A$7:$A$305,0))</x:f>
        <x:v>DigiKey</x:v>
      </x:c>
      <x:c r="V410" s="2" t="str">
        <x:f>INDEX('Dated offers'!$D$7:$D$305,MATCH($Z410,'Dated offers'!$A$7:$A$305,0))</x:f>
        <x:v>Not stated</x:v>
      </x:c>
      <x:c r="W410" s="24" t="n">
        <x:f>INDEX('Dated offers'!$E$7:$E$305,MATCH($Z410,'Dated offers'!$A$7:$A$305,0))</x:f>
        <x:v>46307.47807258102</x:v>
      </x:c>
      <x:c r="X410" s="2" t="b">
        <x:f>INDEX('Dated offers'!$N$7:$N$305,MATCH($Z410,'Dated offers'!$A$7:$A$305,0))</x:f>
        <x:v>0</x:v>
      </x:c>
      <x:c r="Y410" s="2" t="str">
        <x:f>INDEX('Dated offers'!$O$7:$O$305,MATCH($Z410,'Dated offers'!$A$7:$A$305,0))</x:f>
        <x:v>Unreserved inventory snapshot</x:v>
      </x:c>
      <x:c r="Z410" s="17" t="str">
        <x:v>OF0236</x:v>
      </x:c>
      <x:c r="AA410" s="2"/>
      <x:c r="AB410" s="2" t="str">
        <x:f>INDEX('Dated offers'!$Q$7:$Q$305,MATCH($Z410,'Dated offers'!$A$7:$A$305,0))</x:f>
        <x:v>https://www.digikey.com/en/products/detail/yageo/RT0402BRD07107KL/7708214</x:v>
      </x:c>
    </x:row>
    <x:row r="411" ht="24" customHeight="1">
      <x:c r="A411" s="2" t="str">
        <x:v>100 boards / nominal</x:v>
      </x:c>
      <x:c r="B411" s="17" t="str">
        <x:v>RT0402BRD0711K3L</x:v>
      </x:c>
      <x:c r="C411" s="18" t="n">
        <x:v>100</x:v>
      </x:c>
      <x:c r="D411" s="27" t="n">
        <x:v>0</x:v>
      </x:c>
      <x:c r="E411" s="18" t="n">
        <x:f>INDEX('Assembly BOM'!$C$7:$C$162,MATCH($B411,'Assembly BOM'!$A$7:$A$162,0))</x:f>
        <x:v>1</x:v>
      </x:c>
      <x:c r="F411" s="18" t="n">
        <x:f>C411*E411</x:f>
        <x:v>100</x:v>
      </x:c>
      <x:c r="G411" s="18" t="n">
        <x:f>ROUNDUP(F411*(1+D411),0)</x:f>
        <x:v>100</x:v>
      </x:c>
      <x:c r="H411" s="18" t="n">
        <x:f>INDEX('Dated offers'!$F$7:$F$305,MATCH($Z411,'Dated offers'!$A$7:$A$305,0))</x:f>
        <x:v>1</x:v>
      </x:c>
      <x:c r="I411" s="18" t="n">
        <x:f>INDEX('Dated offers'!$G$7:$G$305,MATCH($Z411,'Dated offers'!$A$7:$A$305,0))</x:f>
        <x:v>1</x:v>
      </x:c>
      <x:c r="J411" s="18" t="n">
        <x:f>CEILING(MAX(G411,H411),I411)</x:f>
        <x:v>100</x:v>
      </x:c>
      <x:c r="K411" s="18" t="n">
        <x:v>100</x:v>
      </x:c>
      <x:c r="L411" s="18" t="n">
        <x:f>INDEX('Dated offers'!$I$7:$I$305,MATCH($Z411,'Dated offers'!$A$7:$A$305,0))</x:f>
        <x:v>100</x:v>
      </x:c>
      <x:c r="M411" s="25" t="n">
        <x:f>INDEX('Dated offers'!$J$7:$J$305,MATCH($Z411,'Dated offers'!$A$7:$A$305,0))</x:f>
        <x:v>0.0736</x:v>
      </x:c>
      <x:c r="N411" s="25" t="n">
        <x:f>INDEX('Dated offers'!$K$7:$K$305,MATCH($Z411,'Dated offers'!$A$7:$A$305,0))</x:f>
        <x:v>0</x:v>
      </x:c>
      <x:c r="O411" s="25" t="n">
        <x:f>F411*M411</x:f>
        <x:v>7.359999999999999</x:v>
      </x:c>
      <x:c r="P411" s="25" t="n">
        <x:f>G411*M411</x:f>
        <x:v>7.359999999999999</x:v>
      </x:c>
      <x:c r="Q411" s="25" t="n">
        <x:f>K411*M411+N411</x:f>
        <x:v>7.359999999999999</x:v>
      </x:c>
      <x:c r="R411" s="18" t="n">
        <x:f>K411-G411</x:f>
        <x:v>0</x:v>
      </x:c>
      <x:c r="S411" s="18" t="n">
        <x:f>INDEX('Dated offers'!$H$7:$H$305,MATCH($Z411,'Dated offers'!$A$7:$A$305,0))</x:f>
        <x:v>37762</x:v>
      </x:c>
      <x:c r="T411" s="2" t="str">
        <x:f>IF(K411&lt;G411,"Order below requirement",IF(K411&lt;L411,"Below price tier",IF(ISNUMBER(S411),IF(K411&gt;S411,"Quantity exceeds snapshot","Within quantity snapshot"),"Stock not stated")))</x:f>
        <x:v>Within quantity snapshot</x:v>
      </x:c>
      <x:c r="U411" s="2" t="str">
        <x:f>INDEX('Dated offers'!$C$7:$C$305,MATCH($Z411,'Dated offers'!$A$7:$A$305,0))</x:f>
        <x:v>DigiKey</x:v>
      </x:c>
      <x:c r="V411" s="2" t="str">
        <x:f>INDEX('Dated offers'!$D$7:$D$305,MATCH($Z411,'Dated offers'!$A$7:$A$305,0))</x:f>
        <x:v>Not stated</x:v>
      </x:c>
      <x:c r="W411" s="24" t="n">
        <x:f>INDEX('Dated offers'!$E$7:$E$305,MATCH($Z411,'Dated offers'!$A$7:$A$305,0))</x:f>
        <x:v>46307.47807258102</x:v>
      </x:c>
      <x:c r="X411" s="2" t="b">
        <x:f>INDEX('Dated offers'!$N$7:$N$305,MATCH($Z411,'Dated offers'!$A$7:$A$305,0))</x:f>
        <x:v>0</x:v>
      </x:c>
      <x:c r="Y411" s="2" t="str">
        <x:f>INDEX('Dated offers'!$O$7:$O$305,MATCH($Z411,'Dated offers'!$A$7:$A$305,0))</x:f>
        <x:v>Unreserved inventory snapshot</x:v>
      </x:c>
      <x:c r="Z411" s="17" t="str">
        <x:v>OF0237</x:v>
      </x:c>
      <x:c r="AA411" s="2"/>
      <x:c r="AB411" s="2" t="str">
        <x:f>INDEX('Dated offers'!$Q$7:$Q$305,MATCH($Z411,'Dated offers'!$A$7:$A$305,0))</x:f>
        <x:v>https://www.digikey.com/en/products/detail/yageo/RT0402BRD0711K3L/6616321</x:v>
      </x:c>
    </x:row>
    <x:row r="412" ht="24" customHeight="1">
      <x:c r="A412" s="2" t="str">
        <x:v>100 boards / nominal</x:v>
      </x:c>
      <x:c r="B412" s="17" t="str">
        <x:v>RT0402BRD0717K4L</x:v>
      </x:c>
      <x:c r="C412" s="18" t="n">
        <x:v>100</x:v>
      </x:c>
      <x:c r="D412" s="27" t="n">
        <x:v>0</x:v>
      </x:c>
      <x:c r="E412" s="18" t="n">
        <x:f>INDEX('Assembly BOM'!$C$7:$C$162,MATCH($B412,'Assembly BOM'!$A$7:$A$162,0))</x:f>
        <x:v>1</x:v>
      </x:c>
      <x:c r="F412" s="18" t="n">
        <x:f>C412*E412</x:f>
        <x:v>100</x:v>
      </x:c>
      <x:c r="G412" s="18" t="n">
        <x:f>ROUNDUP(F412*(1+D412),0)</x:f>
        <x:v>100</x:v>
      </x:c>
      <x:c r="H412" s="18" t="n">
        <x:f>INDEX('Dated offers'!$F$7:$F$305,MATCH($Z412,'Dated offers'!$A$7:$A$305,0))</x:f>
        <x:v>1</x:v>
      </x:c>
      <x:c r="I412" s="18" t="n">
        <x:f>INDEX('Dated offers'!$G$7:$G$305,MATCH($Z412,'Dated offers'!$A$7:$A$305,0))</x:f>
        <x:v>1</x:v>
      </x:c>
      <x:c r="J412" s="18" t="n">
        <x:f>CEILING(MAX(G412,H412),I412)</x:f>
        <x:v>100</x:v>
      </x:c>
      <x:c r="K412" s="18" t="n">
        <x:v>100</x:v>
      </x:c>
      <x:c r="L412" s="18" t="n">
        <x:f>INDEX('Dated offers'!$I$7:$I$305,MATCH($Z412,'Dated offers'!$A$7:$A$305,0))</x:f>
        <x:v>100</x:v>
      </x:c>
      <x:c r="M412" s="25" t="n">
        <x:f>INDEX('Dated offers'!$J$7:$J$305,MATCH($Z412,'Dated offers'!$A$7:$A$305,0))</x:f>
        <x:v>0.0694</x:v>
      </x:c>
      <x:c r="N412" s="25" t="n">
        <x:f>INDEX('Dated offers'!$K$7:$K$305,MATCH($Z412,'Dated offers'!$A$7:$A$305,0))</x:f>
        <x:v>0</x:v>
      </x:c>
      <x:c r="O412" s="25" t="n">
        <x:f>F412*M412</x:f>
        <x:v>6.94</x:v>
      </x:c>
      <x:c r="P412" s="25" t="n">
        <x:f>G412*M412</x:f>
        <x:v>6.94</x:v>
      </x:c>
      <x:c r="Q412" s="25" t="n">
        <x:f>K412*M412+N412</x:f>
        <x:v>6.94</x:v>
      </x:c>
      <x:c r="R412" s="18" t="n">
        <x:f>K412-G412</x:f>
        <x:v>0</x:v>
      </x:c>
      <x:c r="S412" s="18" t="n">
        <x:f>INDEX('Dated offers'!$H$7:$H$305,MATCH($Z412,'Dated offers'!$A$7:$A$305,0))</x:f>
        <x:v>1781</x:v>
      </x:c>
      <x:c r="T412" s="2" t="str">
        <x:f>IF(K412&lt;G412,"Order below requirement",IF(K412&lt;L412,"Below price tier",IF(ISNUMBER(S412),IF(K412&gt;S412,"Quantity exceeds snapshot","Within quantity snapshot"),"Stock not stated")))</x:f>
        <x:v>Within quantity snapshot</x:v>
      </x:c>
      <x:c r="U412" s="2" t="str">
        <x:f>INDEX('Dated offers'!$C$7:$C$305,MATCH($Z412,'Dated offers'!$A$7:$A$305,0))</x:f>
        <x:v>DigiKey</x:v>
      </x:c>
      <x:c r="V412" s="2" t="str">
        <x:f>INDEX('Dated offers'!$D$7:$D$305,MATCH($Z412,'Dated offers'!$A$7:$A$305,0))</x:f>
        <x:v>Not stated</x:v>
      </x:c>
      <x:c r="W412" s="24" t="n">
        <x:f>INDEX('Dated offers'!$E$7:$E$305,MATCH($Z412,'Dated offers'!$A$7:$A$305,0))</x:f>
        <x:v>46307.4780725463</x:v>
      </x:c>
      <x:c r="X412" s="2" t="b">
        <x:f>INDEX('Dated offers'!$N$7:$N$305,MATCH($Z412,'Dated offers'!$A$7:$A$305,0))</x:f>
        <x:v>0</x:v>
      </x:c>
      <x:c r="Y412" s="2" t="str">
        <x:f>INDEX('Dated offers'!$O$7:$O$305,MATCH($Z412,'Dated offers'!$A$7:$A$305,0))</x:f>
        <x:v>Unreserved inventory snapshot</x:v>
      </x:c>
      <x:c r="Z412" s="17" t="str">
        <x:v>OF0238</x:v>
      </x:c>
      <x:c r="AA412" s="2"/>
      <x:c r="AB412" s="2" t="str">
        <x:f>INDEX('Dated offers'!$Q$7:$Q$305,MATCH($Z412,'Dated offers'!$A$7:$A$305,0))</x:f>
        <x:v>https://www.digikey.com/en/products/detail/yageo/RT0402BRD0717K4L/1069068</x:v>
      </x:c>
    </x:row>
    <x:row r="413" ht="24" customHeight="1">
      <x:c r="A413" s="2" t="str">
        <x:v>100 boards / nominal</x:v>
      </x:c>
      <x:c r="B413" s="17" t="str">
        <x:v>RT0402BRD071KL</x:v>
      </x:c>
      <x:c r="C413" s="18" t="n">
        <x:v>100</x:v>
      </x:c>
      <x:c r="D413" s="27" t="n">
        <x:v>0</x:v>
      </x:c>
      <x:c r="E413" s="18" t="n">
        <x:f>INDEX('Assembly BOM'!$C$7:$C$162,MATCH($B413,'Assembly BOM'!$A$7:$A$162,0))</x:f>
        <x:v>1</x:v>
      </x:c>
      <x:c r="F413" s="18" t="n">
        <x:f>C413*E413</x:f>
        <x:v>100</x:v>
      </x:c>
      <x:c r="G413" s="18" t="n">
        <x:f>ROUNDUP(F413*(1+D413),0)</x:f>
        <x:v>100</x:v>
      </x:c>
      <x:c r="H413" s="18" t="n">
        <x:f>INDEX('Dated offers'!$F$7:$F$305,MATCH($Z413,'Dated offers'!$A$7:$A$305,0))</x:f>
        <x:v>1</x:v>
      </x:c>
      <x:c r="I413" s="18" t="n">
        <x:f>INDEX('Dated offers'!$G$7:$G$305,MATCH($Z413,'Dated offers'!$A$7:$A$305,0))</x:f>
        <x:v>1</x:v>
      </x:c>
      <x:c r="J413" s="18" t="n">
        <x:f>CEILING(MAX(G413,H413),I413)</x:f>
        <x:v>100</x:v>
      </x:c>
      <x:c r="K413" s="18" t="n">
        <x:v>100</x:v>
      </x:c>
      <x:c r="L413" s="18" t="n">
        <x:f>INDEX('Dated offers'!$I$7:$I$305,MATCH($Z413,'Dated offers'!$A$7:$A$305,0))</x:f>
        <x:v>100</x:v>
      </x:c>
      <x:c r="M413" s="25" t="n">
        <x:f>INDEX('Dated offers'!$J$7:$J$305,MATCH($Z413,'Dated offers'!$A$7:$A$305,0))</x:f>
        <x:v>0.0736</x:v>
      </x:c>
      <x:c r="N413" s="25" t="n">
        <x:f>INDEX('Dated offers'!$K$7:$K$305,MATCH($Z413,'Dated offers'!$A$7:$A$305,0))</x:f>
        <x:v>0</x:v>
      </x:c>
      <x:c r="O413" s="25" t="n">
        <x:f>F413*M413</x:f>
        <x:v>7.359999999999999</x:v>
      </x:c>
      <x:c r="P413" s="25" t="n">
        <x:f>G413*M413</x:f>
        <x:v>7.359999999999999</x:v>
      </x:c>
      <x:c r="Q413" s="25" t="n">
        <x:f>K413*M413+N413</x:f>
        <x:v>7.359999999999999</x:v>
      </x:c>
      <x:c r="R413" s="18" t="n">
        <x:f>K413-G413</x:f>
        <x:v>0</x:v>
      </x:c>
      <x:c r="S413" s="18" t="n">
        <x:f>INDEX('Dated offers'!$H$7:$H$305,MATCH($Z413,'Dated offers'!$A$7:$A$305,0))</x:f>
        <x:v>374004</x:v>
      </x:c>
      <x:c r="T413" s="2" t="str">
        <x:f>IF(K413&lt;G413,"Order below requirement",IF(K413&lt;L413,"Below price tier",IF(ISNUMBER(S413),IF(K413&gt;S413,"Quantity exceeds snapshot","Within quantity snapshot"),"Stock not stated")))</x:f>
        <x:v>Within quantity snapshot</x:v>
      </x:c>
      <x:c r="U413" s="2" t="str">
        <x:f>INDEX('Dated offers'!$C$7:$C$305,MATCH($Z413,'Dated offers'!$A$7:$A$305,0))</x:f>
        <x:v>DigiKey</x:v>
      </x:c>
      <x:c r="V413" s="2" t="str">
        <x:f>INDEX('Dated offers'!$D$7:$D$305,MATCH($Z413,'Dated offers'!$A$7:$A$305,0))</x:f>
        <x:v>Not stated</x:v>
      </x:c>
      <x:c r="W413" s="24" t="n">
        <x:f>INDEX('Dated offers'!$E$7:$E$305,MATCH($Z413,'Dated offers'!$A$7:$A$305,0))</x:f>
        <x:v>46307.47807258102</x:v>
      </x:c>
      <x:c r="X413" s="2" t="b">
        <x:f>INDEX('Dated offers'!$N$7:$N$305,MATCH($Z413,'Dated offers'!$A$7:$A$305,0))</x:f>
        <x:v>0</x:v>
      </x:c>
      <x:c r="Y413" s="2" t="str">
        <x:f>INDEX('Dated offers'!$O$7:$O$305,MATCH($Z413,'Dated offers'!$A$7:$A$305,0))</x:f>
        <x:v>Unreserved inventory snapshot</x:v>
      </x:c>
      <x:c r="Z413" s="17" t="str">
        <x:v>OF0239</x:v>
      </x:c>
      <x:c r="AA413" s="2"/>
      <x:c r="AB413" s="2" t="str">
        <x:f>INDEX('Dated offers'!$Q$7:$Q$305,MATCH($Z413,'Dated offers'!$A$7:$A$305,0))</x:f>
        <x:v>https://www.digikey.com/en/products/detail/yageo/RT0402BRD071KL/5138834</x:v>
      </x:c>
    </x:row>
    <x:row r="414" ht="24" customHeight="1">
      <x:c r="A414" s="2" t="str">
        <x:v>100 boards / nominal</x:v>
      </x:c>
      <x:c r="B414" s="17" t="str">
        <x:v>RT0402BRD07301RL</x:v>
      </x:c>
      <x:c r="C414" s="18" t="n">
        <x:v>100</x:v>
      </x:c>
      <x:c r="D414" s="27" t="n">
        <x:v>0</x:v>
      </x:c>
      <x:c r="E414" s="18" t="n">
        <x:f>INDEX('Assembly BOM'!$C$7:$C$162,MATCH($B414,'Assembly BOM'!$A$7:$A$162,0))</x:f>
        <x:v>1</x:v>
      </x:c>
      <x:c r="F414" s="18" t="n">
        <x:f>C414*E414</x:f>
        <x:v>100</x:v>
      </x:c>
      <x:c r="G414" s="18" t="n">
        <x:f>ROUNDUP(F414*(1+D414),0)</x:f>
        <x:v>100</x:v>
      </x:c>
      <x:c r="H414" s="18" t="n">
        <x:f>INDEX('Dated offers'!$F$7:$F$305,MATCH($Z414,'Dated offers'!$A$7:$A$305,0))</x:f>
        <x:v>1</x:v>
      </x:c>
      <x:c r="I414" s="18" t="n">
        <x:f>INDEX('Dated offers'!$G$7:$G$305,MATCH($Z414,'Dated offers'!$A$7:$A$305,0))</x:f>
        <x:v>1</x:v>
      </x:c>
      <x:c r="J414" s="18" t="n">
        <x:f>CEILING(MAX(G414,H414),I414)</x:f>
        <x:v>100</x:v>
      </x:c>
      <x:c r="K414" s="18" t="n">
        <x:v>100</x:v>
      </x:c>
      <x:c r="L414" s="18" t="n">
        <x:f>INDEX('Dated offers'!$I$7:$I$305,MATCH($Z414,'Dated offers'!$A$7:$A$305,0))</x:f>
        <x:v>100</x:v>
      </x:c>
      <x:c r="M414" s="25" t="n">
        <x:f>INDEX('Dated offers'!$J$7:$J$305,MATCH($Z414,'Dated offers'!$A$7:$A$305,0))</x:f>
        <x:v>0.0694</x:v>
      </x:c>
      <x:c r="N414" s="25" t="n">
        <x:f>INDEX('Dated offers'!$K$7:$K$305,MATCH($Z414,'Dated offers'!$A$7:$A$305,0))</x:f>
        <x:v>0</x:v>
      </x:c>
      <x:c r="O414" s="25" t="n">
        <x:f>F414*M414</x:f>
        <x:v>6.94</x:v>
      </x:c>
      <x:c r="P414" s="25" t="n">
        <x:f>G414*M414</x:f>
        <x:v>6.94</x:v>
      </x:c>
      <x:c r="Q414" s="25" t="n">
        <x:f>K414*M414+N414</x:f>
        <x:v>6.94</x:v>
      </x:c>
      <x:c r="R414" s="18" t="n">
        <x:f>K414-G414</x:f>
        <x:v>0</x:v>
      </x:c>
      <x:c r="S414" s="18" t="n">
        <x:f>INDEX('Dated offers'!$H$7:$H$305,MATCH($Z414,'Dated offers'!$A$7:$A$305,0))</x:f>
        <x:v>1053</x:v>
      </x:c>
      <x:c r="T414" s="2" t="str">
        <x:f>IF(K414&lt;G414,"Order below requirement",IF(K414&lt;L414,"Below price tier",IF(ISNUMBER(S414),IF(K414&gt;S414,"Quantity exceeds snapshot","Within quantity snapshot"),"Stock not stated")))</x:f>
        <x:v>Within quantity snapshot</x:v>
      </x:c>
      <x:c r="U414" s="2" t="str">
        <x:f>INDEX('Dated offers'!$C$7:$C$305,MATCH($Z414,'Dated offers'!$A$7:$A$305,0))</x:f>
        <x:v>DigiKey</x:v>
      </x:c>
      <x:c r="V414" s="2" t="str">
        <x:f>INDEX('Dated offers'!$D$7:$D$305,MATCH($Z414,'Dated offers'!$A$7:$A$305,0))</x:f>
        <x:v>Not stated</x:v>
      </x:c>
      <x:c r="W414" s="24" t="n">
        <x:f>INDEX('Dated offers'!$E$7:$E$305,MATCH($Z414,'Dated offers'!$A$7:$A$305,0))</x:f>
        <x:v>46307.47807269676</x:v>
      </x:c>
      <x:c r="X414" s="2" t="b">
        <x:f>INDEX('Dated offers'!$N$7:$N$305,MATCH($Z414,'Dated offers'!$A$7:$A$305,0))</x:f>
        <x:v>0</x:v>
      </x:c>
      <x:c r="Y414" s="2" t="str">
        <x:f>INDEX('Dated offers'!$O$7:$O$305,MATCH($Z414,'Dated offers'!$A$7:$A$305,0))</x:f>
        <x:v>Unreserved inventory snapshot</x:v>
      </x:c>
      <x:c r="Z414" s="17" t="str">
        <x:v>OF0240</x:v>
      </x:c>
      <x:c r="AA414" s="2"/>
      <x:c r="AB414" s="2" t="str">
        <x:f>INDEX('Dated offers'!$Q$7:$Q$305,MATCH($Z414,'Dated offers'!$A$7:$A$305,0))</x:f>
        <x:v>https://www.digikey.com/en/products/detail/yageo/RT0402BRD07301RL/1069200</x:v>
      </x:c>
    </x:row>
    <x:row r="415" ht="24" customHeight="1">
      <x:c r="A415" s="2" t="str">
        <x:v>100 boards / nominal</x:v>
      </x:c>
      <x:c r="B415" s="17" t="str">
        <x:v>RT0402BRD0757K6L</x:v>
      </x:c>
      <x:c r="C415" s="18" t="n">
        <x:v>100</x:v>
      </x:c>
      <x:c r="D415" s="27" t="n">
        <x:v>0</x:v>
      </x:c>
      <x:c r="E415" s="18" t="n">
        <x:f>INDEX('Assembly BOM'!$C$7:$C$162,MATCH($B415,'Assembly BOM'!$A$7:$A$162,0))</x:f>
        <x:v>1</x:v>
      </x:c>
      <x:c r="F415" s="18" t="n">
        <x:f>C415*E415</x:f>
        <x:v>100</x:v>
      </x:c>
      <x:c r="G415" s="18" t="n">
        <x:f>ROUNDUP(F415*(1+D415),0)</x:f>
        <x:v>100</x:v>
      </x:c>
      <x:c r="H415" s="18" t="n">
        <x:f>INDEX('Dated offers'!$F$7:$F$305,MATCH($Z415,'Dated offers'!$A$7:$A$305,0))</x:f>
        <x:v>1</x:v>
      </x:c>
      <x:c r="I415" s="18" t="n">
        <x:f>INDEX('Dated offers'!$G$7:$G$305,MATCH($Z415,'Dated offers'!$A$7:$A$305,0))</x:f>
        <x:v>1</x:v>
      </x:c>
      <x:c r="J415" s="18" t="n">
        <x:f>CEILING(MAX(G415,H415),I415)</x:f>
        <x:v>100</x:v>
      </x:c>
      <x:c r="K415" s="18" t="n">
        <x:v>100</x:v>
      </x:c>
      <x:c r="L415" s="18" t="n">
        <x:f>INDEX('Dated offers'!$I$7:$I$305,MATCH($Z415,'Dated offers'!$A$7:$A$305,0))</x:f>
        <x:v>100</x:v>
      </x:c>
      <x:c r="M415" s="25" t="n">
        <x:f>INDEX('Dated offers'!$J$7:$J$305,MATCH($Z415,'Dated offers'!$A$7:$A$305,0))</x:f>
        <x:v>0.0736</x:v>
      </x:c>
      <x:c r="N415" s="25" t="n">
        <x:f>INDEX('Dated offers'!$K$7:$K$305,MATCH($Z415,'Dated offers'!$A$7:$A$305,0))</x:f>
        <x:v>0</x:v>
      </x:c>
      <x:c r="O415" s="25" t="n">
        <x:f>F415*M415</x:f>
        <x:v>7.359999999999999</x:v>
      </x:c>
      <x:c r="P415" s="25" t="n">
        <x:f>G415*M415</x:f>
        <x:v>7.359999999999999</x:v>
      </x:c>
      <x:c r="Q415" s="25" t="n">
        <x:f>K415*M415+N415</x:f>
        <x:v>7.359999999999999</x:v>
      </x:c>
      <x:c r="R415" s="18" t="n">
        <x:f>K415-G415</x:f>
        <x:v>0</x:v>
      </x:c>
      <x:c r="S415" s="18" t="n">
        <x:f>INDEX('Dated offers'!$H$7:$H$305,MATCH($Z415,'Dated offers'!$A$7:$A$305,0))</x:f>
        <x:v>19539</x:v>
      </x:c>
      <x:c r="T415" s="2" t="str">
        <x:f>IF(K415&lt;G415,"Order below requirement",IF(K415&lt;L415,"Below price tier",IF(ISNUMBER(S415),IF(K415&gt;S415,"Quantity exceeds snapshot","Within quantity snapshot"),"Stock not stated")))</x:f>
        <x:v>Within quantity snapshot</x:v>
      </x:c>
      <x:c r="U415" s="2" t="str">
        <x:f>INDEX('Dated offers'!$C$7:$C$305,MATCH($Z415,'Dated offers'!$A$7:$A$305,0))</x:f>
        <x:v>DigiKey</x:v>
      </x:c>
      <x:c r="V415" s="2" t="str">
        <x:f>INDEX('Dated offers'!$D$7:$D$305,MATCH($Z415,'Dated offers'!$A$7:$A$305,0))</x:f>
        <x:v>Not stated</x:v>
      </x:c>
      <x:c r="W415" s="24" t="n">
        <x:f>INDEX('Dated offers'!$E$7:$E$305,MATCH($Z415,'Dated offers'!$A$7:$A$305,0))</x:f>
        <x:v>46307.4780725463</x:v>
      </x:c>
      <x:c r="X415" s="2" t="b">
        <x:f>INDEX('Dated offers'!$N$7:$N$305,MATCH($Z415,'Dated offers'!$A$7:$A$305,0))</x:f>
        <x:v>0</x:v>
      </x:c>
      <x:c r="Y415" s="2" t="str">
        <x:f>INDEX('Dated offers'!$O$7:$O$305,MATCH($Z415,'Dated offers'!$A$7:$A$305,0))</x:f>
        <x:v>Unreserved inventory snapshot</x:v>
      </x:c>
      <x:c r="Z415" s="17" t="str">
        <x:v>OF0241</x:v>
      </x:c>
      <x:c r="AA415" s="2"/>
      <x:c r="AB415" s="2" t="str">
        <x:f>INDEX('Dated offers'!$Q$7:$Q$305,MATCH($Z415,'Dated offers'!$A$7:$A$305,0))</x:f>
        <x:v>https://www.digikey.com/en/products/detail/yageo/RT0402BRD0757K6L/6616439</x:v>
      </x:c>
    </x:row>
    <x:row r="416" ht="24" customHeight="1">
      <x:c r="A416" s="2" t="str">
        <x:v>100 boards / nominal</x:v>
      </x:c>
      <x:c r="B416" s="17" t="str">
        <x:v>RT0402BRD0764K9L</x:v>
      </x:c>
      <x:c r="C416" s="18" t="n">
        <x:v>100</x:v>
      </x:c>
      <x:c r="D416" s="27" t="n">
        <x:v>0</x:v>
      </x:c>
      <x:c r="E416" s="18" t="n">
        <x:f>INDEX('Assembly BOM'!$C$7:$C$162,MATCH($B416,'Assembly BOM'!$A$7:$A$162,0))</x:f>
        <x:v>1</x:v>
      </x:c>
      <x:c r="F416" s="18" t="n">
        <x:f>C416*E416</x:f>
        <x:v>100</x:v>
      </x:c>
      <x:c r="G416" s="18" t="n">
        <x:f>ROUNDUP(F416*(1+D416),0)</x:f>
        <x:v>100</x:v>
      </x:c>
      <x:c r="H416" s="18" t="n">
        <x:f>INDEX('Dated offers'!$F$7:$F$305,MATCH($Z416,'Dated offers'!$A$7:$A$305,0))</x:f>
        <x:v>50</x:v>
      </x:c>
      <x:c r="I416" s="18" t="n">
        <x:f>INDEX('Dated offers'!$G$7:$G$305,MATCH($Z416,'Dated offers'!$A$7:$A$305,0))</x:f>
        <x:v>50</x:v>
      </x:c>
      <x:c r="J416" s="18" t="n">
        <x:f>CEILING(MAX(G416,H416),I416)</x:f>
        <x:v>100</x:v>
      </x:c>
      <x:c r="K416" s="18" t="n">
        <x:v>100</x:v>
      </x:c>
      <x:c r="L416" s="18" t="n">
        <x:f>INDEX('Dated offers'!$I$7:$I$305,MATCH($Z416,'Dated offers'!$A$7:$A$305,0))</x:f>
        <x:v>50</x:v>
      </x:c>
      <x:c r="M416" s="25" t="n">
        <x:f>INDEX('Dated offers'!$J$7:$J$305,MATCH($Z416,'Dated offers'!$A$7:$A$305,0))</x:f>
        <x:v>0.0285</x:v>
      </x:c>
      <x:c r="N416" s="25" t="n">
        <x:f>INDEX('Dated offers'!$K$7:$K$305,MATCH($Z416,'Dated offers'!$A$7:$A$305,0))</x:f>
        <x:v>0</x:v>
      </x:c>
      <x:c r="O416" s="25" t="n">
        <x:f>F416*M416</x:f>
        <x:v>2.85</x:v>
      </x:c>
      <x:c r="P416" s="25" t="n">
        <x:f>G416*M416</x:f>
        <x:v>2.85</x:v>
      </x:c>
      <x:c r="Q416" s="25" t="n">
        <x:f>K416*M416+N416</x:f>
        <x:v>2.85</x:v>
      </x:c>
      <x:c r="R416" s="18" t="n">
        <x:f>K416-G416</x:f>
        <x:v>0</x:v>
      </x:c>
      <x:c r="S416" s="18" t="n">
        <x:f>INDEX('Dated offers'!$H$7:$H$305,MATCH($Z416,'Dated offers'!$A$7:$A$305,0))</x:f>
        <x:v>5400</x:v>
      </x:c>
      <x:c r="T416" s="2" t="str">
        <x:f>IF(K416&lt;G416,"Order below requirement",IF(K416&lt;L416,"Below price tier",IF(ISNUMBER(S416),IF(K416&gt;S416,"Quantity exceeds snapshot","Within quantity snapshot"),"Stock not stated")))</x:f>
        <x:v>Within quantity snapshot</x:v>
      </x:c>
      <x:c r="U416" s="2" t="str">
        <x:f>INDEX('Dated offers'!$C$7:$C$305,MATCH($Z416,'Dated offers'!$A$7:$A$305,0))</x:f>
        <x:v>LCSC</x:v>
      </x:c>
      <x:c r="V416" s="2" t="str">
        <x:f>INDEX('Dated offers'!$D$7:$D$305,MATCH($Z416,'Dated offers'!$A$7:$A$305,0))</x:f>
        <x:v>C852880</x:v>
      </x:c>
      <x:c r="W416" s="24" t="n">
        <x:f>INDEX('Dated offers'!$E$7:$E$305,MATCH($Z416,'Dated offers'!$A$7:$A$305,0))</x:f>
        <x:v>46307.44746053241</x:v>
      </x:c>
      <x:c r="X416" s="2" t="b">
        <x:f>INDEX('Dated offers'!$N$7:$N$305,MATCH($Z416,'Dated offers'!$A$7:$A$305,0))</x:f>
        <x:v>0</x:v>
      </x:c>
      <x:c r="Y416" s="2" t="str">
        <x:f>INDEX('Dated offers'!$O$7:$O$305,MATCH($Z416,'Dated offers'!$A$7:$A$305,0))</x:f>
        <x:v>Unreserved inventory snapshot</x:v>
      </x:c>
      <x:c r="Z416" s="17" t="str">
        <x:v>OF0098</x:v>
      </x:c>
      <x:c r="AA416" s="2"/>
      <x:c r="AB416" s="2" t="str">
        <x:f>INDEX('Dated offers'!$Q$7:$Q$305,MATCH($Z416,'Dated offers'!$A$7:$A$305,0))</x:f>
        <x:v>https://www.lcsc.com/product-detail/C852880.html</x:v>
      </x:c>
    </x:row>
    <x:row r="417" ht="24" customHeight="1">
      <x:c r="A417" s="2" t="str">
        <x:v>100 boards / nominal</x:v>
      </x:c>
      <x:c r="B417" s="17" t="str">
        <x:v>RT0402BRD0776K8L</x:v>
      </x:c>
      <x:c r="C417" s="18" t="n">
        <x:v>100</x:v>
      </x:c>
      <x:c r="D417" s="27" t="n">
        <x:v>0</x:v>
      </x:c>
      <x:c r="E417" s="18" t="n">
        <x:f>INDEX('Assembly BOM'!$C$7:$C$162,MATCH($B417,'Assembly BOM'!$A$7:$A$162,0))</x:f>
        <x:v>3</x:v>
      </x:c>
      <x:c r="F417" s="18" t="n">
        <x:f>C417*E417</x:f>
        <x:v>300</x:v>
      </x:c>
      <x:c r="G417" s="18" t="n">
        <x:f>ROUNDUP(F417*(1+D417),0)</x:f>
        <x:v>300</x:v>
      </x:c>
      <x:c r="H417" s="18" t="n">
        <x:f>INDEX('Dated offers'!$F$7:$F$305,MATCH($Z417,'Dated offers'!$A$7:$A$305,0))</x:f>
        <x:v>50</x:v>
      </x:c>
      <x:c r="I417" s="18" t="n">
        <x:f>INDEX('Dated offers'!$G$7:$G$305,MATCH($Z417,'Dated offers'!$A$7:$A$305,0))</x:f>
        <x:v>50</x:v>
      </x:c>
      <x:c r="J417" s="18" t="n">
        <x:f>CEILING(MAX(G417,H417),I417)</x:f>
        <x:v>300</x:v>
      </x:c>
      <x:c r="K417" s="18" t="n">
        <x:v>300</x:v>
      </x:c>
      <x:c r="L417" s="18" t="n">
        <x:f>INDEX('Dated offers'!$I$7:$I$305,MATCH($Z417,'Dated offers'!$A$7:$A$305,0))</x:f>
        <x:v>50</x:v>
      </x:c>
      <x:c r="M417" s="25" t="n">
        <x:f>INDEX('Dated offers'!$J$7:$J$305,MATCH($Z417,'Dated offers'!$A$7:$A$305,0))</x:f>
        <x:v>0.0284</x:v>
      </x:c>
      <x:c r="N417" s="25" t="n">
        <x:f>INDEX('Dated offers'!$K$7:$K$305,MATCH($Z417,'Dated offers'!$A$7:$A$305,0))</x:f>
        <x:v>0</x:v>
      </x:c>
      <x:c r="O417" s="25" t="n">
        <x:f>F417*M417</x:f>
        <x:v>8.520000000000001</x:v>
      </x:c>
      <x:c r="P417" s="25" t="n">
        <x:f>G417*M417</x:f>
        <x:v>8.520000000000001</x:v>
      </x:c>
      <x:c r="Q417" s="25" t="n">
        <x:f>K417*M417+N417</x:f>
        <x:v>8.520000000000001</x:v>
      </x:c>
      <x:c r="R417" s="18" t="n">
        <x:f>K417-G417</x:f>
        <x:v>0</x:v>
      </x:c>
      <x:c r="S417" s="18" t="n">
        <x:f>INDEX('Dated offers'!$H$7:$H$305,MATCH($Z417,'Dated offers'!$A$7:$A$305,0))</x:f>
        <x:v>12300</x:v>
      </x:c>
      <x:c r="T417" s="2" t="str">
        <x:f>IF(K417&lt;G417,"Order below requirement",IF(K417&lt;L417,"Below price tier",IF(ISNUMBER(S417),IF(K417&gt;S417,"Quantity exceeds snapshot","Within quantity snapshot"),"Stock not stated")))</x:f>
        <x:v>Within quantity snapshot</x:v>
      </x:c>
      <x:c r="U417" s="2" t="str">
        <x:f>INDEX('Dated offers'!$C$7:$C$305,MATCH($Z417,'Dated offers'!$A$7:$A$305,0))</x:f>
        <x:v>LCSC</x:v>
      </x:c>
      <x:c r="V417" s="2" t="str">
        <x:f>INDEX('Dated offers'!$D$7:$D$305,MATCH($Z417,'Dated offers'!$A$7:$A$305,0))</x:f>
        <x:v>C852913</x:v>
      </x:c>
      <x:c r="W417" s="24" t="n">
        <x:f>INDEX('Dated offers'!$E$7:$E$305,MATCH($Z417,'Dated offers'!$A$7:$A$305,0))</x:f>
        <x:v>46307.44746167824</x:v>
      </x:c>
      <x:c r="X417" s="2" t="b">
        <x:f>INDEX('Dated offers'!$N$7:$N$305,MATCH($Z417,'Dated offers'!$A$7:$A$305,0))</x:f>
        <x:v>0</x:v>
      </x:c>
      <x:c r="Y417" s="2" t="str">
        <x:f>INDEX('Dated offers'!$O$7:$O$305,MATCH($Z417,'Dated offers'!$A$7:$A$305,0))</x:f>
        <x:v>Unreserved inventory snapshot</x:v>
      </x:c>
      <x:c r="Z417" s="17" t="str">
        <x:v>OF0099</x:v>
      </x:c>
      <x:c r="AA417" s="2"/>
      <x:c r="AB417" s="2" t="str">
        <x:f>INDEX('Dated offers'!$Q$7:$Q$305,MATCH($Z417,'Dated offers'!$A$7:$A$305,0))</x:f>
        <x:v>https://www.lcsc.com/product-detail/C852913.html</x:v>
      </x:c>
    </x:row>
    <x:row r="418" ht="24" customHeight="1">
      <x:c r="A418" s="2" t="str">
        <x:v>100 boards / nominal</x:v>
      </x:c>
      <x:c r="B418" s="17" t="str">
        <x:v>RT0402BRD0780K6L</x:v>
      </x:c>
      <x:c r="C418" s="18" t="n">
        <x:v>100</x:v>
      </x:c>
      <x:c r="D418" s="27" t="n">
        <x:v>0</x:v>
      </x:c>
      <x:c r="E418" s="18" t="n">
        <x:f>INDEX('Assembly BOM'!$C$7:$C$162,MATCH($B418,'Assembly BOM'!$A$7:$A$162,0))</x:f>
        <x:v>2</x:v>
      </x:c>
      <x:c r="F418" s="18" t="n">
        <x:f>C418*E418</x:f>
        <x:v>200</x:v>
      </x:c>
      <x:c r="G418" s="18" t="n">
        <x:f>ROUNDUP(F418*(1+D418),0)</x:f>
        <x:v>200</x:v>
      </x:c>
      <x:c r="H418" s="18" t="n">
        <x:f>INDEX('Dated offers'!$F$7:$F$305,MATCH($Z418,'Dated offers'!$A$7:$A$305,0))</x:f>
        <x:v>1</x:v>
      </x:c>
      <x:c r="I418" s="18" t="n">
        <x:f>INDEX('Dated offers'!$G$7:$G$305,MATCH($Z418,'Dated offers'!$A$7:$A$305,0))</x:f>
        <x:v>1</x:v>
      </x:c>
      <x:c r="J418" s="18" t="n">
        <x:f>CEILING(MAX(G418,H418),I418)</x:f>
        <x:v>200</x:v>
      </x:c>
      <x:c r="K418" s="18" t="n">
        <x:v>200</x:v>
      </x:c>
      <x:c r="L418" s="18" t="n">
        <x:f>INDEX('Dated offers'!$I$7:$I$305,MATCH($Z418,'Dated offers'!$A$7:$A$305,0))</x:f>
        <x:v>100</x:v>
      </x:c>
      <x:c r="M418" s="25" t="n">
        <x:f>INDEX('Dated offers'!$J$7:$J$305,MATCH($Z418,'Dated offers'!$A$7:$A$305,0))</x:f>
        <x:v>0.0694</x:v>
      </x:c>
      <x:c r="N418" s="25" t="n">
        <x:f>INDEX('Dated offers'!$K$7:$K$305,MATCH($Z418,'Dated offers'!$A$7:$A$305,0))</x:f>
        <x:v>0</x:v>
      </x:c>
      <x:c r="O418" s="25" t="n">
        <x:f>F418*M418</x:f>
        <x:v>13.88</x:v>
      </x:c>
      <x:c r="P418" s="25" t="n">
        <x:f>G418*M418</x:f>
        <x:v>13.88</x:v>
      </x:c>
      <x:c r="Q418" s="25" t="n">
        <x:f>K418*M418+N418</x:f>
        <x:v>13.88</x:v>
      </x:c>
      <x:c r="R418" s="18" t="n">
        <x:f>K418-G418</x:f>
        <x:v>0</x:v>
      </x:c>
      <x:c r="S418" s="18" t="n">
        <x:f>INDEX('Dated offers'!$H$7:$H$305,MATCH($Z418,'Dated offers'!$A$7:$A$305,0))</x:f>
        <x:v>6673</x:v>
      </x:c>
      <x:c r="T418" s="2" t="str">
        <x:f>IF(K418&lt;G418,"Order below requirement",IF(K418&lt;L418,"Below price tier",IF(ISNUMBER(S418),IF(K418&gt;S418,"Quantity exceeds snapshot","Within quantity snapshot"),"Stock not stated")))</x:f>
        <x:v>Within quantity snapshot</x:v>
      </x:c>
      <x:c r="U418" s="2" t="str">
        <x:f>INDEX('Dated offers'!$C$7:$C$305,MATCH($Z418,'Dated offers'!$A$7:$A$305,0))</x:f>
        <x:v>DigiKey</x:v>
      </x:c>
      <x:c r="V418" s="2" t="str">
        <x:f>INDEX('Dated offers'!$D$7:$D$305,MATCH($Z418,'Dated offers'!$A$7:$A$305,0))</x:f>
        <x:v>Not stated</x:v>
      </x:c>
      <x:c r="W418" s="24" t="n">
        <x:f>INDEX('Dated offers'!$E$7:$E$305,MATCH($Z418,'Dated offers'!$A$7:$A$305,0))</x:f>
        <x:v>46307.47807269676</x:v>
      </x:c>
      <x:c r="X418" s="2" t="b">
        <x:f>INDEX('Dated offers'!$N$7:$N$305,MATCH($Z418,'Dated offers'!$A$7:$A$305,0))</x:f>
        <x:v>0</x:v>
      </x:c>
      <x:c r="Y418" s="2" t="str">
        <x:f>INDEX('Dated offers'!$O$7:$O$305,MATCH($Z418,'Dated offers'!$A$7:$A$305,0))</x:f>
        <x:v>Unreserved inventory snapshot</x:v>
      </x:c>
      <x:c r="Z418" s="17" t="str">
        <x:v>OF0242</x:v>
      </x:c>
      <x:c r="AA418" s="2"/>
      <x:c r="AB418" s="2" t="str">
        <x:f>INDEX('Dated offers'!$Q$7:$Q$305,MATCH($Z418,'Dated offers'!$A$7:$A$305,0))</x:f>
        <x:v>https://www.digikey.com/en/products/detail/yageo/RT0402BRD0780K6L/1069400</x:v>
      </x:c>
    </x:row>
    <x:row r="419" ht="24" customHeight="1">
      <x:c r="A419" s="2" t="str">
        <x:v>100 boards / nominal</x:v>
      </x:c>
      <x:c r="B419" s="17" t="str">
        <x:v>RT0402BRD0782K5L</x:v>
      </x:c>
      <x:c r="C419" s="18" t="n">
        <x:v>100</x:v>
      </x:c>
      <x:c r="D419" s="27" t="n">
        <x:v>0</x:v>
      </x:c>
      <x:c r="E419" s="18" t="n">
        <x:f>INDEX('Assembly BOM'!$C$7:$C$162,MATCH($B419,'Assembly BOM'!$A$7:$A$162,0))</x:f>
        <x:v>2</x:v>
      </x:c>
      <x:c r="F419" s="18" t="n">
        <x:f>C419*E419</x:f>
        <x:v>200</x:v>
      </x:c>
      <x:c r="G419" s="18" t="n">
        <x:f>ROUNDUP(F419*(1+D419),0)</x:f>
        <x:v>200</x:v>
      </x:c>
      <x:c r="H419" s="18" t="n">
        <x:f>INDEX('Dated offers'!$F$7:$F$305,MATCH($Z419,'Dated offers'!$A$7:$A$305,0))</x:f>
        <x:v>1</x:v>
      </x:c>
      <x:c r="I419" s="18" t="n">
        <x:f>INDEX('Dated offers'!$G$7:$G$305,MATCH($Z419,'Dated offers'!$A$7:$A$305,0))</x:f>
        <x:v>1</x:v>
      </x:c>
      <x:c r="J419" s="18" t="n">
        <x:f>CEILING(MAX(G419,H419),I419)</x:f>
        <x:v>200</x:v>
      </x:c>
      <x:c r="K419" s="18" t="n">
        <x:v>200</x:v>
      </x:c>
      <x:c r="L419" s="18" t="n">
        <x:f>INDEX('Dated offers'!$I$7:$I$305,MATCH($Z419,'Dated offers'!$A$7:$A$305,0))</x:f>
        <x:v>100</x:v>
      </x:c>
      <x:c r="M419" s="25" t="n">
        <x:f>INDEX('Dated offers'!$J$7:$J$305,MATCH($Z419,'Dated offers'!$A$7:$A$305,0))</x:f>
        <x:v>0.0694</x:v>
      </x:c>
      <x:c r="N419" s="25" t="n">
        <x:f>INDEX('Dated offers'!$K$7:$K$305,MATCH($Z419,'Dated offers'!$A$7:$A$305,0))</x:f>
        <x:v>0</x:v>
      </x:c>
      <x:c r="O419" s="25" t="n">
        <x:f>F419*M419</x:f>
        <x:v>13.88</x:v>
      </x:c>
      <x:c r="P419" s="25" t="n">
        <x:f>G419*M419</x:f>
        <x:v>13.88</x:v>
      </x:c>
      <x:c r="Q419" s="25" t="n">
        <x:f>K419*M419+N419</x:f>
        <x:v>13.88</x:v>
      </x:c>
      <x:c r="R419" s="18" t="n">
        <x:f>K419-G419</x:f>
        <x:v>0</x:v>
      </x:c>
      <x:c r="S419" s="18" t="n">
        <x:f>INDEX('Dated offers'!$H$7:$H$305,MATCH($Z419,'Dated offers'!$A$7:$A$305,0))</x:f>
        <x:v>60091</x:v>
      </x:c>
      <x:c r="T419" s="2" t="str">
        <x:f>IF(K419&lt;G419,"Order below requirement",IF(K419&lt;L419,"Below price tier",IF(ISNUMBER(S419),IF(K419&gt;S419,"Quantity exceeds snapshot","Within quantity snapshot"),"Stock not stated")))</x:f>
        <x:v>Within quantity snapshot</x:v>
      </x:c>
      <x:c r="U419" s="2" t="str">
        <x:f>INDEX('Dated offers'!$C$7:$C$305,MATCH($Z419,'Dated offers'!$A$7:$A$305,0))</x:f>
        <x:v>DigiKey</x:v>
      </x:c>
      <x:c r="V419" s="2" t="str">
        <x:f>INDEX('Dated offers'!$D$7:$D$305,MATCH($Z419,'Dated offers'!$A$7:$A$305,0))</x:f>
        <x:v>Not stated</x:v>
      </x:c>
      <x:c r="W419" s="24" t="n">
        <x:f>INDEX('Dated offers'!$E$7:$E$305,MATCH($Z419,'Dated offers'!$A$7:$A$305,0))</x:f>
        <x:v>46307.47807269676</x:v>
      </x:c>
      <x:c r="X419" s="2" t="b">
        <x:f>INDEX('Dated offers'!$N$7:$N$305,MATCH($Z419,'Dated offers'!$A$7:$A$305,0))</x:f>
        <x:v>0</x:v>
      </x:c>
      <x:c r="Y419" s="2" t="str">
        <x:f>INDEX('Dated offers'!$O$7:$O$305,MATCH($Z419,'Dated offers'!$A$7:$A$305,0))</x:f>
        <x:v>Unreserved inventory snapshot</x:v>
      </x:c>
      <x:c r="Z419" s="17" t="str">
        <x:v>OF0243</x:v>
      </x:c>
      <x:c r="AA419" s="2"/>
      <x:c r="AB419" s="2" t="str">
        <x:f>INDEX('Dated offers'!$Q$7:$Q$305,MATCH($Z419,'Dated offers'!$A$7:$A$305,0))</x:f>
        <x:v>https://www.digikey.com/en/products/detail/yageo/RT0402BRD0782K5L/1069404</x:v>
      </x:c>
    </x:row>
    <x:row r="420" ht="24" customHeight="1">
      <x:c r="A420" s="2" t="str">
        <x:v>100 boards / nominal</x:v>
      </x:c>
      <x:c r="B420" s="17" t="str">
        <x:v>RT0603BRD0710KL</x:v>
      </x:c>
      <x:c r="C420" s="18" t="n">
        <x:v>100</x:v>
      </x:c>
      <x:c r="D420" s="27" t="n">
        <x:v>0</x:v>
      </x:c>
      <x:c r="E420" s="18" t="n">
        <x:f>INDEX('Assembly BOM'!$C$7:$C$162,MATCH($B420,'Assembly BOM'!$A$7:$A$162,0))</x:f>
        <x:v>3</x:v>
      </x:c>
      <x:c r="F420" s="18" t="n">
        <x:f>C420*E420</x:f>
        <x:v>300</x:v>
      </x:c>
      <x:c r="G420" s="18" t="n">
        <x:f>ROUNDUP(F420*(1+D420),0)</x:f>
        <x:v>300</x:v>
      </x:c>
      <x:c r="H420" s="18" t="n">
        <x:f>INDEX('Dated offers'!$F$7:$F$305,MATCH($Z420,'Dated offers'!$A$7:$A$305,0))</x:f>
        <x:v>1</x:v>
      </x:c>
      <x:c r="I420" s="18" t="n">
        <x:f>INDEX('Dated offers'!$G$7:$G$305,MATCH($Z420,'Dated offers'!$A$7:$A$305,0))</x:f>
        <x:v>1</x:v>
      </x:c>
      <x:c r="J420" s="18" t="n">
        <x:f>CEILING(MAX(G420,H420),I420)</x:f>
        <x:v>300</x:v>
      </x:c>
      <x:c r="K420" s="18" t="n">
        <x:v>300</x:v>
      </x:c>
      <x:c r="L420" s="18" t="n">
        <x:f>INDEX('Dated offers'!$I$7:$I$305,MATCH($Z420,'Dated offers'!$A$7:$A$305,0))</x:f>
        <x:v>100</x:v>
      </x:c>
      <x:c r="M420" s="25" t="n">
        <x:f>INDEX('Dated offers'!$J$7:$J$305,MATCH($Z420,'Dated offers'!$A$7:$A$305,0))</x:f>
        <x:v>0.058</x:v>
      </x:c>
      <x:c r="N420" s="25" t="n">
        <x:f>INDEX('Dated offers'!$K$7:$K$305,MATCH($Z420,'Dated offers'!$A$7:$A$305,0))</x:f>
        <x:v>0</x:v>
      </x:c>
      <x:c r="O420" s="25" t="n">
        <x:f>F420*M420</x:f>
        <x:v>17.400000000000002</x:v>
      </x:c>
      <x:c r="P420" s="25" t="n">
        <x:f>G420*M420</x:f>
        <x:v>17.400000000000002</x:v>
      </x:c>
      <x:c r="Q420" s="25" t="n">
        <x:f>K420*M420+N420</x:f>
        <x:v>17.400000000000002</x:v>
      </x:c>
      <x:c r="R420" s="18" t="n">
        <x:f>K420-G420</x:f>
        <x:v>0</x:v>
      </x:c>
      <x:c r="S420" s="18" t="n">
        <x:f>INDEX('Dated offers'!$H$7:$H$305,MATCH($Z420,'Dated offers'!$A$7:$A$305,0))</x:f>
        <x:v>269413</x:v>
      </x:c>
      <x:c r="T420" s="2" t="str">
        <x:f>IF(K420&lt;G420,"Order below requirement",IF(K420&lt;L420,"Below price tier",IF(ISNUMBER(S420),IF(K420&gt;S420,"Quantity exceeds snapshot","Within quantity snapshot"),"Stock not stated")))</x:f>
        <x:v>Within quantity snapshot</x:v>
      </x:c>
      <x:c r="U420" s="2" t="str">
        <x:f>INDEX('Dated offers'!$C$7:$C$305,MATCH($Z420,'Dated offers'!$A$7:$A$305,0))</x:f>
        <x:v>DigiKey</x:v>
      </x:c>
      <x:c r="V420" s="2" t="str">
        <x:f>INDEX('Dated offers'!$D$7:$D$305,MATCH($Z420,'Dated offers'!$A$7:$A$305,0))</x:f>
        <x:v>Not stated</x:v>
      </x:c>
      <x:c r="W420" s="24" t="n">
        <x:f>INDEX('Dated offers'!$E$7:$E$305,MATCH($Z420,'Dated offers'!$A$7:$A$305,0))</x:f>
        <x:v>46307.47807269676</x:v>
      </x:c>
      <x:c r="X420" s="2" t="b">
        <x:f>INDEX('Dated offers'!$N$7:$N$305,MATCH($Z420,'Dated offers'!$A$7:$A$305,0))</x:f>
        <x:v>0</x:v>
      </x:c>
      <x:c r="Y420" s="2" t="str">
        <x:f>INDEX('Dated offers'!$O$7:$O$305,MATCH($Z420,'Dated offers'!$A$7:$A$305,0))</x:f>
        <x:v>Unreserved inventory snapshot</x:v>
      </x:c>
      <x:c r="Z420" s="17" t="str">
        <x:v>OF0244</x:v>
      </x:c>
      <x:c r="AA420" s="2"/>
      <x:c r="AB420" s="2" t="str">
        <x:f>INDEX('Dated offers'!$Q$7:$Q$305,MATCH($Z420,'Dated offers'!$A$7:$A$305,0))</x:f>
        <x:v>https://www.digikey.com/en/products/detail/yageo/RT0603BRD0710KL/4340589</x:v>
      </x:c>
    </x:row>
    <x:row r="421" ht="24" customHeight="1">
      <x:c r="A421" s="2" t="str">
        <x:v>100 boards / nominal</x:v>
      </x:c>
      <x:c r="B421" s="17" t="str">
        <x:v>RT0603BRD07140KL</x:v>
      </x:c>
      <x:c r="C421" s="18" t="n">
        <x:v>100</x:v>
      </x:c>
      <x:c r="D421" s="27" t="n">
        <x:v>0</x:v>
      </x:c>
      <x:c r="E421" s="18" t="n">
        <x:f>INDEX('Assembly BOM'!$C$7:$C$162,MATCH($B421,'Assembly BOM'!$A$7:$A$162,0))</x:f>
        <x:v>1</x:v>
      </x:c>
      <x:c r="F421" s="18" t="n">
        <x:f>C421*E421</x:f>
        <x:v>100</x:v>
      </x:c>
      <x:c r="G421" s="18" t="n">
        <x:f>ROUNDUP(F421*(1+D421),0)</x:f>
        <x:v>100</x:v>
      </x:c>
      <x:c r="H421" s="18" t="n">
        <x:f>INDEX('Dated offers'!$F$7:$F$305,MATCH($Z421,'Dated offers'!$A$7:$A$305,0))</x:f>
        <x:v>1</x:v>
      </x:c>
      <x:c r="I421" s="18" t="n">
        <x:f>INDEX('Dated offers'!$G$7:$G$305,MATCH($Z421,'Dated offers'!$A$7:$A$305,0))</x:f>
        <x:v>1</x:v>
      </x:c>
      <x:c r="J421" s="18" t="n">
        <x:f>CEILING(MAX(G421,H421),I421)</x:f>
        <x:v>100</x:v>
      </x:c>
      <x:c r="K421" s="18" t="n">
        <x:v>100</x:v>
      </x:c>
      <x:c r="L421" s="18" t="n">
        <x:f>INDEX('Dated offers'!$I$7:$I$305,MATCH($Z421,'Dated offers'!$A$7:$A$305,0))</x:f>
        <x:v>100</x:v>
      </x:c>
      <x:c r="M421" s="25" t="n">
        <x:f>INDEX('Dated offers'!$J$7:$J$305,MATCH($Z421,'Dated offers'!$A$7:$A$305,0))</x:f>
        <x:v>0.058</x:v>
      </x:c>
      <x:c r="N421" s="25" t="n">
        <x:f>INDEX('Dated offers'!$K$7:$K$305,MATCH($Z421,'Dated offers'!$A$7:$A$305,0))</x:f>
        <x:v>0</x:v>
      </x:c>
      <x:c r="O421" s="25" t="n">
        <x:f>F421*M421</x:f>
        <x:v>5.800000000000001</x:v>
      </x:c>
      <x:c r="P421" s="25" t="n">
        <x:f>G421*M421</x:f>
        <x:v>5.800000000000001</x:v>
      </x:c>
      <x:c r="Q421" s="25" t="n">
        <x:f>K421*M421+N421</x:f>
        <x:v>5.800000000000001</x:v>
      </x:c>
      <x:c r="R421" s="18" t="n">
        <x:f>K421-G421</x:f>
        <x:v>0</x:v>
      </x:c>
      <x:c r="S421" s="18" t="n">
        <x:f>INDEX('Dated offers'!$H$7:$H$305,MATCH($Z421,'Dated offers'!$A$7:$A$305,0))</x:f>
        <x:v>9088</x:v>
      </x:c>
      <x:c r="T421" s="2" t="str">
        <x:f>IF(K421&lt;G421,"Order below requirement",IF(K421&lt;L421,"Below price tier",IF(ISNUMBER(S421),IF(K421&gt;S421,"Quantity exceeds snapshot","Within quantity snapshot"),"Stock not stated")))</x:f>
        <x:v>Within quantity snapshot</x:v>
      </x:c>
      <x:c r="U421" s="2" t="str">
        <x:f>INDEX('Dated offers'!$C$7:$C$305,MATCH($Z421,'Dated offers'!$A$7:$A$305,0))</x:f>
        <x:v>DigiKey</x:v>
      </x:c>
      <x:c r="V421" s="2" t="str">
        <x:f>INDEX('Dated offers'!$D$7:$D$305,MATCH($Z421,'Dated offers'!$A$7:$A$305,0))</x:f>
        <x:v>Not stated</x:v>
      </x:c>
      <x:c r="W421" s="24" t="n">
        <x:f>INDEX('Dated offers'!$E$7:$E$305,MATCH($Z421,'Dated offers'!$A$7:$A$305,0))</x:f>
        <x:v>46307.47807267361</x:v>
      </x:c>
      <x:c r="X421" s="2" t="b">
        <x:f>INDEX('Dated offers'!$N$7:$N$305,MATCH($Z421,'Dated offers'!$A$7:$A$305,0))</x:f>
        <x:v>0</x:v>
      </x:c>
      <x:c r="Y421" s="2" t="str">
        <x:f>INDEX('Dated offers'!$O$7:$O$305,MATCH($Z421,'Dated offers'!$A$7:$A$305,0))</x:f>
        <x:v>Unreserved inventory snapshot</x:v>
      </x:c>
      <x:c r="Z421" s="17" t="str">
        <x:v>OF0245</x:v>
      </x:c>
      <x:c r="AA421" s="2"/>
      <x:c r="AB421" s="2" t="str">
        <x:f>INDEX('Dated offers'!$Q$7:$Q$305,MATCH($Z421,'Dated offers'!$A$7:$A$305,0))</x:f>
        <x:v>https://www.digikey.com/en/products/detail/yageo/RT0603BRD07140KL/1072246</x:v>
      </x:c>
    </x:row>
    <x:row r="422" ht="24" customHeight="1">
      <x:c r="A422" s="2" t="str">
        <x:v>100 boards / nominal</x:v>
      </x:c>
      <x:c r="B422" s="17" t="str">
        <x:v>RT0603BRD0727KL</x:v>
      </x:c>
      <x:c r="C422" s="18" t="n">
        <x:v>100</x:v>
      </x:c>
      <x:c r="D422" s="27" t="n">
        <x:v>0</x:v>
      </x:c>
      <x:c r="E422" s="18" t="n">
        <x:f>INDEX('Assembly BOM'!$C$7:$C$162,MATCH($B422,'Assembly BOM'!$A$7:$A$162,0))</x:f>
        <x:v>1</x:v>
      </x:c>
      <x:c r="F422" s="18" t="n">
        <x:f>C422*E422</x:f>
        <x:v>100</x:v>
      </x:c>
      <x:c r="G422" s="18" t="n">
        <x:f>ROUNDUP(F422*(1+D422),0)</x:f>
        <x:v>100</x:v>
      </x:c>
      <x:c r="H422" s="18" t="n">
        <x:f>INDEX('Dated offers'!$F$7:$F$305,MATCH($Z422,'Dated offers'!$A$7:$A$305,0))</x:f>
        <x:v>1</x:v>
      </x:c>
      <x:c r="I422" s="18" t="n">
        <x:f>INDEX('Dated offers'!$G$7:$G$305,MATCH($Z422,'Dated offers'!$A$7:$A$305,0))</x:f>
        <x:v>1</x:v>
      </x:c>
      <x:c r="J422" s="18" t="n">
        <x:f>CEILING(MAX(G422,H422),I422)</x:f>
        <x:v>100</x:v>
      </x:c>
      <x:c r="K422" s="18" t="n">
        <x:v>100</x:v>
      </x:c>
      <x:c r="L422" s="18" t="n">
        <x:f>INDEX('Dated offers'!$I$7:$I$305,MATCH($Z422,'Dated offers'!$A$7:$A$305,0))</x:f>
        <x:v>100</x:v>
      </x:c>
      <x:c r="M422" s="25" t="n">
        <x:f>INDEX('Dated offers'!$J$7:$J$305,MATCH($Z422,'Dated offers'!$A$7:$A$305,0))</x:f>
        <x:v>0.058</x:v>
      </x:c>
      <x:c r="N422" s="25" t="n">
        <x:f>INDEX('Dated offers'!$K$7:$K$305,MATCH($Z422,'Dated offers'!$A$7:$A$305,0))</x:f>
        <x:v>0</x:v>
      </x:c>
      <x:c r="O422" s="25" t="n">
        <x:f>F422*M422</x:f>
        <x:v>5.800000000000001</x:v>
      </x:c>
      <x:c r="P422" s="25" t="n">
        <x:f>G422*M422</x:f>
        <x:v>5.800000000000001</x:v>
      </x:c>
      <x:c r="Q422" s="25" t="n">
        <x:f>K422*M422+N422</x:f>
        <x:v>5.800000000000001</x:v>
      </x:c>
      <x:c r="R422" s="18" t="n">
        <x:f>K422-G422</x:f>
        <x:v>0</x:v>
      </x:c>
      <x:c r="S422" s="18" t="n">
        <x:f>INDEX('Dated offers'!$H$7:$H$305,MATCH($Z422,'Dated offers'!$A$7:$A$305,0))</x:f>
        <x:v>17245</x:v>
      </x:c>
      <x:c r="T422" s="2" t="str">
        <x:f>IF(K422&lt;G422,"Order below requirement",IF(K422&lt;L422,"Below price tier",IF(ISNUMBER(S422),IF(K422&gt;S422,"Quantity exceeds snapshot","Within quantity snapshot"),"Stock not stated")))</x:f>
        <x:v>Within quantity snapshot</x:v>
      </x:c>
      <x:c r="U422" s="2" t="str">
        <x:f>INDEX('Dated offers'!$C$7:$C$305,MATCH($Z422,'Dated offers'!$A$7:$A$305,0))</x:f>
        <x:v>DigiKey</x:v>
      </x:c>
      <x:c r="V422" s="2" t="str">
        <x:f>INDEX('Dated offers'!$D$7:$D$305,MATCH($Z422,'Dated offers'!$A$7:$A$305,0))</x:f>
        <x:v>Not stated</x:v>
      </x:c>
      <x:c r="W422" s="24" t="n">
        <x:f>INDEX('Dated offers'!$E$7:$E$305,MATCH($Z422,'Dated offers'!$A$7:$A$305,0))</x:f>
        <x:v>46307.4780725463</x:v>
      </x:c>
      <x:c r="X422" s="2" t="b">
        <x:f>INDEX('Dated offers'!$N$7:$N$305,MATCH($Z422,'Dated offers'!$A$7:$A$305,0))</x:f>
        <x:v>0</x:v>
      </x:c>
      <x:c r="Y422" s="2" t="str">
        <x:f>INDEX('Dated offers'!$O$7:$O$305,MATCH($Z422,'Dated offers'!$A$7:$A$305,0))</x:f>
        <x:v>Unreserved inventory snapshot</x:v>
      </x:c>
      <x:c r="Z422" s="17" t="str">
        <x:v>OF0246</x:v>
      </x:c>
      <x:c r="AA422" s="2"/>
      <x:c r="AB422" s="2" t="str">
        <x:f>INDEX('Dated offers'!$Q$7:$Q$305,MATCH($Z422,'Dated offers'!$A$7:$A$305,0))</x:f>
        <x:v>https://www.digikey.com/en/products/detail/yageo/RT0603BRD0727KL/1072410</x:v>
      </x:c>
    </x:row>
    <x:row r="423" ht="24" customHeight="1">
      <x:c r="A423" s="2" t="str">
        <x:v>100 boards / nominal</x:v>
      </x:c>
      <x:c r="B423" s="17" t="str">
        <x:v>RT0603BRD072K26L</x:v>
      </x:c>
      <x:c r="C423" s="18" t="n">
        <x:v>100</x:v>
      </x:c>
      <x:c r="D423" s="27" t="n">
        <x:v>0</x:v>
      </x:c>
      <x:c r="E423" s="18" t="n">
        <x:f>INDEX('Assembly BOM'!$C$7:$C$162,MATCH($B423,'Assembly BOM'!$A$7:$A$162,0))</x:f>
        <x:v>1</x:v>
      </x:c>
      <x:c r="F423" s="18" t="n">
        <x:f>C423*E423</x:f>
        <x:v>100</x:v>
      </x:c>
      <x:c r="G423" s="18" t="n">
        <x:f>ROUNDUP(F423*(1+D423),0)</x:f>
        <x:v>100</x:v>
      </x:c>
      <x:c r="H423" s="18" t="n">
        <x:f>INDEX('Dated offers'!$F$7:$F$305,MATCH($Z423,'Dated offers'!$A$7:$A$305,0))</x:f>
        <x:v>1</x:v>
      </x:c>
      <x:c r="I423" s="18" t="n">
        <x:f>INDEX('Dated offers'!$G$7:$G$305,MATCH($Z423,'Dated offers'!$A$7:$A$305,0))</x:f>
        <x:v>1</x:v>
      </x:c>
      <x:c r="J423" s="18" t="n">
        <x:f>CEILING(MAX(G423,H423),I423)</x:f>
        <x:v>100</x:v>
      </x:c>
      <x:c r="K423" s="18" t="n">
        <x:v>100</x:v>
      </x:c>
      <x:c r="L423" s="18" t="n">
        <x:f>INDEX('Dated offers'!$I$7:$I$305,MATCH($Z423,'Dated offers'!$A$7:$A$305,0))</x:f>
        <x:v>100</x:v>
      </x:c>
      <x:c r="M423" s="25" t="n">
        <x:f>INDEX('Dated offers'!$J$7:$J$305,MATCH($Z423,'Dated offers'!$A$7:$A$305,0))</x:f>
        <x:v>0.0615</x:v>
      </x:c>
      <x:c r="N423" s="25" t="n">
        <x:f>INDEX('Dated offers'!$K$7:$K$305,MATCH($Z423,'Dated offers'!$A$7:$A$305,0))</x:f>
        <x:v>0</x:v>
      </x:c>
      <x:c r="O423" s="25" t="n">
        <x:f>F423*M423</x:f>
        <x:v>6.15</x:v>
      </x:c>
      <x:c r="P423" s="25" t="n">
        <x:f>G423*M423</x:f>
        <x:v>6.15</x:v>
      </x:c>
      <x:c r="Q423" s="25" t="n">
        <x:f>K423*M423+N423</x:f>
        <x:v>6.15</x:v>
      </x:c>
      <x:c r="R423" s="18" t="n">
        <x:f>K423-G423</x:f>
        <x:v>0</x:v>
      </x:c>
      <x:c r="S423" s="18" t="n">
        <x:f>INDEX('Dated offers'!$H$7:$H$305,MATCH($Z423,'Dated offers'!$A$7:$A$305,0))</x:f>
        <x:v>12101</x:v>
      </x:c>
      <x:c r="T423" s="2" t="str">
        <x:f>IF(K423&lt;G423,"Order below requirement",IF(K423&lt;L423,"Below price tier",IF(ISNUMBER(S423),IF(K423&gt;S423,"Quantity exceeds snapshot","Within quantity snapshot"),"Stock not stated")))</x:f>
        <x:v>Within quantity snapshot</x:v>
      </x:c>
      <x:c r="U423" s="2" t="str">
        <x:f>INDEX('Dated offers'!$C$7:$C$305,MATCH($Z423,'Dated offers'!$A$7:$A$305,0))</x:f>
        <x:v>DigiKey</x:v>
      </x:c>
      <x:c r="V423" s="2" t="str">
        <x:f>INDEX('Dated offers'!$D$7:$D$305,MATCH($Z423,'Dated offers'!$A$7:$A$305,0))</x:f>
        <x:v>Not stated</x:v>
      </x:c>
      <x:c r="W423" s="24" t="n">
        <x:f>INDEX('Dated offers'!$E$7:$E$305,MATCH($Z423,'Dated offers'!$A$7:$A$305,0))</x:f>
        <x:v>46307.47807267361</x:v>
      </x:c>
      <x:c r="X423" s="2" t="b">
        <x:f>INDEX('Dated offers'!$N$7:$N$305,MATCH($Z423,'Dated offers'!$A$7:$A$305,0))</x:f>
        <x:v>0</x:v>
      </x:c>
      <x:c r="Y423" s="2" t="str">
        <x:f>INDEX('Dated offers'!$O$7:$O$305,MATCH($Z423,'Dated offers'!$A$7:$A$305,0))</x:f>
        <x:v>Unreserved inventory snapshot</x:v>
      </x:c>
      <x:c r="Z423" s="17" t="str">
        <x:v>OF0247</x:v>
      </x:c>
      <x:c r="AA423" s="2"/>
      <x:c r="AB423" s="2" t="str">
        <x:f>INDEX('Dated offers'!$Q$7:$Q$305,MATCH($Z423,'Dated offers'!$A$7:$A$305,0))</x:f>
        <x:v>https://www.digikey.com/en/products/detail/yageo/RT0603BRD072K26L/5139063</x:v>
      </x:c>
    </x:row>
    <x:row r="424" ht="24" customHeight="1">
      <x:c r="A424" s="2" t="str">
        <x:v>100 boards / nominal</x:v>
      </x:c>
      <x:c r="B424" s="17" t="str">
        <x:v>RT0603BRD0732K4L</x:v>
      </x:c>
      <x:c r="C424" s="18" t="n">
        <x:v>100</x:v>
      </x:c>
      <x:c r="D424" s="27" t="n">
        <x:v>0</x:v>
      </x:c>
      <x:c r="E424" s="18" t="n">
        <x:f>INDEX('Assembly BOM'!$C$7:$C$162,MATCH($B424,'Assembly BOM'!$A$7:$A$162,0))</x:f>
        <x:v>2</x:v>
      </x:c>
      <x:c r="F424" s="18" t="n">
        <x:f>C424*E424</x:f>
        <x:v>200</x:v>
      </x:c>
      <x:c r="G424" s="18" t="n">
        <x:f>ROUNDUP(F424*(1+D424),0)</x:f>
        <x:v>200</x:v>
      </x:c>
      <x:c r="H424" s="18" t="n">
        <x:f>INDEX('Dated offers'!$F$7:$F$305,MATCH($Z424,'Dated offers'!$A$7:$A$305,0))</x:f>
        <x:v>20</x:v>
      </x:c>
      <x:c r="I424" s="18" t="n">
        <x:f>INDEX('Dated offers'!$G$7:$G$305,MATCH($Z424,'Dated offers'!$A$7:$A$305,0))</x:f>
        <x:v>20</x:v>
      </x:c>
      <x:c r="J424" s="18" t="n">
        <x:f>CEILING(MAX(G424,H424),I424)</x:f>
        <x:v>200</x:v>
      </x:c>
      <x:c r="K424" s="18" t="n">
        <x:v>200</x:v>
      </x:c>
      <x:c r="L424" s="18" t="n">
        <x:f>INDEX('Dated offers'!$I$7:$I$305,MATCH($Z424,'Dated offers'!$A$7:$A$305,0))</x:f>
        <x:v>200</x:v>
      </x:c>
      <x:c r="M424" s="25" t="n">
        <x:f>INDEX('Dated offers'!$J$7:$J$305,MATCH($Z424,'Dated offers'!$A$7:$A$305,0))</x:f>
        <x:v>0.0358</x:v>
      </x:c>
      <x:c r="N424" s="25" t="n">
        <x:f>INDEX('Dated offers'!$K$7:$K$305,MATCH($Z424,'Dated offers'!$A$7:$A$305,0))</x:f>
        <x:v>0</x:v>
      </x:c>
      <x:c r="O424" s="25" t="n">
        <x:f>F424*M424</x:f>
        <x:v>7.16</x:v>
      </x:c>
      <x:c r="P424" s="25" t="n">
        <x:f>G424*M424</x:f>
        <x:v>7.16</x:v>
      </x:c>
      <x:c r="Q424" s="25" t="n">
        <x:f>K424*M424+N424</x:f>
        <x:v>7.16</x:v>
      </x:c>
      <x:c r="R424" s="18" t="n">
        <x:f>K424-G424</x:f>
        <x:v>0</x:v>
      </x:c>
      <x:c r="S424" s="18" t="n">
        <x:f>INDEX('Dated offers'!$H$7:$H$305,MATCH($Z424,'Dated offers'!$A$7:$A$305,0))</x:f>
        <x:v>18400</x:v>
      </x:c>
      <x:c r="T424" s="2" t="str">
        <x:f>IF(K424&lt;G424,"Order below requirement",IF(K424&lt;L424,"Below price tier",IF(ISNUMBER(S424),IF(K424&gt;S424,"Quantity exceeds snapshot","Within quantity snapshot"),"Stock not stated")))</x:f>
        <x:v>Within quantity snapshot</x:v>
      </x:c>
      <x:c r="U424" s="2" t="str">
        <x:f>INDEX('Dated offers'!$C$7:$C$305,MATCH($Z424,'Dated offers'!$A$7:$A$305,0))</x:f>
        <x:v>LCSC</x:v>
      </x:c>
      <x:c r="V424" s="2" t="str">
        <x:f>INDEX('Dated offers'!$D$7:$D$305,MATCH($Z424,'Dated offers'!$A$7:$A$305,0))</x:f>
        <x:v>C861323</x:v>
      </x:c>
      <x:c r="W424" s="24" t="n">
        <x:f>INDEX('Dated offers'!$E$7:$E$305,MATCH($Z424,'Dated offers'!$A$7:$A$305,0))</x:f>
        <x:v>46307.44746376157</x:v>
      </x:c>
      <x:c r="X424" s="2" t="b">
        <x:f>INDEX('Dated offers'!$N$7:$N$305,MATCH($Z424,'Dated offers'!$A$7:$A$305,0))</x:f>
        <x:v>0</x:v>
      </x:c>
      <x:c r="Y424" s="2" t="str">
        <x:f>INDEX('Dated offers'!$O$7:$O$305,MATCH($Z424,'Dated offers'!$A$7:$A$305,0))</x:f>
        <x:v>Unreserved inventory snapshot</x:v>
      </x:c>
      <x:c r="Z424" s="17" t="str">
        <x:v>OF0248</x:v>
      </x:c>
      <x:c r="AA424" s="2"/>
      <x:c r="AB424" s="2" t="str">
        <x:f>INDEX('Dated offers'!$Q$7:$Q$305,MATCH($Z424,'Dated offers'!$A$7:$A$305,0))</x:f>
        <x:v>https://www.lcsc.com/product-detail/C861323.html</x:v>
      </x:c>
    </x:row>
    <x:row r="425" ht="24" customHeight="1">
      <x:c r="A425" s="2" t="str">
        <x:v>100 boards / nominal</x:v>
      </x:c>
      <x:c r="B425" s="17" t="str">
        <x:v>RT0603BRD074K99L</x:v>
      </x:c>
      <x:c r="C425" s="18" t="n">
        <x:v>100</x:v>
      </x:c>
      <x:c r="D425" s="27" t="n">
        <x:v>0</x:v>
      </x:c>
      <x:c r="E425" s="18" t="n">
        <x:f>INDEX('Assembly BOM'!$C$7:$C$162,MATCH($B425,'Assembly BOM'!$A$7:$A$162,0))</x:f>
        <x:v>1</x:v>
      </x:c>
      <x:c r="F425" s="18" t="n">
        <x:f>C425*E425</x:f>
        <x:v>100</x:v>
      </x:c>
      <x:c r="G425" s="18" t="n">
        <x:f>ROUNDUP(F425*(1+D425),0)</x:f>
        <x:v>100</x:v>
      </x:c>
      <x:c r="H425" s="18" t="n">
        <x:f>INDEX('Dated offers'!$F$7:$F$305,MATCH($Z425,'Dated offers'!$A$7:$A$305,0))</x:f>
        <x:v>1</x:v>
      </x:c>
      <x:c r="I425" s="18" t="n">
        <x:f>INDEX('Dated offers'!$G$7:$G$305,MATCH($Z425,'Dated offers'!$A$7:$A$305,0))</x:f>
        <x:v>1</x:v>
      </x:c>
      <x:c r="J425" s="18" t="n">
        <x:f>CEILING(MAX(G425,H425),I425)</x:f>
        <x:v>100</x:v>
      </x:c>
      <x:c r="K425" s="18" t="n">
        <x:v>100</x:v>
      </x:c>
      <x:c r="L425" s="18" t="n">
        <x:f>INDEX('Dated offers'!$I$7:$I$305,MATCH($Z425,'Dated offers'!$A$7:$A$305,0))</x:f>
        <x:v>100</x:v>
      </x:c>
      <x:c r="M425" s="25" t="n">
        <x:f>INDEX('Dated offers'!$J$7:$J$305,MATCH($Z425,'Dated offers'!$A$7:$A$305,0))</x:f>
        <x:v>0.058</x:v>
      </x:c>
      <x:c r="N425" s="25" t="n">
        <x:f>INDEX('Dated offers'!$K$7:$K$305,MATCH($Z425,'Dated offers'!$A$7:$A$305,0))</x:f>
        <x:v>0</x:v>
      </x:c>
      <x:c r="O425" s="25" t="n">
        <x:f>F425*M425</x:f>
        <x:v>5.800000000000001</x:v>
      </x:c>
      <x:c r="P425" s="25" t="n">
        <x:f>G425*M425</x:f>
        <x:v>5.800000000000001</x:v>
      </x:c>
      <x:c r="Q425" s="25" t="n">
        <x:f>K425*M425+N425</x:f>
        <x:v>5.800000000000001</x:v>
      </x:c>
      <x:c r="R425" s="18" t="n">
        <x:f>K425-G425</x:f>
        <x:v>0</x:v>
      </x:c>
      <x:c r="S425" s="18" t="n">
        <x:f>INDEX('Dated offers'!$H$7:$H$305,MATCH($Z425,'Dated offers'!$A$7:$A$305,0))</x:f>
        <x:v>42019</x:v>
      </x:c>
      <x:c r="T425" s="2" t="str">
        <x:f>IF(K425&lt;G425,"Order below requirement",IF(K425&lt;L425,"Below price tier",IF(ISNUMBER(S425),IF(K425&gt;S425,"Quantity exceeds snapshot","Within quantity snapshot"),"Stock not stated")))</x:f>
        <x:v>Within quantity snapshot</x:v>
      </x:c>
      <x:c r="U425" s="2" t="str">
        <x:f>INDEX('Dated offers'!$C$7:$C$305,MATCH($Z425,'Dated offers'!$A$7:$A$305,0))</x:f>
        <x:v>DigiKey</x:v>
      </x:c>
      <x:c r="V425" s="2" t="str">
        <x:f>INDEX('Dated offers'!$D$7:$D$305,MATCH($Z425,'Dated offers'!$A$7:$A$305,0))</x:f>
        <x:v>Not stated</x:v>
      </x:c>
      <x:c r="W425" s="24" t="n">
        <x:f>INDEX('Dated offers'!$E$7:$E$305,MATCH($Z425,'Dated offers'!$A$7:$A$305,0))</x:f>
        <x:v>46307.47807267361</x:v>
      </x:c>
      <x:c r="X425" s="2" t="b">
        <x:f>INDEX('Dated offers'!$N$7:$N$305,MATCH($Z425,'Dated offers'!$A$7:$A$305,0))</x:f>
        <x:v>0</x:v>
      </x:c>
      <x:c r="Y425" s="2" t="str">
        <x:f>INDEX('Dated offers'!$O$7:$O$305,MATCH($Z425,'Dated offers'!$A$7:$A$305,0))</x:f>
        <x:v>Unreserved inventory snapshot</x:v>
      </x:c>
      <x:c r="Z425" s="17" t="str">
        <x:v>OF0249</x:v>
      </x:c>
      <x:c r="AA425" s="2"/>
      <x:c r="AB425" s="2" t="str">
        <x:f>INDEX('Dated offers'!$Q$7:$Q$305,MATCH($Z425,'Dated offers'!$A$7:$A$305,0))</x:f>
        <x:v>https://www.digikey.com/en/products/detail/yageo/RT0603BRD074K99L/1072563</x:v>
      </x:c>
    </x:row>
    <x:row r="426" ht="24" customHeight="1">
      <x:c r="A426" s="2" t="str">
        <x:v>100 boards / nominal</x:v>
      </x:c>
      <x:c r="B426" s="17" t="str">
        <x:v>RT0603BRD0768KL</x:v>
      </x:c>
      <x:c r="C426" s="18" t="n">
        <x:v>100</x:v>
      </x:c>
      <x:c r="D426" s="27" t="n">
        <x:v>0</x:v>
      </x:c>
      <x:c r="E426" s="18" t="n">
        <x:f>INDEX('Assembly BOM'!$C$7:$C$162,MATCH($B426,'Assembly BOM'!$A$7:$A$162,0))</x:f>
        <x:v>1</x:v>
      </x:c>
      <x:c r="F426" s="18" t="n">
        <x:f>C426*E426</x:f>
        <x:v>100</x:v>
      </x:c>
      <x:c r="G426" s="18" t="n">
        <x:f>ROUNDUP(F426*(1+D426),0)</x:f>
        <x:v>100</x:v>
      </x:c>
      <x:c r="H426" s="18" t="n">
        <x:f>INDEX('Dated offers'!$F$7:$F$305,MATCH($Z426,'Dated offers'!$A$7:$A$305,0))</x:f>
        <x:v>1</x:v>
      </x:c>
      <x:c r="I426" s="18" t="n">
        <x:f>INDEX('Dated offers'!$G$7:$G$305,MATCH($Z426,'Dated offers'!$A$7:$A$305,0))</x:f>
        <x:v>1</x:v>
      </x:c>
      <x:c r="J426" s="18" t="n">
        <x:f>CEILING(MAX(G426,H426),I426)</x:f>
        <x:v>100</x:v>
      </x:c>
      <x:c r="K426" s="18" t="n">
        <x:v>100</x:v>
      </x:c>
      <x:c r="L426" s="18" t="n">
        <x:f>INDEX('Dated offers'!$I$7:$I$305,MATCH($Z426,'Dated offers'!$A$7:$A$305,0))</x:f>
        <x:v>100</x:v>
      </x:c>
      <x:c r="M426" s="25" t="n">
        <x:f>INDEX('Dated offers'!$J$7:$J$305,MATCH($Z426,'Dated offers'!$A$7:$A$305,0))</x:f>
        <x:v>0.0615</x:v>
      </x:c>
      <x:c r="N426" s="25" t="n">
        <x:f>INDEX('Dated offers'!$K$7:$K$305,MATCH($Z426,'Dated offers'!$A$7:$A$305,0))</x:f>
        <x:v>0</x:v>
      </x:c>
      <x:c r="O426" s="25" t="n">
        <x:f>F426*M426</x:f>
        <x:v>6.15</x:v>
      </x:c>
      <x:c r="P426" s="25" t="n">
        <x:f>G426*M426</x:f>
        <x:v>6.15</x:v>
      </x:c>
      <x:c r="Q426" s="25" t="n">
        <x:f>K426*M426+N426</x:f>
        <x:v>6.15</x:v>
      </x:c>
      <x:c r="R426" s="18" t="n">
        <x:f>K426-G426</x:f>
        <x:v>0</x:v>
      </x:c>
      <x:c r="S426" s="18" t="n">
        <x:f>INDEX('Dated offers'!$H$7:$H$305,MATCH($Z426,'Dated offers'!$A$7:$A$305,0))</x:f>
        <x:v>21008</x:v>
      </x:c>
      <x:c r="T426" s="2" t="str">
        <x:f>IF(K426&lt;G426,"Order below requirement",IF(K426&lt;L426,"Below price tier",IF(ISNUMBER(S426),IF(K426&gt;S426,"Quantity exceeds snapshot","Within quantity snapshot"),"Stock not stated")))</x:f>
        <x:v>Within quantity snapshot</x:v>
      </x:c>
      <x:c r="U426" s="2" t="str">
        <x:f>INDEX('Dated offers'!$C$7:$C$305,MATCH($Z426,'Dated offers'!$A$7:$A$305,0))</x:f>
        <x:v>DigiKey</x:v>
      </x:c>
      <x:c r="V426" s="2" t="str">
        <x:f>INDEX('Dated offers'!$D$7:$D$305,MATCH($Z426,'Dated offers'!$A$7:$A$305,0))</x:f>
        <x:v>Not stated</x:v>
      </x:c>
      <x:c r="W426" s="24" t="n">
        <x:f>INDEX('Dated offers'!$E$7:$E$305,MATCH($Z426,'Dated offers'!$A$7:$A$305,0))</x:f>
        <x:v>46307.4780725463</x:v>
      </x:c>
      <x:c r="X426" s="2" t="b">
        <x:f>INDEX('Dated offers'!$N$7:$N$305,MATCH($Z426,'Dated offers'!$A$7:$A$305,0))</x:f>
        <x:v>0</x:v>
      </x:c>
      <x:c r="Y426" s="2" t="str">
        <x:f>INDEX('Dated offers'!$O$7:$O$305,MATCH($Z426,'Dated offers'!$A$7:$A$305,0))</x:f>
        <x:v>Unreserved inventory snapshot</x:v>
      </x:c>
      <x:c r="Z426" s="17" t="str">
        <x:v>OF0250</x:v>
      </x:c>
      <x:c r="AA426" s="2"/>
      <x:c r="AB426" s="2" t="str">
        <x:f>INDEX('Dated offers'!$Q$7:$Q$305,MATCH($Z426,'Dated offers'!$A$7:$A$305,0))</x:f>
        <x:v>https://www.digikey.com/en/products/detail/yageo/RT0603BRD0768KL/6616742</x:v>
      </x:c>
    </x:row>
    <x:row r="427" ht="24" customHeight="1">
      <x:c r="A427" s="2" t="str">
        <x:v>100 boards / nominal</x:v>
      </x:c>
      <x:c r="B427" s="17" t="str">
        <x:v>RT0603BRD0793K1L</x:v>
      </x:c>
      <x:c r="C427" s="18" t="n">
        <x:v>100</x:v>
      </x:c>
      <x:c r="D427" s="27" t="n">
        <x:v>0</x:v>
      </x:c>
      <x:c r="E427" s="18" t="n">
        <x:f>INDEX('Assembly BOM'!$C$7:$C$162,MATCH($B427,'Assembly BOM'!$A$7:$A$162,0))</x:f>
        <x:v>1</x:v>
      </x:c>
      <x:c r="F427" s="18" t="n">
        <x:f>C427*E427</x:f>
        <x:v>100</x:v>
      </x:c>
      <x:c r="G427" s="18" t="n">
        <x:f>ROUNDUP(F427*(1+D427),0)</x:f>
        <x:v>100</x:v>
      </x:c>
      <x:c r="H427" s="18" t="n">
        <x:f>INDEX('Dated offers'!$F$7:$F$305,MATCH($Z427,'Dated offers'!$A$7:$A$305,0))</x:f>
        <x:v>1</x:v>
      </x:c>
      <x:c r="I427" s="18" t="n">
        <x:f>INDEX('Dated offers'!$G$7:$G$305,MATCH($Z427,'Dated offers'!$A$7:$A$305,0))</x:f>
        <x:v>1</x:v>
      </x:c>
      <x:c r="J427" s="18" t="n">
        <x:f>CEILING(MAX(G427,H427),I427)</x:f>
        <x:v>100</x:v>
      </x:c>
      <x:c r="K427" s="18" t="n">
        <x:v>100</x:v>
      </x:c>
      <x:c r="L427" s="18" t="n">
        <x:f>INDEX('Dated offers'!$I$7:$I$305,MATCH($Z427,'Dated offers'!$A$7:$A$305,0))</x:f>
        <x:v>100</x:v>
      </x:c>
      <x:c r="M427" s="25" t="n">
        <x:f>INDEX('Dated offers'!$J$7:$J$305,MATCH($Z427,'Dated offers'!$A$7:$A$305,0))</x:f>
        <x:v>0.0615</x:v>
      </x:c>
      <x:c r="N427" s="25" t="n">
        <x:f>INDEX('Dated offers'!$K$7:$K$305,MATCH($Z427,'Dated offers'!$A$7:$A$305,0))</x:f>
        <x:v>0</x:v>
      </x:c>
      <x:c r="O427" s="25" t="n">
        <x:f>F427*M427</x:f>
        <x:v>6.15</x:v>
      </x:c>
      <x:c r="P427" s="25" t="n">
        <x:f>G427*M427</x:f>
        <x:v>6.15</x:v>
      </x:c>
      <x:c r="Q427" s="25" t="n">
        <x:f>K427*M427+N427</x:f>
        <x:v>6.15</x:v>
      </x:c>
      <x:c r="R427" s="18" t="n">
        <x:f>K427-G427</x:f>
        <x:v>0</x:v>
      </x:c>
      <x:c r="S427" s="18" t="n">
        <x:f>INDEX('Dated offers'!$H$7:$H$305,MATCH($Z427,'Dated offers'!$A$7:$A$305,0))</x:f>
        <x:v>66948</x:v>
      </x:c>
      <x:c r="T427" s="2" t="str">
        <x:f>IF(K427&lt;G427,"Order below requirement",IF(K427&lt;L427,"Below price tier",IF(ISNUMBER(S427),IF(K427&gt;S427,"Quantity exceeds snapshot","Within quantity snapshot"),"Stock not stated")))</x:f>
        <x:v>Within quantity snapshot</x:v>
      </x:c>
      <x:c r="U427" s="2" t="str">
        <x:f>INDEX('Dated offers'!$C$7:$C$305,MATCH($Z427,'Dated offers'!$A$7:$A$305,0))</x:f>
        <x:v>DigiKey</x:v>
      </x:c>
      <x:c r="V427" s="2" t="str">
        <x:f>INDEX('Dated offers'!$D$7:$D$305,MATCH($Z427,'Dated offers'!$A$7:$A$305,0))</x:f>
        <x:v>Not stated</x:v>
      </x:c>
      <x:c r="W427" s="24" t="n">
        <x:f>INDEX('Dated offers'!$E$7:$E$305,MATCH($Z427,'Dated offers'!$A$7:$A$305,0))</x:f>
        <x:v>46307.47807267361</x:v>
      </x:c>
      <x:c r="X427" s="2" t="b">
        <x:f>INDEX('Dated offers'!$N$7:$N$305,MATCH($Z427,'Dated offers'!$A$7:$A$305,0))</x:f>
        <x:v>0</x:v>
      </x:c>
      <x:c r="Y427" s="2" t="str">
        <x:f>INDEX('Dated offers'!$O$7:$O$305,MATCH($Z427,'Dated offers'!$A$7:$A$305,0))</x:f>
        <x:v>Unreserved inventory snapshot</x:v>
      </x:c>
      <x:c r="Z427" s="17" t="str">
        <x:v>OF0251</x:v>
      </x:c>
      <x:c r="AA427" s="2"/>
      <x:c r="AB427" s="2" t="str">
        <x:f>INDEX('Dated offers'!$Q$7:$Q$305,MATCH($Z427,'Dated offers'!$A$7:$A$305,0))</x:f>
        <x:v>https://www.digikey.com/en/products/detail/yageo/RT0603BRD0793K1L/5139200</x:v>
      </x:c>
    </x:row>
    <x:row r="428" ht="24" customHeight="1">
      <x:c r="A428" s="2" t="str">
        <x:v>100 boards / nominal</x:v>
      </x:c>
      <x:c r="B428" s="17" t="str">
        <x:v>RT0603BRD07953RL</x:v>
      </x:c>
      <x:c r="C428" s="18" t="n">
        <x:v>100</x:v>
      </x:c>
      <x:c r="D428" s="27" t="n">
        <x:v>0</x:v>
      </x:c>
      <x:c r="E428" s="18" t="n">
        <x:f>INDEX('Assembly BOM'!$C$7:$C$162,MATCH($B428,'Assembly BOM'!$A$7:$A$162,0))</x:f>
        <x:v>2</x:v>
      </x:c>
      <x:c r="F428" s="18" t="n">
        <x:f>C428*E428</x:f>
        <x:v>200</x:v>
      </x:c>
      <x:c r="G428" s="18" t="n">
        <x:f>ROUNDUP(F428*(1+D428),0)</x:f>
        <x:v>200</x:v>
      </x:c>
      <x:c r="H428" s="18" t="n">
        <x:f>INDEX('Dated offers'!$F$7:$F$305,MATCH($Z428,'Dated offers'!$A$7:$A$305,0))</x:f>
        <x:v>1</x:v>
      </x:c>
      <x:c r="I428" s="18" t="n">
        <x:f>INDEX('Dated offers'!$G$7:$G$305,MATCH($Z428,'Dated offers'!$A$7:$A$305,0))</x:f>
        <x:v>1</x:v>
      </x:c>
      <x:c r="J428" s="18" t="n">
        <x:f>CEILING(MAX(G428,H428),I428)</x:f>
        <x:v>200</x:v>
      </x:c>
      <x:c r="K428" s="18" t="n">
        <x:v>200</x:v>
      </x:c>
      <x:c r="L428" s="18" t="n">
        <x:f>INDEX('Dated offers'!$I$7:$I$305,MATCH($Z428,'Dated offers'!$A$7:$A$305,0))</x:f>
        <x:v>100</x:v>
      </x:c>
      <x:c r="M428" s="25" t="n">
        <x:f>INDEX('Dated offers'!$J$7:$J$305,MATCH($Z428,'Dated offers'!$A$7:$A$305,0))</x:f>
        <x:v>0.058</x:v>
      </x:c>
      <x:c r="N428" s="25" t="n">
        <x:f>INDEX('Dated offers'!$K$7:$K$305,MATCH($Z428,'Dated offers'!$A$7:$A$305,0))</x:f>
        <x:v>0</x:v>
      </x:c>
      <x:c r="O428" s="25" t="n">
        <x:f>F428*M428</x:f>
        <x:v>11.600000000000001</x:v>
      </x:c>
      <x:c r="P428" s="25" t="n">
        <x:f>G428*M428</x:f>
        <x:v>11.600000000000001</x:v>
      </x:c>
      <x:c r="Q428" s="25" t="n">
        <x:f>K428*M428+N428</x:f>
        <x:v>11.600000000000001</x:v>
      </x:c>
      <x:c r="R428" s="18" t="n">
        <x:f>K428-G428</x:f>
        <x:v>0</x:v>
      </x:c>
      <x:c r="S428" s="18" t="n">
        <x:f>INDEX('Dated offers'!$H$7:$H$305,MATCH($Z428,'Dated offers'!$A$7:$A$305,0))</x:f>
        <x:v>5255</x:v>
      </x:c>
      <x:c r="T428" s="2" t="str">
        <x:f>IF(K428&lt;G428,"Order below requirement",IF(K428&lt;L428,"Below price tier",IF(ISNUMBER(S428),IF(K428&gt;S428,"Quantity exceeds snapshot","Within quantity snapshot"),"Stock not stated")))</x:f>
        <x:v>Within quantity snapshot</x:v>
      </x:c>
      <x:c r="U428" s="2" t="str">
        <x:f>INDEX('Dated offers'!$C$7:$C$305,MATCH($Z428,'Dated offers'!$A$7:$A$305,0))</x:f>
        <x:v>DigiKey</x:v>
      </x:c>
      <x:c r="V428" s="2" t="str">
        <x:f>INDEX('Dated offers'!$D$7:$D$305,MATCH($Z428,'Dated offers'!$A$7:$A$305,0))</x:f>
        <x:v>Not stated</x:v>
      </x:c>
      <x:c r="W428" s="24" t="n">
        <x:f>INDEX('Dated offers'!$E$7:$E$305,MATCH($Z428,'Dated offers'!$A$7:$A$305,0))</x:f>
        <x:v>46307.47807256944</x:v>
      </x:c>
      <x:c r="X428" s="2" t="b">
        <x:f>INDEX('Dated offers'!$N$7:$N$305,MATCH($Z428,'Dated offers'!$A$7:$A$305,0))</x:f>
        <x:v>0</x:v>
      </x:c>
      <x:c r="Y428" s="2" t="str">
        <x:f>INDEX('Dated offers'!$O$7:$O$305,MATCH($Z428,'Dated offers'!$A$7:$A$305,0))</x:f>
        <x:v>Unreserved inventory snapshot</x:v>
      </x:c>
      <x:c r="Z428" s="17" t="str">
        <x:v>OF0252</x:v>
      </x:c>
      <x:c r="AA428" s="2"/>
      <x:c r="AB428" s="2" t="str">
        <x:f>INDEX('Dated offers'!$Q$7:$Q$305,MATCH($Z428,'Dated offers'!$A$7:$A$305,0))</x:f>
        <x:v>https://www.digikey.com/en/products/detail/yageo/RT0603BRD07953RL/1072685</x:v>
      </x:c>
    </x:row>
    <x:row r="429" ht="24" customHeight="1">
      <x:c r="A429" s="2" t="str">
        <x:v>100 boards / nominal</x:v>
      </x:c>
      <x:c r="B429" s="17" t="str">
        <x:v>RTL8125BG-CG</x:v>
      </x:c>
      <x:c r="C429" s="18" t="n">
        <x:v>100</x:v>
      </x:c>
      <x:c r="D429" s="27" t="n">
        <x:v>0</x:v>
      </x:c>
      <x:c r="E429" s="18" t="n">
        <x:f>INDEX('Assembly BOM'!$C$7:$C$162,MATCH($B429,'Assembly BOM'!$A$7:$A$162,0))</x:f>
        <x:v>1</x:v>
      </x:c>
      <x:c r="F429" s="18" t="n">
        <x:f>C429*E429</x:f>
        <x:v>100</x:v>
      </x:c>
      <x:c r="G429" s="18" t="n">
        <x:f>ROUNDUP(F429*(1+D429),0)</x:f>
        <x:v>100</x:v>
      </x:c>
      <x:c r="H429" s="18" t="n">
        <x:f>INDEX('Dated offers'!$F$7:$F$305,MATCH($Z429,'Dated offers'!$A$7:$A$305,0))</x:f>
        <x:v>1</x:v>
      </x:c>
      <x:c r="I429" s="18" t="n">
        <x:f>INDEX('Dated offers'!$G$7:$G$305,MATCH($Z429,'Dated offers'!$A$7:$A$305,0))</x:f>
        <x:v>1</x:v>
      </x:c>
      <x:c r="J429" s="18" t="n">
        <x:f>CEILING(MAX(G429,H429),I429)</x:f>
        <x:v>100</x:v>
      </x:c>
      <x:c r="K429" s="18" t="n">
        <x:v>100</x:v>
      </x:c>
      <x:c r="L429" s="18" t="n">
        <x:f>INDEX('Dated offers'!$I$7:$I$305,MATCH($Z429,'Dated offers'!$A$7:$A$305,0))</x:f>
        <x:v>100</x:v>
      </x:c>
      <x:c r="M429" s="25" t="n">
        <x:f>INDEX('Dated offers'!$J$7:$J$305,MATCH($Z429,'Dated offers'!$A$7:$A$305,0))</x:f>
        <x:v>2.8684</x:v>
      </x:c>
      <x:c r="N429" s="25" t="n">
        <x:f>INDEX('Dated offers'!$K$7:$K$305,MATCH($Z429,'Dated offers'!$A$7:$A$305,0))</x:f>
        <x:v>0</x:v>
      </x:c>
      <x:c r="O429" s="25" t="n">
        <x:f>F429*M429</x:f>
        <x:v>286.84</x:v>
      </x:c>
      <x:c r="P429" s="25" t="n">
        <x:f>G429*M429</x:f>
        <x:v>286.84</x:v>
      </x:c>
      <x:c r="Q429" s="25" t="n">
        <x:f>K429*M429+N429</x:f>
        <x:v>286.84</x:v>
      </x:c>
      <x:c r="R429" s="18" t="n">
        <x:f>K429-G429</x:f>
        <x:v>0</x:v>
      </x:c>
      <x:c r="S429" s="18" t="n">
        <x:f>INDEX('Dated offers'!$H$7:$H$305,MATCH($Z429,'Dated offers'!$A$7:$A$305,0))</x:f>
        <x:v>310</x:v>
      </x:c>
      <x:c r="T429" s="2" t="str">
        <x:f>IF(K429&lt;G429,"Order below requirement",IF(K429&lt;L429,"Below price tier",IF(ISNUMBER(S429),IF(K429&gt;S429,"Quantity exceeds snapshot","Within quantity snapshot"),"Stock not stated")))</x:f>
        <x:v>Within quantity snapshot</x:v>
      </x:c>
      <x:c r="U429" s="2" t="str">
        <x:f>INDEX('Dated offers'!$C$7:$C$305,MATCH($Z429,'Dated offers'!$A$7:$A$305,0))</x:f>
        <x:v>LCSC</x:v>
      </x:c>
      <x:c r="V429" s="2" t="str">
        <x:f>INDEX('Dated offers'!$D$7:$D$305,MATCH($Z429,'Dated offers'!$A$7:$A$305,0))</x:f>
        <x:v>C3013605</x:v>
      </x:c>
      <x:c r="W429" s="24" t="n">
        <x:f>INDEX('Dated offers'!$E$7:$E$305,MATCH($Z429,'Dated offers'!$A$7:$A$305,0))</x:f>
        <x:v>46307.447465219906</x:v>
      </x:c>
      <x:c r="X429" s="2" t="b">
        <x:f>INDEX('Dated offers'!$N$7:$N$305,MATCH($Z429,'Dated offers'!$A$7:$A$305,0))</x:f>
        <x:v>0</x:v>
      </x:c>
      <x:c r="Y429" s="2" t="str">
        <x:f>INDEX('Dated offers'!$O$7:$O$305,MATCH($Z429,'Dated offers'!$A$7:$A$305,0))</x:f>
        <x:v>Unreserved inventory snapshot</x:v>
      </x:c>
      <x:c r="Z429" s="17" t="str">
        <x:v>OF0253</x:v>
      </x:c>
      <x:c r="AA429" s="2"/>
      <x:c r="AB429" s="2" t="str">
        <x:f>INDEX('Dated offers'!$Q$7:$Q$305,MATCH($Z429,'Dated offers'!$A$7:$A$305,0))</x:f>
        <x:v>https://www.lcsc.com/product-detail/C3013605.html</x:v>
      </x:c>
    </x:row>
    <x:row r="430" ht="24" customHeight="1">
      <x:c r="A430" s="2" t="str">
        <x:v>100 boards / nominal</x:v>
      </x:c>
      <x:c r="B430" s="17" t="str">
        <x:v>S1B-13-F</x:v>
      </x:c>
      <x:c r="C430" s="18" t="n">
        <x:v>100</x:v>
      </x:c>
      <x:c r="D430" s="27" t="n">
        <x:v>0</x:v>
      </x:c>
      <x:c r="E430" s="18" t="n">
        <x:f>INDEX('Assembly BOM'!$C$7:$C$162,MATCH($B430,'Assembly BOM'!$A$7:$A$162,0))</x:f>
        <x:v>1</x:v>
      </x:c>
      <x:c r="F430" s="18" t="n">
        <x:f>C430*E430</x:f>
        <x:v>100</x:v>
      </x:c>
      <x:c r="G430" s="18" t="n">
        <x:f>ROUNDUP(F430*(1+D430),0)</x:f>
        <x:v>100</x:v>
      </x:c>
      <x:c r="H430" s="18" t="n">
        <x:f>INDEX('Dated offers'!$F$7:$F$305,MATCH($Z430,'Dated offers'!$A$7:$A$305,0))</x:f>
        <x:v>1</x:v>
      </x:c>
      <x:c r="I430" s="18" t="n">
        <x:f>INDEX('Dated offers'!$G$7:$G$305,MATCH($Z430,'Dated offers'!$A$7:$A$305,0))</x:f>
        <x:v>1</x:v>
      </x:c>
      <x:c r="J430" s="18" t="n">
        <x:f>CEILING(MAX(G430,H430),I430)</x:f>
        <x:v>100</x:v>
      </x:c>
      <x:c r="K430" s="18" t="n">
        <x:v>100</x:v>
      </x:c>
      <x:c r="L430" s="18" t="n">
        <x:f>INDEX('Dated offers'!$I$7:$I$305,MATCH($Z430,'Dated offers'!$A$7:$A$305,0))</x:f>
        <x:v>100</x:v>
      </x:c>
      <x:c r="M430" s="25" t="n">
        <x:f>INDEX('Dated offers'!$J$7:$J$305,MATCH($Z430,'Dated offers'!$A$7:$A$305,0))</x:f>
        <x:v>0.1005</x:v>
      </x:c>
      <x:c r="N430" s="25" t="n">
        <x:f>INDEX('Dated offers'!$K$7:$K$305,MATCH($Z430,'Dated offers'!$A$7:$A$305,0))</x:f>
        <x:v>0</x:v>
      </x:c>
      <x:c r="O430" s="25" t="n">
        <x:f>F430*M430</x:f>
        <x:v>10.05</x:v>
      </x:c>
      <x:c r="P430" s="25" t="n">
        <x:f>G430*M430</x:f>
        <x:v>10.05</x:v>
      </x:c>
      <x:c r="Q430" s="25" t="n">
        <x:f>K430*M430+N430</x:f>
        <x:v>10.05</x:v>
      </x:c>
      <x:c r="R430" s="18" t="n">
        <x:f>K430-G430</x:f>
        <x:v>0</x:v>
      </x:c>
      <x:c r="S430" s="18" t="n">
        <x:f>INDEX('Dated offers'!$H$7:$H$305,MATCH($Z430,'Dated offers'!$A$7:$A$305,0))</x:f>
        <x:v>716497</x:v>
      </x:c>
      <x:c r="T430" s="2" t="str">
        <x:f>IF(K430&lt;G430,"Order below requirement",IF(K430&lt;L430,"Below price tier",IF(ISNUMBER(S430),IF(K430&gt;S430,"Quantity exceeds snapshot","Within quantity snapshot"),"Stock not stated")))</x:f>
        <x:v>Within quantity snapshot</x:v>
      </x:c>
      <x:c r="U430" s="2" t="str">
        <x:f>INDEX('Dated offers'!$C$7:$C$305,MATCH($Z430,'Dated offers'!$A$7:$A$305,0))</x:f>
        <x:v>DigiKey</x:v>
      </x:c>
      <x:c r="V430" s="2" t="str">
        <x:f>INDEX('Dated offers'!$D$7:$D$305,MATCH($Z430,'Dated offers'!$A$7:$A$305,0))</x:f>
        <x:v>Not stated</x:v>
      </x:c>
      <x:c r="W430" s="24" t="n">
        <x:f>INDEX('Dated offers'!$E$7:$E$305,MATCH($Z430,'Dated offers'!$A$7:$A$305,0))</x:f>
        <x:v>46307.47807256944</x:v>
      </x:c>
      <x:c r="X430" s="2" t="b">
        <x:f>INDEX('Dated offers'!$N$7:$N$305,MATCH($Z430,'Dated offers'!$A$7:$A$305,0))</x:f>
        <x:v>0</x:v>
      </x:c>
      <x:c r="Y430" s="2" t="str">
        <x:f>INDEX('Dated offers'!$O$7:$O$305,MATCH($Z430,'Dated offers'!$A$7:$A$305,0))</x:f>
        <x:v>Unreserved inventory snapshot</x:v>
      </x:c>
      <x:c r="Z430" s="17" t="str">
        <x:v>OF0254</x:v>
      </x:c>
      <x:c r="AA430" s="2"/>
      <x:c r="AB430" s="2" t="str">
        <x:f>INDEX('Dated offers'!$Q$7:$Q$305,MATCH($Z430,'Dated offers'!$A$7:$A$305,0))</x:f>
        <x:v>https://www.digikey.com/en/products/detail/diodes-incorporated/S1B-13-F/725026</x:v>
      </x:c>
    </x:row>
    <x:row r="431" ht="24" customHeight="1">
      <x:c r="A431" s="2" t="str">
        <x:v>100 boards / nominal</x:v>
      </x:c>
      <x:c r="B431" s="17" t="str">
        <x:v>SIM8066-6-1-14-01-A</x:v>
      </x:c>
      <x:c r="C431" s="18" t="n">
        <x:v>100</x:v>
      </x:c>
      <x:c r="D431" s="27" t="n">
        <x:v>0</x:v>
      </x:c>
      <x:c r="E431" s="18" t="n">
        <x:f>INDEX('Assembly BOM'!$C$7:$C$162,MATCH($B431,'Assembly BOM'!$A$7:$A$162,0))</x:f>
        <x:v>1</x:v>
      </x:c>
      <x:c r="F431" s="18" t="n">
        <x:f>C431*E431</x:f>
        <x:v>100</x:v>
      </x:c>
      <x:c r="G431" s="18" t="n">
        <x:f>ROUNDUP(F431*(1+D431),0)</x:f>
        <x:v>100</x:v>
      </x:c>
      <x:c r="H431" s="18" t="n">
        <x:f>INDEX('Dated offers'!$F$7:$F$305,MATCH($Z431,'Dated offers'!$A$7:$A$305,0))</x:f>
        <x:v>1</x:v>
      </x:c>
      <x:c r="I431" s="18" t="n">
        <x:f>INDEX('Dated offers'!$G$7:$G$305,MATCH($Z431,'Dated offers'!$A$7:$A$305,0))</x:f>
        <x:v>1</x:v>
      </x:c>
      <x:c r="J431" s="18" t="n">
        <x:f>CEILING(MAX(G431,H431),I431)</x:f>
        <x:v>100</x:v>
      </x:c>
      <x:c r="K431" s="18" t="n">
        <x:v>100</x:v>
      </x:c>
      <x:c r="L431" s="18" t="n">
        <x:f>INDEX('Dated offers'!$I$7:$I$305,MATCH($Z431,'Dated offers'!$A$7:$A$305,0))</x:f>
        <x:v>100</x:v>
      </x:c>
      <x:c r="M431" s="25" t="n">
        <x:f>INDEX('Dated offers'!$J$7:$J$305,MATCH($Z431,'Dated offers'!$A$7:$A$305,0))</x:f>
        <x:v>1.0686</x:v>
      </x:c>
      <x:c r="N431" s="25" t="n">
        <x:f>INDEX('Dated offers'!$K$7:$K$305,MATCH($Z431,'Dated offers'!$A$7:$A$305,0))</x:f>
        <x:v>0</x:v>
      </x:c>
      <x:c r="O431" s="25" t="n">
        <x:f>F431*M431</x:f>
        <x:v>106.86</x:v>
      </x:c>
      <x:c r="P431" s="25" t="n">
        <x:f>G431*M431</x:f>
        <x:v>106.86</x:v>
      </x:c>
      <x:c r="Q431" s="25" t="n">
        <x:f>K431*M431+N431</x:f>
        <x:v>106.86</x:v>
      </x:c>
      <x:c r="R431" s="18" t="n">
        <x:f>K431-G431</x:f>
        <x:v>0</x:v>
      </x:c>
      <x:c r="S431" s="18" t="n">
        <x:f>INDEX('Dated offers'!$H$7:$H$305,MATCH($Z431,'Dated offers'!$A$7:$A$305,0))</x:f>
        <x:v>1893</x:v>
      </x:c>
      <x:c r="T431" s="2" t="str">
        <x:f>IF(K431&lt;G431,"Order below requirement",IF(K431&lt;L431,"Below price tier",IF(ISNUMBER(S431),IF(K431&gt;S431,"Quantity exceeds snapshot","Within quantity snapshot"),"Stock not stated")))</x:f>
        <x:v>Within quantity snapshot</x:v>
      </x:c>
      <x:c r="U431" s="2" t="str">
        <x:f>INDEX('Dated offers'!$C$7:$C$305,MATCH($Z431,'Dated offers'!$A$7:$A$305,0))</x:f>
        <x:v>LCSC</x:v>
      </x:c>
      <x:c r="V431" s="2" t="str">
        <x:f>INDEX('Dated offers'!$D$7:$D$305,MATCH($Z431,'Dated offers'!$A$7:$A$305,0))</x:f>
        <x:v>C3032925</x:v>
      </x:c>
      <x:c r="W431" s="24" t="n">
        <x:f>INDEX('Dated offers'!$E$7:$E$305,MATCH($Z431,'Dated offers'!$A$7:$A$305,0))</x:f>
        <x:v>46307.447466805555</x:v>
      </x:c>
      <x:c r="X431" s="2" t="b">
        <x:f>INDEX('Dated offers'!$N$7:$N$305,MATCH($Z431,'Dated offers'!$A$7:$A$305,0))</x:f>
        <x:v>0</x:v>
      </x:c>
      <x:c r="Y431" s="2" t="str">
        <x:f>INDEX('Dated offers'!$O$7:$O$305,MATCH($Z431,'Dated offers'!$A$7:$A$305,0))</x:f>
        <x:v>Unreserved inventory snapshot</x:v>
      </x:c>
      <x:c r="Z431" s="17" t="str">
        <x:v>OF0255</x:v>
      </x:c>
      <x:c r="AA431" s="2"/>
      <x:c r="AB431" s="2" t="str">
        <x:f>INDEX('Dated offers'!$Q$7:$Q$305,MATCH($Z431,'Dated offers'!$A$7:$A$305,0))</x:f>
        <x:v>https://www.lcsc.com/product-detail/C3032925.html</x:v>
      </x:c>
    </x:row>
    <x:row r="432" ht="24" customHeight="1">
      <x:c r="A432" s="2" t="str">
        <x:v>100 boards / nominal</x:v>
      </x:c>
      <x:c r="B432" s="17" t="str">
        <x:v>SMBJ13A</x:v>
      </x:c>
      <x:c r="C432" s="18" t="n">
        <x:v>100</x:v>
      </x:c>
      <x:c r="D432" s="27" t="n">
        <x:v>0</x:v>
      </x:c>
      <x:c r="E432" s="18" t="n">
        <x:f>INDEX('Assembly BOM'!$C$7:$C$162,MATCH($B432,'Assembly BOM'!$A$7:$A$162,0))</x:f>
        <x:v>1</x:v>
      </x:c>
      <x:c r="F432" s="18" t="n">
        <x:f>C432*E432</x:f>
        <x:v>100</x:v>
      </x:c>
      <x:c r="G432" s="18" t="n">
        <x:f>ROUNDUP(F432*(1+D432),0)</x:f>
        <x:v>100</x:v>
      </x:c>
      <x:c r="H432" s="18" t="n">
        <x:f>INDEX('Dated offers'!$F$7:$F$305,MATCH($Z432,'Dated offers'!$A$7:$A$305,0))</x:f>
        <x:v>1</x:v>
      </x:c>
      <x:c r="I432" s="18" t="n">
        <x:f>INDEX('Dated offers'!$G$7:$G$305,MATCH($Z432,'Dated offers'!$A$7:$A$305,0))</x:f>
        <x:v>1</x:v>
      </x:c>
      <x:c r="J432" s="18" t="n">
        <x:f>CEILING(MAX(G432,H432),I432)</x:f>
        <x:v>100</x:v>
      </x:c>
      <x:c r="K432" s="18" t="n">
        <x:v>100</x:v>
      </x:c>
      <x:c r="L432" s="18" t="n">
        <x:f>INDEX('Dated offers'!$I$7:$I$305,MATCH($Z432,'Dated offers'!$A$7:$A$305,0))</x:f>
        <x:v>100</x:v>
      </x:c>
      <x:c r="M432" s="25" t="n">
        <x:f>INDEX('Dated offers'!$J$7:$J$305,MATCH($Z432,'Dated offers'!$A$7:$A$305,0))</x:f>
        <x:v>0.2077</x:v>
      </x:c>
      <x:c r="N432" s="25" t="n">
        <x:f>INDEX('Dated offers'!$K$7:$K$305,MATCH($Z432,'Dated offers'!$A$7:$A$305,0))</x:f>
        <x:v>0</x:v>
      </x:c>
      <x:c r="O432" s="25" t="n">
        <x:f>F432*M432</x:f>
        <x:v>20.77</x:v>
      </x:c>
      <x:c r="P432" s="25" t="n">
        <x:f>G432*M432</x:f>
        <x:v>20.77</x:v>
      </x:c>
      <x:c r="Q432" s="25" t="n">
        <x:f>K432*M432+N432</x:f>
        <x:v>20.77</x:v>
      </x:c>
      <x:c r="R432" s="18" t="n">
        <x:f>K432-G432</x:f>
        <x:v>0</x:v>
      </x:c>
      <x:c r="S432" s="18" t="n">
        <x:f>INDEX('Dated offers'!$H$7:$H$305,MATCH($Z432,'Dated offers'!$A$7:$A$305,0))</x:f>
        <x:v>1346</x:v>
      </x:c>
      <x:c r="T432" s="2" t="str">
        <x:f>IF(K432&lt;G432,"Order below requirement",IF(K432&lt;L432,"Below price tier",IF(ISNUMBER(S432),IF(K432&gt;S432,"Quantity exceeds snapshot","Within quantity snapshot"),"Stock not stated")))</x:f>
        <x:v>Within quantity snapshot</x:v>
      </x:c>
      <x:c r="U432" s="2" t="str">
        <x:f>INDEX('Dated offers'!$C$7:$C$305,MATCH($Z432,'Dated offers'!$A$7:$A$305,0))</x:f>
        <x:v>DigiKey</x:v>
      </x:c>
      <x:c r="V432" s="2" t="str">
        <x:f>INDEX('Dated offers'!$D$7:$D$305,MATCH($Z432,'Dated offers'!$A$7:$A$305,0))</x:f>
        <x:v>Not stated</x:v>
      </x:c>
      <x:c r="W432" s="24" t="n">
        <x:f>INDEX('Dated offers'!$E$7:$E$305,MATCH($Z432,'Dated offers'!$A$7:$A$305,0))</x:f>
        <x:v>46307.47807256944</x:v>
      </x:c>
      <x:c r="X432" s="2" t="b">
        <x:f>INDEX('Dated offers'!$N$7:$N$305,MATCH($Z432,'Dated offers'!$A$7:$A$305,0))</x:f>
        <x:v>0</x:v>
      </x:c>
      <x:c r="Y432" s="2" t="str">
        <x:f>INDEX('Dated offers'!$O$7:$O$305,MATCH($Z432,'Dated offers'!$A$7:$A$305,0))</x:f>
        <x:v>Unreserved inventory snapshot</x:v>
      </x:c>
      <x:c r="Z432" s="17" t="str">
        <x:v>OF0256</x:v>
      </x:c>
      <x:c r="AA432" s="2"/>
      <x:c r="AB432" s="2" t="str">
        <x:f>INDEX('Dated offers'!$Q$7:$Q$305,MATCH($Z432,'Dated offers'!$A$7:$A$305,0))</x:f>
        <x:v>https://www.digikey.com/en/products/detail/littelfuse-inc/SMBJ13A/285974</x:v>
      </x:c>
    </x:row>
    <x:row r="433" ht="24" customHeight="1">
      <x:c r="A433" s="2" t="str">
        <x:v>100 boards / nominal</x:v>
      </x:c>
      <x:c r="B433" s="17" t="str">
        <x:v>SMCJ51A-E3/57T</x:v>
      </x:c>
      <x:c r="C433" s="18" t="n">
        <x:v>100</x:v>
      </x:c>
      <x:c r="D433" s="27" t="n">
        <x:v>0</x:v>
      </x:c>
      <x:c r="E433" s="18" t="n">
        <x:f>INDEX('Assembly BOM'!$C$7:$C$162,MATCH($B433,'Assembly BOM'!$A$7:$A$162,0))</x:f>
        <x:v>2</x:v>
      </x:c>
      <x:c r="F433" s="18" t="n">
        <x:f>C433*E433</x:f>
        <x:v>200</x:v>
      </x:c>
      <x:c r="G433" s="18" t="n">
        <x:f>ROUNDUP(F433*(1+D433),0)</x:f>
        <x:v>200</x:v>
      </x:c>
      <x:c r="H433" s="18" t="n">
        <x:f>INDEX('Dated offers'!$F$7:$F$305,MATCH($Z433,'Dated offers'!$A$7:$A$305,0))</x:f>
        <x:v>1</x:v>
      </x:c>
      <x:c r="I433" s="18" t="n">
        <x:f>INDEX('Dated offers'!$G$7:$G$305,MATCH($Z433,'Dated offers'!$A$7:$A$305,0))</x:f>
        <x:v>1</x:v>
      </x:c>
      <x:c r="J433" s="18" t="n">
        <x:f>CEILING(MAX(G433,H433),I433)</x:f>
        <x:v>200</x:v>
      </x:c>
      <x:c r="K433" s="18" t="n">
        <x:v>200</x:v>
      </x:c>
      <x:c r="L433" s="18" t="n">
        <x:f>INDEX('Dated offers'!$I$7:$I$305,MATCH($Z433,'Dated offers'!$A$7:$A$305,0))</x:f>
        <x:v>100</x:v>
      </x:c>
      <x:c r="M433" s="25" t="n">
        <x:f>INDEX('Dated offers'!$J$7:$J$305,MATCH($Z433,'Dated offers'!$A$7:$A$305,0))</x:f>
        <x:v>0.44</x:v>
      </x:c>
      <x:c r="N433" s="25" t="n">
        <x:f>INDEX('Dated offers'!$K$7:$K$305,MATCH($Z433,'Dated offers'!$A$7:$A$305,0))</x:f>
        <x:v>0</x:v>
      </x:c>
      <x:c r="O433" s="25" t="n">
        <x:f>F433*M433</x:f>
        <x:v>88</x:v>
      </x:c>
      <x:c r="P433" s="25" t="n">
        <x:f>G433*M433</x:f>
        <x:v>88</x:v>
      </x:c>
      <x:c r="Q433" s="25" t="n">
        <x:f>K433*M433+N433</x:f>
        <x:v>88</x:v>
      </x:c>
      <x:c r="R433" s="18" t="n">
        <x:f>K433-G433</x:f>
        <x:v>0</x:v>
      </x:c>
      <x:c r="S433" s="18" t="n">
        <x:f>INDEX('Dated offers'!$H$7:$H$305,MATCH($Z433,'Dated offers'!$A$7:$A$305,0))</x:f>
        <x:v>214</x:v>
      </x:c>
      <x:c r="T433" s="2" t="str">
        <x:f>IF(K433&lt;G433,"Order below requirement",IF(K433&lt;L433,"Below price tier",IF(ISNUMBER(S433),IF(K433&gt;S433,"Quantity exceeds snapshot","Within quantity snapshot"),"Stock not stated")))</x:f>
        <x:v>Within quantity snapshot</x:v>
      </x:c>
      <x:c r="U433" s="2" t="str">
        <x:f>INDEX('Dated offers'!$C$7:$C$305,MATCH($Z433,'Dated offers'!$A$7:$A$305,0))</x:f>
        <x:v>DigiKey</x:v>
      </x:c>
      <x:c r="V433" s="2" t="str">
        <x:f>INDEX('Dated offers'!$D$7:$D$305,MATCH($Z433,'Dated offers'!$A$7:$A$305,0))</x:f>
        <x:v>Not stated</x:v>
      </x:c>
      <x:c r="W433" s="24" t="n">
        <x:f>INDEX('Dated offers'!$E$7:$E$305,MATCH($Z433,'Dated offers'!$A$7:$A$305,0))</x:f>
        <x:v>46307.47807258102</x:v>
      </x:c>
      <x:c r="X433" s="2" t="b">
        <x:f>INDEX('Dated offers'!$N$7:$N$305,MATCH($Z433,'Dated offers'!$A$7:$A$305,0))</x:f>
        <x:v>0</x:v>
      </x:c>
      <x:c r="Y433" s="2" t="str">
        <x:f>INDEX('Dated offers'!$O$7:$O$305,MATCH($Z433,'Dated offers'!$A$7:$A$305,0))</x:f>
        <x:v>Unreserved inventory snapshot</x:v>
      </x:c>
      <x:c r="Z433" s="17" t="str">
        <x:v>OF0257</x:v>
      </x:c>
      <x:c r="AA433" s="2"/>
      <x:c r="AB433" s="2" t="str">
        <x:f>INDEX('Dated offers'!$Q$7:$Q$305,MATCH($Z433,'Dated offers'!$A$7:$A$305,0))</x:f>
        <x:v>https://www.digikey.com/en/products/detail/vishay-general-semiconductor-diodes-division/SMCJ51A-E3-57T/2413463</x:v>
      </x:c>
    </x:row>
    <x:row r="434" ht="24" customHeight="1">
      <x:c r="A434" s="2" t="str">
        <x:v>100 boards / nominal</x:v>
      </x:c>
      <x:c r="B434" s="17" t="str">
        <x:v>SN74AUP1G17DBVR</x:v>
      </x:c>
      <x:c r="C434" s="18" t="n">
        <x:v>100</x:v>
      </x:c>
      <x:c r="D434" s="27" t="n">
        <x:v>0</x:v>
      </x:c>
      <x:c r="E434" s="18" t="n">
        <x:f>INDEX('Assembly BOM'!$C$7:$C$162,MATCH($B434,'Assembly BOM'!$A$7:$A$162,0))</x:f>
        <x:v>1</x:v>
      </x:c>
      <x:c r="F434" s="18" t="n">
        <x:f>C434*E434</x:f>
        <x:v>100</x:v>
      </x:c>
      <x:c r="G434" s="18" t="n">
        <x:f>ROUNDUP(F434*(1+D434),0)</x:f>
        <x:v>100</x:v>
      </x:c>
      <x:c r="H434" s="18" t="n">
        <x:f>INDEX('Dated offers'!$F$7:$F$305,MATCH($Z434,'Dated offers'!$A$7:$A$305,0))</x:f>
        <x:v>1</x:v>
      </x:c>
      <x:c r="I434" s="18" t="n">
        <x:f>INDEX('Dated offers'!$G$7:$G$305,MATCH($Z434,'Dated offers'!$A$7:$A$305,0))</x:f>
        <x:v>1</x:v>
      </x:c>
      <x:c r="J434" s="18" t="n">
        <x:f>CEILING(MAX(G434,H434),I434)</x:f>
        <x:v>100</x:v>
      </x:c>
      <x:c r="K434" s="18" t="n">
        <x:v>100</x:v>
      </x:c>
      <x:c r="L434" s="18" t="n">
        <x:f>INDEX('Dated offers'!$I$7:$I$305,MATCH($Z434,'Dated offers'!$A$7:$A$305,0))</x:f>
        <x:v>100</x:v>
      </x:c>
      <x:c r="M434" s="25" t="n">
        <x:f>INDEX('Dated offers'!$J$7:$J$305,MATCH($Z434,'Dated offers'!$A$7:$A$305,0))</x:f>
        <x:v>0.2161</x:v>
      </x:c>
      <x:c r="N434" s="25" t="n">
        <x:f>INDEX('Dated offers'!$K$7:$K$305,MATCH($Z434,'Dated offers'!$A$7:$A$305,0))</x:f>
        <x:v>0</x:v>
      </x:c>
      <x:c r="O434" s="25" t="n">
        <x:f>F434*M434</x:f>
        <x:v>21.61</x:v>
      </x:c>
      <x:c r="P434" s="25" t="n">
        <x:f>G434*M434</x:f>
        <x:v>21.61</x:v>
      </x:c>
      <x:c r="Q434" s="25" t="n">
        <x:f>K434*M434+N434</x:f>
        <x:v>21.61</x:v>
      </x:c>
      <x:c r="R434" s="18" t="n">
        <x:f>K434-G434</x:f>
        <x:v>0</x:v>
      </x:c>
      <x:c r="S434" s="18" t="n">
        <x:f>INDEX('Dated offers'!$H$7:$H$305,MATCH($Z434,'Dated offers'!$A$7:$A$305,0))</x:f>
        <x:v>7107</x:v>
      </x:c>
      <x:c r="T434" s="2" t="str">
        <x:f>IF(K434&lt;G434,"Order below requirement",IF(K434&lt;L434,"Below price tier",IF(ISNUMBER(S434),IF(K434&gt;S434,"Quantity exceeds snapshot","Within quantity snapshot"),"Stock not stated")))</x:f>
        <x:v>Within quantity snapshot</x:v>
      </x:c>
      <x:c r="U434" s="2" t="str">
        <x:f>INDEX('Dated offers'!$C$7:$C$305,MATCH($Z434,'Dated offers'!$A$7:$A$305,0))</x:f>
        <x:v>DigiKey</x:v>
      </x:c>
      <x:c r="V434" s="2" t="str">
        <x:f>INDEX('Dated offers'!$D$7:$D$305,MATCH($Z434,'Dated offers'!$A$7:$A$305,0))</x:f>
        <x:v>Not stated</x:v>
      </x:c>
      <x:c r="W434" s="24" t="n">
        <x:f>INDEX('Dated offers'!$E$7:$E$305,MATCH($Z434,'Dated offers'!$A$7:$A$305,0))</x:f>
        <x:v>46307.478072708334</x:v>
      </x:c>
      <x:c r="X434" s="2" t="b">
        <x:f>INDEX('Dated offers'!$N$7:$N$305,MATCH($Z434,'Dated offers'!$A$7:$A$305,0))</x:f>
        <x:v>0</x:v>
      </x:c>
      <x:c r="Y434" s="2" t="str">
        <x:f>INDEX('Dated offers'!$O$7:$O$305,MATCH($Z434,'Dated offers'!$A$7:$A$305,0))</x:f>
        <x:v>Unreserved inventory snapshot</x:v>
      </x:c>
      <x:c r="Z434" s="17" t="str">
        <x:v>OF0258</x:v>
      </x:c>
      <x:c r="AA434" s="2"/>
      <x:c r="AB434" s="2" t="str">
        <x:f>INDEX('Dated offers'!$Q$7:$Q$305,MATCH($Z434,'Dated offers'!$A$7:$A$305,0))</x:f>
        <x:v>https://www.digikey.com/en/products/detail/texas-instruments/SN74AUP1G17DBVR/864081</x:v>
      </x:c>
    </x:row>
    <x:row r="435" ht="24" customHeight="1">
      <x:c r="A435" s="2" t="str">
        <x:v>100 boards / nominal</x:v>
      </x:c>
      <x:c r="B435" s="17" t="str">
        <x:v>SN74AXC8T245PWR</x:v>
      </x:c>
      <x:c r="C435" s="18" t="n">
        <x:v>100</x:v>
      </x:c>
      <x:c r="D435" s="27" t="n">
        <x:v>0</x:v>
      </x:c>
      <x:c r="E435" s="18" t="n">
        <x:f>INDEX('Assembly BOM'!$C$7:$C$162,MATCH($B435,'Assembly BOM'!$A$7:$A$162,0))</x:f>
        <x:v>1</x:v>
      </x:c>
      <x:c r="F435" s="18" t="n">
        <x:f>C435*E435</x:f>
        <x:v>100</x:v>
      </x:c>
      <x:c r="G435" s="18" t="n">
        <x:f>ROUNDUP(F435*(1+D435),0)</x:f>
        <x:v>100</x:v>
      </x:c>
      <x:c r="H435" s="18" t="n">
        <x:f>INDEX('Dated offers'!$F$7:$F$305,MATCH($Z435,'Dated offers'!$A$7:$A$305,0))</x:f>
        <x:v>1</x:v>
      </x:c>
      <x:c r="I435" s="18" t="n">
        <x:f>INDEX('Dated offers'!$G$7:$G$305,MATCH($Z435,'Dated offers'!$A$7:$A$305,0))</x:f>
        <x:v>1</x:v>
      </x:c>
      <x:c r="J435" s="18" t="n">
        <x:f>CEILING(MAX(G435,H435),I435)</x:f>
        <x:v>100</x:v>
      </x:c>
      <x:c r="K435" s="18" t="n">
        <x:v>100</x:v>
      </x:c>
      <x:c r="L435" s="18" t="n">
        <x:f>INDEX('Dated offers'!$I$7:$I$305,MATCH($Z435,'Dated offers'!$A$7:$A$305,0))</x:f>
        <x:v>100</x:v>
      </x:c>
      <x:c r="M435" s="25" t="n">
        <x:f>INDEX('Dated offers'!$J$7:$J$305,MATCH($Z435,'Dated offers'!$A$7:$A$305,0))</x:f>
        <x:v>0.7007</x:v>
      </x:c>
      <x:c r="N435" s="25" t="n">
        <x:f>INDEX('Dated offers'!$K$7:$K$305,MATCH($Z435,'Dated offers'!$A$7:$A$305,0))</x:f>
        <x:v>0</x:v>
      </x:c>
      <x:c r="O435" s="25" t="n">
        <x:f>F435*M435</x:f>
        <x:v>70.07</x:v>
      </x:c>
      <x:c r="P435" s="25" t="n">
        <x:f>G435*M435</x:f>
        <x:v>70.07</x:v>
      </x:c>
      <x:c r="Q435" s="25" t="n">
        <x:f>K435*M435+N435</x:f>
        <x:v>70.07</x:v>
      </x:c>
      <x:c r="R435" s="18" t="n">
        <x:f>K435-G435</x:f>
        <x:v>0</x:v>
      </x:c>
      <x:c r="S435" s="18" t="n">
        <x:f>INDEX('Dated offers'!$H$7:$H$305,MATCH($Z435,'Dated offers'!$A$7:$A$305,0))</x:f>
        <x:v>9132</x:v>
      </x:c>
      <x:c r="T435" s="2" t="str">
        <x:f>IF(K435&lt;G435,"Order below requirement",IF(K435&lt;L435,"Below price tier",IF(ISNUMBER(S435),IF(K435&gt;S435,"Quantity exceeds snapshot","Within quantity snapshot"),"Stock not stated")))</x:f>
        <x:v>Within quantity snapshot</x:v>
      </x:c>
      <x:c r="U435" s="2" t="str">
        <x:f>INDEX('Dated offers'!$C$7:$C$305,MATCH($Z435,'Dated offers'!$A$7:$A$305,0))</x:f>
        <x:v>LCSC</x:v>
      </x:c>
      <x:c r="V435" s="2" t="str">
        <x:f>INDEX('Dated offers'!$D$7:$D$305,MATCH($Z435,'Dated offers'!$A$7:$A$305,0))</x:f>
        <x:v>C882718</x:v>
      </x:c>
      <x:c r="W435" s="24" t="n">
        <x:f>INDEX('Dated offers'!$E$7:$E$305,MATCH($Z435,'Dated offers'!$A$7:$A$305,0))</x:f>
        <x:v>46307.447469618055</x:v>
      </x:c>
      <x:c r="X435" s="2" t="b">
        <x:f>INDEX('Dated offers'!$N$7:$N$305,MATCH($Z435,'Dated offers'!$A$7:$A$305,0))</x:f>
        <x:v>0</x:v>
      </x:c>
      <x:c r="Y435" s="2" t="str">
        <x:f>INDEX('Dated offers'!$O$7:$O$305,MATCH($Z435,'Dated offers'!$A$7:$A$305,0))</x:f>
        <x:v>Unreserved inventory snapshot</x:v>
      </x:c>
      <x:c r="Z435" s="17" t="str">
        <x:v>OF0259</x:v>
      </x:c>
      <x:c r="AA435" s="2"/>
      <x:c r="AB435" s="2" t="str">
        <x:f>INDEX('Dated offers'!$Q$7:$Q$305,MATCH($Z435,'Dated offers'!$A$7:$A$305,0))</x:f>
        <x:v>https://www.lcsc.com/product-detail/C882718.html</x:v>
      </x:c>
    </x:row>
    <x:row r="436" ht="24" customHeight="1">
      <x:c r="A436" s="2" t="str">
        <x:v>100 boards / nominal</x:v>
      </x:c>
      <x:c r="B436" s="17" t="str">
        <x:v>SN74LVC1G00DBVR</x:v>
      </x:c>
      <x:c r="C436" s="18" t="n">
        <x:v>100</x:v>
      </x:c>
      <x:c r="D436" s="27" t="n">
        <x:v>0</x:v>
      </x:c>
      <x:c r="E436" s="18" t="n">
        <x:f>INDEX('Assembly BOM'!$C$7:$C$162,MATCH($B436,'Assembly BOM'!$A$7:$A$162,0))</x:f>
        <x:v>2</x:v>
      </x:c>
      <x:c r="F436" s="18" t="n">
        <x:f>C436*E436</x:f>
        <x:v>200</x:v>
      </x:c>
      <x:c r="G436" s="18" t="n">
        <x:f>ROUNDUP(F436*(1+D436),0)</x:f>
        <x:v>200</x:v>
      </x:c>
      <x:c r="H436" s="18" t="n">
        <x:f>INDEX('Dated offers'!$F$7:$F$305,MATCH($Z436,'Dated offers'!$A$7:$A$305,0))</x:f>
        <x:v>5</x:v>
      </x:c>
      <x:c r="I436" s="18" t="n">
        <x:f>INDEX('Dated offers'!$G$7:$G$305,MATCH($Z436,'Dated offers'!$A$7:$A$305,0))</x:f>
        <x:v>5</x:v>
      </x:c>
      <x:c r="J436" s="18" t="n">
        <x:f>CEILING(MAX(G436,H436),I436)</x:f>
        <x:v>200</x:v>
      </x:c>
      <x:c r="K436" s="18" t="n">
        <x:v>200</x:v>
      </x:c>
      <x:c r="L436" s="18" t="n">
        <x:f>INDEX('Dated offers'!$I$7:$I$305,MATCH($Z436,'Dated offers'!$A$7:$A$305,0))</x:f>
        <x:v>150</x:v>
      </x:c>
      <x:c r="M436" s="25" t="n">
        <x:f>INDEX('Dated offers'!$J$7:$J$305,MATCH($Z436,'Dated offers'!$A$7:$A$305,0))</x:f>
        <x:v>0.0928</x:v>
      </x:c>
      <x:c r="N436" s="25" t="n">
        <x:f>INDEX('Dated offers'!$K$7:$K$305,MATCH($Z436,'Dated offers'!$A$7:$A$305,0))</x:f>
        <x:v>0</x:v>
      </x:c>
      <x:c r="O436" s="25" t="n">
        <x:f>F436*M436</x:f>
        <x:v>18.56</x:v>
      </x:c>
      <x:c r="P436" s="25" t="n">
        <x:f>G436*M436</x:f>
        <x:v>18.56</x:v>
      </x:c>
      <x:c r="Q436" s="25" t="n">
        <x:f>K436*M436+N436</x:f>
        <x:v>18.56</x:v>
      </x:c>
      <x:c r="R436" s="18" t="n">
        <x:f>K436-G436</x:f>
        <x:v>0</x:v>
      </x:c>
      <x:c r="S436" s="18" t="n">
        <x:f>INDEX('Dated offers'!$H$7:$H$305,MATCH($Z436,'Dated offers'!$A$7:$A$305,0))</x:f>
        <x:v>4575</x:v>
      </x:c>
      <x:c r="T436" s="2" t="str">
        <x:f>IF(K436&lt;G436,"Order below requirement",IF(K436&lt;L436,"Below price tier",IF(ISNUMBER(S436),IF(K436&gt;S436,"Quantity exceeds snapshot","Within quantity snapshot"),"Stock not stated")))</x:f>
        <x:v>Within quantity snapshot</x:v>
      </x:c>
      <x:c r="U436" s="2" t="str">
        <x:f>INDEX('Dated offers'!$C$7:$C$305,MATCH($Z436,'Dated offers'!$A$7:$A$305,0))</x:f>
        <x:v>LCSC</x:v>
      </x:c>
      <x:c r="V436" s="2" t="str">
        <x:f>INDEX('Dated offers'!$D$7:$D$305,MATCH($Z436,'Dated offers'!$A$7:$A$305,0))</x:f>
        <x:v>C7826</x:v>
      </x:c>
      <x:c r="W436" s="24" t="n">
        <x:f>INDEX('Dated offers'!$E$7:$E$305,MATCH($Z436,'Dated offers'!$A$7:$A$305,0))</x:f>
        <x:v>46307.447470416664</x:v>
      </x:c>
      <x:c r="X436" s="2" t="b">
        <x:f>INDEX('Dated offers'!$N$7:$N$305,MATCH($Z436,'Dated offers'!$A$7:$A$305,0))</x:f>
        <x:v>0</x:v>
      </x:c>
      <x:c r="Y436" s="2" t="str">
        <x:f>INDEX('Dated offers'!$O$7:$O$305,MATCH($Z436,'Dated offers'!$A$7:$A$305,0))</x:f>
        <x:v>Unreserved inventory snapshot</x:v>
      </x:c>
      <x:c r="Z436" s="17" t="str">
        <x:v>OF0260</x:v>
      </x:c>
      <x:c r="AA436" s="2"/>
      <x:c r="AB436" s="2" t="str">
        <x:f>INDEX('Dated offers'!$Q$7:$Q$305,MATCH($Z436,'Dated offers'!$A$7:$A$305,0))</x:f>
        <x:v>https://www.lcsc.com/product-detail/C7826.html</x:v>
      </x:c>
    </x:row>
    <x:row r="437" ht="24" customHeight="1">
      <x:c r="A437" s="2" t="str">
        <x:v>100 boards / nominal</x:v>
      </x:c>
      <x:c r="B437" s="17" t="str">
        <x:v>SN74LVC1G04DBVR</x:v>
      </x:c>
      <x:c r="C437" s="18" t="n">
        <x:v>100</x:v>
      </x:c>
      <x:c r="D437" s="27" t="n">
        <x:v>0</x:v>
      </x:c>
      <x:c r="E437" s="18" t="n">
        <x:f>INDEX('Assembly BOM'!$C$7:$C$162,MATCH($B437,'Assembly BOM'!$A$7:$A$162,0))</x:f>
        <x:v>1</x:v>
      </x:c>
      <x:c r="F437" s="18" t="n">
        <x:f>C437*E437</x:f>
        <x:v>100</x:v>
      </x:c>
      <x:c r="G437" s="18" t="n">
        <x:f>ROUNDUP(F437*(1+D437),0)</x:f>
        <x:v>100</x:v>
      </x:c>
      <x:c r="H437" s="18" t="n">
        <x:f>INDEX('Dated offers'!$F$7:$F$305,MATCH($Z437,'Dated offers'!$A$7:$A$305,0))</x:f>
        <x:v>1</x:v>
      </x:c>
      <x:c r="I437" s="18" t="n">
        <x:f>INDEX('Dated offers'!$G$7:$G$305,MATCH($Z437,'Dated offers'!$A$7:$A$305,0))</x:f>
        <x:v>1</x:v>
      </x:c>
      <x:c r="J437" s="18" t="n">
        <x:f>CEILING(MAX(G437,H437),I437)</x:f>
        <x:v>100</x:v>
      </x:c>
      <x:c r="K437" s="18" t="n">
        <x:v>100</x:v>
      </x:c>
      <x:c r="L437" s="18" t="n">
        <x:f>INDEX('Dated offers'!$I$7:$I$305,MATCH($Z437,'Dated offers'!$A$7:$A$305,0))</x:f>
        <x:v>100</x:v>
      </x:c>
      <x:c r="M437" s="25" t="n">
        <x:f>INDEX('Dated offers'!$J$7:$J$305,MATCH($Z437,'Dated offers'!$A$7:$A$305,0))</x:f>
        <x:v>0.0735</x:v>
      </x:c>
      <x:c r="N437" s="25" t="n">
        <x:f>INDEX('Dated offers'!$K$7:$K$305,MATCH($Z437,'Dated offers'!$A$7:$A$305,0))</x:f>
        <x:v>0</x:v>
      </x:c>
      <x:c r="O437" s="25" t="n">
        <x:f>F437*M437</x:f>
        <x:v>7.35</x:v>
      </x:c>
      <x:c r="P437" s="25" t="n">
        <x:f>G437*M437</x:f>
        <x:v>7.35</x:v>
      </x:c>
      <x:c r="Q437" s="25" t="n">
        <x:f>K437*M437+N437</x:f>
        <x:v>7.35</x:v>
      </x:c>
      <x:c r="R437" s="18" t="n">
        <x:f>K437-G437</x:f>
        <x:v>0</x:v>
      </x:c>
      <x:c r="S437" s="18" t="n">
        <x:f>INDEX('Dated offers'!$H$7:$H$305,MATCH($Z437,'Dated offers'!$A$7:$A$305,0))</x:f>
        <x:v>353596</x:v>
      </x:c>
      <x:c r="T437" s="2" t="str">
        <x:f>IF(K437&lt;G437,"Order below requirement",IF(K437&lt;L437,"Below price tier",IF(ISNUMBER(S437),IF(K437&gt;S437,"Quantity exceeds snapshot","Within quantity snapshot"),"Stock not stated")))</x:f>
        <x:v>Within quantity snapshot</x:v>
      </x:c>
      <x:c r="U437" s="2" t="str">
        <x:f>INDEX('Dated offers'!$C$7:$C$305,MATCH($Z437,'Dated offers'!$A$7:$A$305,0))</x:f>
        <x:v>DigiKey</x:v>
      </x:c>
      <x:c r="V437" s="2" t="str">
        <x:f>INDEX('Dated offers'!$D$7:$D$305,MATCH($Z437,'Dated offers'!$A$7:$A$305,0))</x:f>
        <x:v>Not stated</x:v>
      </x:c>
      <x:c r="W437" s="24" t="n">
        <x:f>INDEX('Dated offers'!$E$7:$E$305,MATCH($Z437,'Dated offers'!$A$7:$A$305,0))</x:f>
        <x:v>46307.478072708334</x:v>
      </x:c>
      <x:c r="X437" s="2" t="b">
        <x:f>INDEX('Dated offers'!$N$7:$N$305,MATCH($Z437,'Dated offers'!$A$7:$A$305,0))</x:f>
        <x:v>0</x:v>
      </x:c>
      <x:c r="Y437" s="2" t="str">
        <x:f>INDEX('Dated offers'!$O$7:$O$305,MATCH($Z437,'Dated offers'!$A$7:$A$305,0))</x:f>
        <x:v>Unreserved inventory snapshot</x:v>
      </x:c>
      <x:c r="Z437" s="17" t="str">
        <x:v>OF0261</x:v>
      </x:c>
      <x:c r="AA437" s="2"/>
      <x:c r="AB437" s="2" t="str">
        <x:f>INDEX('Dated offers'!$Q$7:$Q$305,MATCH($Z437,'Dated offers'!$A$7:$A$305,0))</x:f>
        <x:v>https://www.digikey.com/en/products/detail/texas-instruments/SN74LVC1G04DBVR/385716</x:v>
      </x:c>
    </x:row>
    <x:row r="438" ht="24" customHeight="1">
      <x:c r="A438" s="2" t="str">
        <x:v>100 boards / nominal</x:v>
      </x:c>
      <x:c r="B438" s="17" t="str">
        <x:v>SN74LVC1G08DBVR</x:v>
      </x:c>
      <x:c r="C438" s="18" t="n">
        <x:v>100</x:v>
      </x:c>
      <x:c r="D438" s="27" t="n">
        <x:v>0</x:v>
      </x:c>
      <x:c r="E438" s="18" t="n">
        <x:f>INDEX('Assembly BOM'!$C$7:$C$162,MATCH($B438,'Assembly BOM'!$A$7:$A$162,0))</x:f>
        <x:v>2</x:v>
      </x:c>
      <x:c r="F438" s="18" t="n">
        <x:f>C438*E438</x:f>
        <x:v>200</x:v>
      </x:c>
      <x:c r="G438" s="18" t="n">
        <x:f>ROUNDUP(F438*(1+D438),0)</x:f>
        <x:v>200</x:v>
      </x:c>
      <x:c r="H438" s="18" t="n">
        <x:f>INDEX('Dated offers'!$F$7:$F$305,MATCH($Z438,'Dated offers'!$A$7:$A$305,0))</x:f>
        <x:v>1</x:v>
      </x:c>
      <x:c r="I438" s="18" t="n">
        <x:f>INDEX('Dated offers'!$G$7:$G$305,MATCH($Z438,'Dated offers'!$A$7:$A$305,0))</x:f>
        <x:v>1</x:v>
      </x:c>
      <x:c r="J438" s="18" t="n">
        <x:f>CEILING(MAX(G438,H438),I438)</x:f>
        <x:v>200</x:v>
      </x:c>
      <x:c r="K438" s="18" t="n">
        <x:v>200</x:v>
      </x:c>
      <x:c r="L438" s="18" t="n">
        <x:f>INDEX('Dated offers'!$I$7:$I$305,MATCH($Z438,'Dated offers'!$A$7:$A$305,0))</x:f>
        <x:v>100</x:v>
      </x:c>
      <x:c r="M438" s="25" t="n">
        <x:f>INDEX('Dated offers'!$J$7:$J$305,MATCH($Z438,'Dated offers'!$A$7:$A$305,0))</x:f>
        <x:v>0.0599</x:v>
      </x:c>
      <x:c r="N438" s="25" t="n">
        <x:f>INDEX('Dated offers'!$K$7:$K$305,MATCH($Z438,'Dated offers'!$A$7:$A$305,0))</x:f>
        <x:v>0</x:v>
      </x:c>
      <x:c r="O438" s="25" t="n">
        <x:f>F438*M438</x:f>
        <x:v>11.98</x:v>
      </x:c>
      <x:c r="P438" s="25" t="n">
        <x:f>G438*M438</x:f>
        <x:v>11.98</x:v>
      </x:c>
      <x:c r="Q438" s="25" t="n">
        <x:f>K438*M438+N438</x:f>
        <x:v>11.98</x:v>
      </x:c>
      <x:c r="R438" s="18" t="n">
        <x:f>K438-G438</x:f>
        <x:v>0</x:v>
      </x:c>
      <x:c r="S438" s="18" t="n">
        <x:f>INDEX('Dated offers'!$H$7:$H$305,MATCH($Z438,'Dated offers'!$A$7:$A$305,0))</x:f>
        <x:v>112885</x:v>
      </x:c>
      <x:c r="T438" s="2" t="str">
        <x:f>IF(K438&lt;G438,"Order below requirement",IF(K438&lt;L438,"Below price tier",IF(ISNUMBER(S438),IF(K438&gt;S438,"Quantity exceeds snapshot","Within quantity snapshot"),"Stock not stated")))</x:f>
        <x:v>Within quantity snapshot</x:v>
      </x:c>
      <x:c r="U438" s="2" t="str">
        <x:f>INDEX('Dated offers'!$C$7:$C$305,MATCH($Z438,'Dated offers'!$A$7:$A$305,0))</x:f>
        <x:v>DigiKey</x:v>
      </x:c>
      <x:c r="V438" s="2" t="str">
        <x:f>INDEX('Dated offers'!$D$7:$D$305,MATCH($Z438,'Dated offers'!$A$7:$A$305,0))</x:f>
        <x:v>Not stated</x:v>
      </x:c>
      <x:c r="W438" s="24" t="n">
        <x:f>INDEX('Dated offers'!$E$7:$E$305,MATCH($Z438,'Dated offers'!$A$7:$A$305,0))</x:f>
        <x:v>46307.47807271991</x:v>
      </x:c>
      <x:c r="X438" s="2" t="b">
        <x:f>INDEX('Dated offers'!$N$7:$N$305,MATCH($Z438,'Dated offers'!$A$7:$A$305,0))</x:f>
        <x:v>0</x:v>
      </x:c>
      <x:c r="Y438" s="2" t="str">
        <x:f>INDEX('Dated offers'!$O$7:$O$305,MATCH($Z438,'Dated offers'!$A$7:$A$305,0))</x:f>
        <x:v>Unreserved inventory snapshot</x:v>
      </x:c>
      <x:c r="Z438" s="17" t="str">
        <x:v>OF0262</x:v>
      </x:c>
      <x:c r="AA438" s="2"/>
      <x:c r="AB438" s="2" t="str">
        <x:f>INDEX('Dated offers'!$Q$7:$Q$305,MATCH($Z438,'Dated offers'!$A$7:$A$305,0))</x:f>
        <x:v>https://www.digikey.com/en/products/detail/texas-instruments/SN74LVC1G08DBVR/385718</x:v>
      </x:c>
    </x:row>
    <x:row r="439" ht="24" customHeight="1">
      <x:c r="A439" s="2" t="str">
        <x:v>100 boards / nominal</x:v>
      </x:c>
      <x:c r="B439" s="17" t="str">
        <x:v>SN74LVC1G11DBVR</x:v>
      </x:c>
      <x:c r="C439" s="18" t="n">
        <x:v>100</x:v>
      </x:c>
      <x:c r="D439" s="27" t="n">
        <x:v>0</x:v>
      </x:c>
      <x:c r="E439" s="18" t="n">
        <x:f>INDEX('Assembly BOM'!$C$7:$C$162,MATCH($B439,'Assembly BOM'!$A$7:$A$162,0))</x:f>
        <x:v>3</x:v>
      </x:c>
      <x:c r="F439" s="18" t="n">
        <x:f>C439*E439</x:f>
        <x:v>300</x:v>
      </x:c>
      <x:c r="G439" s="18" t="n">
        <x:f>ROUNDUP(F439*(1+D439),0)</x:f>
        <x:v>300</x:v>
      </x:c>
      <x:c r="H439" s="18" t="n">
        <x:f>INDEX('Dated offers'!$F$7:$F$305,MATCH($Z439,'Dated offers'!$A$7:$A$305,0))</x:f>
        <x:v>1</x:v>
      </x:c>
      <x:c r="I439" s="18" t="n">
        <x:f>INDEX('Dated offers'!$G$7:$G$305,MATCH($Z439,'Dated offers'!$A$7:$A$305,0))</x:f>
        <x:v>1</x:v>
      </x:c>
      <x:c r="J439" s="18" t="n">
        <x:f>CEILING(MAX(G439,H439),I439)</x:f>
        <x:v>300</x:v>
      </x:c>
      <x:c r="K439" s="18" t="n">
        <x:v>300</x:v>
      </x:c>
      <x:c r="L439" s="18" t="n">
        <x:f>INDEX('Dated offers'!$I$7:$I$305,MATCH($Z439,'Dated offers'!$A$7:$A$305,0))</x:f>
        <x:v>250</x:v>
      </x:c>
      <x:c r="M439" s="25" t="n">
        <x:f>INDEX('Dated offers'!$J$7:$J$305,MATCH($Z439,'Dated offers'!$A$7:$A$305,0))</x:f>
        <x:v>0.18668</x:v>
      </x:c>
      <x:c r="N439" s="25" t="n">
        <x:f>INDEX('Dated offers'!$K$7:$K$305,MATCH($Z439,'Dated offers'!$A$7:$A$305,0))</x:f>
        <x:v>0</x:v>
      </x:c>
      <x:c r="O439" s="25" t="n">
        <x:f>F439*M439</x:f>
        <x:v>56.004000000000005</x:v>
      </x:c>
      <x:c r="P439" s="25" t="n">
        <x:f>G439*M439</x:f>
        <x:v>56.004000000000005</x:v>
      </x:c>
      <x:c r="Q439" s="25" t="n">
        <x:f>K439*M439+N439</x:f>
        <x:v>56.004000000000005</x:v>
      </x:c>
      <x:c r="R439" s="18" t="n">
        <x:f>K439-G439</x:f>
        <x:v>0</x:v>
      </x:c>
      <x:c r="S439" s="18" t="n">
        <x:f>INDEX('Dated offers'!$H$7:$H$305,MATCH($Z439,'Dated offers'!$A$7:$A$305,0))</x:f>
        <x:v>90366</x:v>
      </x:c>
      <x:c r="T439" s="2" t="str">
        <x:f>IF(K439&lt;G439,"Order below requirement",IF(K439&lt;L439,"Below price tier",IF(ISNUMBER(S439),IF(K439&gt;S439,"Quantity exceeds snapshot","Within quantity snapshot"),"Stock not stated")))</x:f>
        <x:v>Within quantity snapshot</x:v>
      </x:c>
      <x:c r="U439" s="2" t="str">
        <x:f>INDEX('Dated offers'!$C$7:$C$305,MATCH($Z439,'Dated offers'!$A$7:$A$305,0))</x:f>
        <x:v>DigiKey</x:v>
      </x:c>
      <x:c r="V439" s="2" t="str">
        <x:f>INDEX('Dated offers'!$D$7:$D$305,MATCH($Z439,'Dated offers'!$A$7:$A$305,0))</x:f>
        <x:v>Not stated</x:v>
      </x:c>
      <x:c r="W439" s="24" t="n">
        <x:f>INDEX('Dated offers'!$E$7:$E$305,MATCH($Z439,'Dated offers'!$A$7:$A$305,0))</x:f>
        <x:v>46307.478072708334</x:v>
      </x:c>
      <x:c r="X439" s="2" t="b">
        <x:f>INDEX('Dated offers'!$N$7:$N$305,MATCH($Z439,'Dated offers'!$A$7:$A$305,0))</x:f>
        <x:v>0</x:v>
      </x:c>
      <x:c r="Y439" s="2" t="str">
        <x:f>INDEX('Dated offers'!$O$7:$O$305,MATCH($Z439,'Dated offers'!$A$7:$A$305,0))</x:f>
        <x:v>Unreserved inventory snapshot</x:v>
      </x:c>
      <x:c r="Z439" s="17" t="str">
        <x:v>OF0263</x:v>
      </x:c>
      <x:c r="AA439" s="2"/>
      <x:c r="AB439" s="2" t="str">
        <x:f>INDEX('Dated offers'!$Q$7:$Q$305,MATCH($Z439,'Dated offers'!$A$7:$A$305,0))</x:f>
        <x:v>https://www.digikey.com/en/products/detail/texas-instruments/SN74LVC1G11DBVR/637182</x:v>
      </x:c>
    </x:row>
    <x:row r="440" ht="24" customHeight="1">
      <x:c r="A440" s="2" t="str">
        <x:v>100 boards / nominal</x:v>
      </x:c>
      <x:c r="B440" s="17" t="str">
        <x:v>SN74LVC1G32DBVR</x:v>
      </x:c>
      <x:c r="C440" s="18" t="n">
        <x:v>100</x:v>
      </x:c>
      <x:c r="D440" s="27" t="n">
        <x:v>0</x:v>
      </x:c>
      <x:c r="E440" s="18" t="n">
        <x:f>INDEX('Assembly BOM'!$C$7:$C$162,MATCH($B440,'Assembly BOM'!$A$7:$A$162,0))</x:f>
        <x:v>1</x:v>
      </x:c>
      <x:c r="F440" s="18" t="n">
        <x:f>C440*E440</x:f>
        <x:v>100</x:v>
      </x:c>
      <x:c r="G440" s="18" t="n">
        <x:f>ROUNDUP(F440*(1+D440),0)</x:f>
        <x:v>100</x:v>
      </x:c>
      <x:c r="H440" s="18" t="n">
        <x:f>INDEX('Dated offers'!$F$7:$F$305,MATCH($Z440,'Dated offers'!$A$7:$A$305,0))</x:f>
        <x:v>10</x:v>
      </x:c>
      <x:c r="I440" s="18" t="n">
        <x:f>INDEX('Dated offers'!$G$7:$G$305,MATCH($Z440,'Dated offers'!$A$7:$A$305,0))</x:f>
        <x:v>10</x:v>
      </x:c>
      <x:c r="J440" s="18" t="n">
        <x:f>CEILING(MAX(G440,H440),I440)</x:f>
        <x:v>100</x:v>
      </x:c>
      <x:c r="K440" s="18" t="n">
        <x:v>100</x:v>
      </x:c>
      <x:c r="L440" s="18" t="n">
        <x:f>INDEX('Dated offers'!$I$7:$I$305,MATCH($Z440,'Dated offers'!$A$7:$A$305,0))</x:f>
        <x:v>100</x:v>
      </x:c>
      <x:c r="M440" s="25" t="n">
        <x:f>INDEX('Dated offers'!$J$7:$J$305,MATCH($Z440,'Dated offers'!$A$7:$A$305,0))</x:f>
        <x:v>0.0569</x:v>
      </x:c>
      <x:c r="N440" s="25" t="n">
        <x:f>INDEX('Dated offers'!$K$7:$K$305,MATCH($Z440,'Dated offers'!$A$7:$A$305,0))</x:f>
        <x:v>0</x:v>
      </x:c>
      <x:c r="O440" s="25" t="n">
        <x:f>F440*M440</x:f>
        <x:v>5.6899999999999995</x:v>
      </x:c>
      <x:c r="P440" s="25" t="n">
        <x:f>G440*M440</x:f>
        <x:v>5.6899999999999995</x:v>
      </x:c>
      <x:c r="Q440" s="25" t="n">
        <x:f>K440*M440+N440</x:f>
        <x:v>5.6899999999999995</x:v>
      </x:c>
      <x:c r="R440" s="18" t="n">
        <x:f>K440-G440</x:f>
        <x:v>0</x:v>
      </x:c>
      <x:c r="S440" s="18" t="n">
        <x:f>INDEX('Dated offers'!$H$7:$H$305,MATCH($Z440,'Dated offers'!$A$7:$A$305,0))</x:f>
        <x:v>108990</x:v>
      </x:c>
      <x:c r="T440" s="2" t="str">
        <x:f>IF(K440&lt;G440,"Order below requirement",IF(K440&lt;L440,"Below price tier",IF(ISNUMBER(S440),IF(K440&gt;S440,"Quantity exceeds snapshot","Within quantity snapshot"),"Stock not stated")))</x:f>
        <x:v>Within quantity snapshot</x:v>
      </x:c>
      <x:c r="U440" s="2" t="str">
        <x:f>INDEX('Dated offers'!$C$7:$C$305,MATCH($Z440,'Dated offers'!$A$7:$A$305,0))</x:f>
        <x:v>LCSC</x:v>
      </x:c>
      <x:c r="V440" s="2" t="str">
        <x:f>INDEX('Dated offers'!$D$7:$D$305,MATCH($Z440,'Dated offers'!$A$7:$A$305,0))</x:f>
        <x:v>C10096</x:v>
      </x:c>
      <x:c r="W440" s="24" t="n">
        <x:f>INDEX('Dated offers'!$E$7:$E$305,MATCH($Z440,'Dated offers'!$A$7:$A$305,0))</x:f>
        <x:v>46307.447472025466</x:v>
      </x:c>
      <x:c r="X440" s="2" t="b">
        <x:f>INDEX('Dated offers'!$N$7:$N$305,MATCH($Z440,'Dated offers'!$A$7:$A$305,0))</x:f>
        <x:v>0</x:v>
      </x:c>
      <x:c r="Y440" s="2" t="str">
        <x:f>INDEX('Dated offers'!$O$7:$O$305,MATCH($Z440,'Dated offers'!$A$7:$A$305,0))</x:f>
        <x:v>Unreserved inventory snapshot</x:v>
      </x:c>
      <x:c r="Z440" s="17" t="str">
        <x:v>OF0264</x:v>
      </x:c>
      <x:c r="AA440" s="2"/>
      <x:c r="AB440" s="2" t="str">
        <x:f>INDEX('Dated offers'!$Q$7:$Q$305,MATCH($Z440,'Dated offers'!$A$7:$A$305,0))</x:f>
        <x:v>https://www.lcsc.com/product-detail/C10096.html</x:v>
      </x:c>
    </x:row>
    <x:row r="441" ht="24" customHeight="1">
      <x:c r="A441" s="2" t="str">
        <x:v>100 boards / nominal</x:v>
      </x:c>
      <x:c r="B441" s="17" t="str">
        <x:v>SN74LVC1G97DBVR</x:v>
      </x:c>
      <x:c r="C441" s="18" t="n">
        <x:v>100</x:v>
      </x:c>
      <x:c r="D441" s="27" t="n">
        <x:v>0</x:v>
      </x:c>
      <x:c r="E441" s="18" t="n">
        <x:f>INDEX('Assembly BOM'!$C$7:$C$162,MATCH($B441,'Assembly BOM'!$A$7:$A$162,0))</x:f>
        <x:v>3</x:v>
      </x:c>
      <x:c r="F441" s="18" t="n">
        <x:f>C441*E441</x:f>
        <x:v>300</x:v>
      </x:c>
      <x:c r="G441" s="18" t="n">
        <x:f>ROUNDUP(F441*(1+D441),0)</x:f>
        <x:v>300</x:v>
      </x:c>
      <x:c r="H441" s="18" t="n">
        <x:f>INDEX('Dated offers'!$F$7:$F$305,MATCH($Z441,'Dated offers'!$A$7:$A$305,0))</x:f>
        <x:v>1</x:v>
      </x:c>
      <x:c r="I441" s="18" t="n">
        <x:f>INDEX('Dated offers'!$G$7:$G$305,MATCH($Z441,'Dated offers'!$A$7:$A$305,0))</x:f>
        <x:v>1</x:v>
      </x:c>
      <x:c r="J441" s="18" t="n">
        <x:f>CEILING(MAX(G441,H441),I441)</x:f>
        <x:v>300</x:v>
      </x:c>
      <x:c r="K441" s="18" t="n">
        <x:v>300</x:v>
      </x:c>
      <x:c r="L441" s="18" t="n">
        <x:f>INDEX('Dated offers'!$I$7:$I$305,MATCH($Z441,'Dated offers'!$A$7:$A$305,0))</x:f>
        <x:v>250</x:v>
      </x:c>
      <x:c r="M441" s="25" t="n">
        <x:f>INDEX('Dated offers'!$J$7:$J$305,MATCH($Z441,'Dated offers'!$A$7:$A$305,0))</x:f>
        <x:v>0.11148</x:v>
      </x:c>
      <x:c r="N441" s="25" t="n">
        <x:f>INDEX('Dated offers'!$K$7:$K$305,MATCH($Z441,'Dated offers'!$A$7:$A$305,0))</x:f>
        <x:v>0</x:v>
      </x:c>
      <x:c r="O441" s="25" t="n">
        <x:f>F441*M441</x:f>
        <x:v>33.443999999999996</x:v>
      </x:c>
      <x:c r="P441" s="25" t="n">
        <x:f>G441*M441</x:f>
        <x:v>33.443999999999996</x:v>
      </x:c>
      <x:c r="Q441" s="25" t="n">
        <x:f>K441*M441+N441</x:f>
        <x:v>33.443999999999996</x:v>
      </x:c>
      <x:c r="R441" s="18" t="n">
        <x:f>K441-G441</x:f>
        <x:v>0</x:v>
      </x:c>
      <x:c r="S441" s="18" t="n">
        <x:f>INDEX('Dated offers'!$H$7:$H$305,MATCH($Z441,'Dated offers'!$A$7:$A$305,0))</x:f>
        <x:v>24044</x:v>
      </x:c>
      <x:c r="T441" s="2" t="str">
        <x:f>IF(K441&lt;G441,"Order below requirement",IF(K441&lt;L441,"Below price tier",IF(ISNUMBER(S441),IF(K441&gt;S441,"Quantity exceeds snapshot","Within quantity snapshot"),"Stock not stated")))</x:f>
        <x:v>Within quantity snapshot</x:v>
      </x:c>
      <x:c r="U441" s="2" t="str">
        <x:f>INDEX('Dated offers'!$C$7:$C$305,MATCH($Z441,'Dated offers'!$A$7:$A$305,0))</x:f>
        <x:v>DigiKey</x:v>
      </x:c>
      <x:c r="V441" s="2" t="str">
        <x:f>INDEX('Dated offers'!$D$7:$D$305,MATCH($Z441,'Dated offers'!$A$7:$A$305,0))</x:f>
        <x:v>Not stated</x:v>
      </x:c>
      <x:c r="W441" s="24" t="n">
        <x:f>INDEX('Dated offers'!$E$7:$E$305,MATCH($Z441,'Dated offers'!$A$7:$A$305,0))</x:f>
        <x:v>46307.47807267361</x:v>
      </x:c>
      <x:c r="X441" s="2" t="b">
        <x:f>INDEX('Dated offers'!$N$7:$N$305,MATCH($Z441,'Dated offers'!$A$7:$A$305,0))</x:f>
        <x:v>0</x:v>
      </x:c>
      <x:c r="Y441" s="2" t="str">
        <x:f>INDEX('Dated offers'!$O$7:$O$305,MATCH($Z441,'Dated offers'!$A$7:$A$305,0))</x:f>
        <x:v>Unreserved inventory snapshot</x:v>
      </x:c>
      <x:c r="Z441" s="17" t="str">
        <x:v>OF0265</x:v>
      </x:c>
      <x:c r="AA441" s="2"/>
      <x:c r="AB441" s="2" t="str">
        <x:f>INDEX('Dated offers'!$Q$7:$Q$305,MATCH($Z441,'Dated offers'!$A$7:$A$305,0))</x:f>
        <x:v>https://www.digikey.com/en/products/detail/texas-instruments/SN74LVC1G97DBVR/571196</x:v>
      </x:c>
    </x:row>
    <x:row r="442" ht="24" customHeight="1">
      <x:c r="A442" s="2" t="str">
        <x:v>100 boards / nominal</x:v>
      </x:c>
      <x:c r="B442" s="17" t="str">
        <x:v>SN74LVC2G125DCUR</x:v>
      </x:c>
      <x:c r="C442" s="18" t="n">
        <x:v>100</x:v>
      </x:c>
      <x:c r="D442" s="27" t="n">
        <x:v>0</x:v>
      </x:c>
      <x:c r="E442" s="18" t="n">
        <x:f>INDEX('Assembly BOM'!$C$7:$C$162,MATCH($B442,'Assembly BOM'!$A$7:$A$162,0))</x:f>
        <x:v>1</x:v>
      </x:c>
      <x:c r="F442" s="18" t="n">
        <x:f>C442*E442</x:f>
        <x:v>100</x:v>
      </x:c>
      <x:c r="G442" s="18" t="n">
        <x:f>ROUNDUP(F442*(1+D442),0)</x:f>
        <x:v>100</x:v>
      </x:c>
      <x:c r="H442" s="18" t="n">
        <x:f>INDEX('Dated offers'!$F$7:$F$305,MATCH($Z442,'Dated offers'!$A$7:$A$305,0))</x:f>
        <x:v>5</x:v>
      </x:c>
      <x:c r="I442" s="18" t="n">
        <x:f>INDEX('Dated offers'!$G$7:$G$305,MATCH($Z442,'Dated offers'!$A$7:$A$305,0))</x:f>
        <x:v>5</x:v>
      </x:c>
      <x:c r="J442" s="18" t="n">
        <x:f>CEILING(MAX(G442,H442),I442)</x:f>
        <x:v>100</x:v>
      </x:c>
      <x:c r="K442" s="18" t="n">
        <x:v>100</x:v>
      </x:c>
      <x:c r="L442" s="18" t="n">
        <x:f>INDEX('Dated offers'!$I$7:$I$305,MATCH($Z442,'Dated offers'!$A$7:$A$305,0))</x:f>
        <x:v>50</x:v>
      </x:c>
      <x:c r="M442" s="25" t="n">
        <x:f>INDEX('Dated offers'!$J$7:$J$305,MATCH($Z442,'Dated offers'!$A$7:$A$305,0))</x:f>
        <x:v>0.1639</x:v>
      </x:c>
      <x:c r="N442" s="25" t="n">
        <x:f>INDEX('Dated offers'!$K$7:$K$305,MATCH($Z442,'Dated offers'!$A$7:$A$305,0))</x:f>
        <x:v>0</x:v>
      </x:c>
      <x:c r="O442" s="25" t="n">
        <x:f>F442*M442</x:f>
        <x:v>16.39</x:v>
      </x:c>
      <x:c r="P442" s="25" t="n">
        <x:f>G442*M442</x:f>
        <x:v>16.39</x:v>
      </x:c>
      <x:c r="Q442" s="25" t="n">
        <x:f>K442*M442+N442</x:f>
        <x:v>16.39</x:v>
      </x:c>
      <x:c r="R442" s="18" t="n">
        <x:f>K442-G442</x:f>
        <x:v>0</x:v>
      </x:c>
      <x:c r="S442" s="18" t="n">
        <x:f>INDEX('Dated offers'!$H$7:$H$305,MATCH($Z442,'Dated offers'!$A$7:$A$305,0))</x:f>
        <x:v>255</x:v>
      </x:c>
      <x:c r="T442" s="2" t="str">
        <x:f>IF(K442&lt;G442,"Order below requirement",IF(K442&lt;L442,"Below price tier",IF(ISNUMBER(S442),IF(K442&gt;S442,"Quantity exceeds snapshot","Within quantity snapshot"),"Stock not stated")))</x:f>
        <x:v>Within quantity snapshot</x:v>
      </x:c>
      <x:c r="U442" s="2" t="str">
        <x:f>INDEX('Dated offers'!$C$7:$C$305,MATCH($Z442,'Dated offers'!$A$7:$A$305,0))</x:f>
        <x:v>LCSC</x:v>
      </x:c>
      <x:c r="V442" s="2" t="str">
        <x:f>INDEX('Dated offers'!$D$7:$D$305,MATCH($Z442,'Dated offers'!$A$7:$A$305,0))</x:f>
        <x:v>C21404</x:v>
      </x:c>
      <x:c r="W442" s="24" t="n">
        <x:f>INDEX('Dated offers'!$E$7:$E$305,MATCH($Z442,'Dated offers'!$A$7:$A$305,0))</x:f>
        <x:v>46307.44747895833</x:v>
      </x:c>
      <x:c r="X442" s="2" t="b">
        <x:f>INDEX('Dated offers'!$N$7:$N$305,MATCH($Z442,'Dated offers'!$A$7:$A$305,0))</x:f>
        <x:v>0</x:v>
      </x:c>
      <x:c r="Y442" s="2" t="str">
        <x:f>INDEX('Dated offers'!$O$7:$O$305,MATCH($Z442,'Dated offers'!$A$7:$A$305,0))</x:f>
        <x:v>Unreserved inventory snapshot</x:v>
      </x:c>
      <x:c r="Z442" s="17" t="str">
        <x:v>OF0266</x:v>
      </x:c>
      <x:c r="AA442" s="2"/>
      <x:c r="AB442" s="2" t="str">
        <x:f>INDEX('Dated offers'!$Q$7:$Q$305,MATCH($Z442,'Dated offers'!$A$7:$A$305,0))</x:f>
        <x:v>https://www.lcsc.com/product-detail/C21404.html</x:v>
      </x:c>
    </x:row>
    <x:row r="443" ht="24" customHeight="1">
      <x:c r="A443" s="2" t="str">
        <x:v>100 boards / nominal</x:v>
      </x:c>
      <x:c r="B443" s="17" t="str">
        <x:v>SN74LVC3G17DCUR</x:v>
      </x:c>
      <x:c r="C443" s="18" t="n">
        <x:v>100</x:v>
      </x:c>
      <x:c r="D443" s="27" t="n">
        <x:v>0</x:v>
      </x:c>
      <x:c r="E443" s="18" t="n">
        <x:f>INDEX('Assembly BOM'!$C$7:$C$162,MATCH($B443,'Assembly BOM'!$A$7:$A$162,0))</x:f>
        <x:v>1</x:v>
      </x:c>
      <x:c r="F443" s="18" t="n">
        <x:f>C443*E443</x:f>
        <x:v>100</x:v>
      </x:c>
      <x:c r="G443" s="18" t="n">
        <x:f>ROUNDUP(F443*(1+D443),0)</x:f>
        <x:v>100</x:v>
      </x:c>
      <x:c r="H443" s="18" t="n">
        <x:f>INDEX('Dated offers'!$F$7:$F$305,MATCH($Z443,'Dated offers'!$A$7:$A$305,0))</x:f>
        <x:v>1</x:v>
      </x:c>
      <x:c r="I443" s="18" t="n">
        <x:f>INDEX('Dated offers'!$G$7:$G$305,MATCH($Z443,'Dated offers'!$A$7:$A$305,0))</x:f>
        <x:v>1</x:v>
      </x:c>
      <x:c r="J443" s="18" t="n">
        <x:f>CEILING(MAX(G443,H443),I443)</x:f>
        <x:v>100</x:v>
      </x:c>
      <x:c r="K443" s="18" t="n">
        <x:v>100</x:v>
      </x:c>
      <x:c r="L443" s="18" t="n">
        <x:f>INDEX('Dated offers'!$I$7:$I$305,MATCH($Z443,'Dated offers'!$A$7:$A$305,0))</x:f>
        <x:v>100</x:v>
      </x:c>
      <x:c r="M443" s="25" t="n">
        <x:f>INDEX('Dated offers'!$J$7:$J$305,MATCH($Z443,'Dated offers'!$A$7:$A$305,0))</x:f>
        <x:v>0.2482</x:v>
      </x:c>
      <x:c r="N443" s="25" t="n">
        <x:f>INDEX('Dated offers'!$K$7:$K$305,MATCH($Z443,'Dated offers'!$A$7:$A$305,0))</x:f>
        <x:v>0</x:v>
      </x:c>
      <x:c r="O443" s="25" t="n">
        <x:f>F443*M443</x:f>
        <x:v>24.82</x:v>
      </x:c>
      <x:c r="P443" s="25" t="n">
        <x:f>G443*M443</x:f>
        <x:v>24.82</x:v>
      </x:c>
      <x:c r="Q443" s="25" t="n">
        <x:f>K443*M443+N443</x:f>
        <x:v>24.82</x:v>
      </x:c>
      <x:c r="R443" s="18" t="n">
        <x:f>K443-G443</x:f>
        <x:v>0</x:v>
      </x:c>
      <x:c r="S443" s="18" t="n">
        <x:f>INDEX('Dated offers'!$H$7:$H$305,MATCH($Z443,'Dated offers'!$A$7:$A$305,0))</x:f>
        <x:v>7399</x:v>
      </x:c>
      <x:c r="T443" s="2" t="str">
        <x:f>IF(K443&lt;G443,"Order below requirement",IF(K443&lt;L443,"Below price tier",IF(ISNUMBER(S443),IF(K443&gt;S443,"Quantity exceeds snapshot","Within quantity snapshot"),"Stock not stated")))</x:f>
        <x:v>Within quantity snapshot</x:v>
      </x:c>
      <x:c r="U443" s="2" t="str">
        <x:f>INDEX('Dated offers'!$C$7:$C$305,MATCH($Z443,'Dated offers'!$A$7:$A$305,0))</x:f>
        <x:v>DigiKey</x:v>
      </x:c>
      <x:c r="V443" s="2" t="str">
        <x:f>INDEX('Dated offers'!$D$7:$D$305,MATCH($Z443,'Dated offers'!$A$7:$A$305,0))</x:f>
        <x:v>Not stated</x:v>
      </x:c>
      <x:c r="W443" s="24" t="n">
        <x:f>INDEX('Dated offers'!$E$7:$E$305,MATCH($Z443,'Dated offers'!$A$7:$A$305,0))</x:f>
        <x:v>46307.47807267361</x:v>
      </x:c>
      <x:c r="X443" s="2" t="b">
        <x:f>INDEX('Dated offers'!$N$7:$N$305,MATCH($Z443,'Dated offers'!$A$7:$A$305,0))</x:f>
        <x:v>0</x:v>
      </x:c>
      <x:c r="Y443" s="2" t="str">
        <x:f>INDEX('Dated offers'!$O$7:$O$305,MATCH($Z443,'Dated offers'!$A$7:$A$305,0))</x:f>
        <x:v>Unreserved inventory snapshot</x:v>
      </x:c>
      <x:c r="Z443" s="17" t="str">
        <x:v>OF0267</x:v>
      </x:c>
      <x:c r="AA443" s="2"/>
      <x:c r="AB443" s="2" t="str">
        <x:f>INDEX('Dated offers'!$Q$7:$Q$305,MATCH($Z443,'Dated offers'!$A$7:$A$305,0))</x:f>
        <x:v>https://www.digikey.com/en/products/detail/texas-instruments/SN74LVC3G17DCUR/863652</x:v>
      </x:c>
    </x:row>
    <x:row r="444" ht="24" customHeight="1">
      <x:c r="A444" s="2" t="str">
        <x:v>100 boards / nominal</x:v>
      </x:c>
      <x:c r="B444" s="17" t="str">
        <x:v>SRP1265A-220M</x:v>
      </x:c>
      <x:c r="C444" s="18" t="n">
        <x:v>100</x:v>
      </x:c>
      <x:c r="D444" s="27" t="n">
        <x:v>0</x:v>
      </x:c>
      <x:c r="E444" s="18" t="n">
        <x:f>INDEX('Assembly BOM'!$C$7:$C$162,MATCH($B444,'Assembly BOM'!$A$7:$A$162,0))</x:f>
        <x:v>1</x:v>
      </x:c>
      <x:c r="F444" s="18" t="n">
        <x:f>C444*E444</x:f>
        <x:v>100</x:v>
      </x:c>
      <x:c r="G444" s="18" t="n">
        <x:f>ROUNDUP(F444*(1+D444),0)</x:f>
        <x:v>100</x:v>
      </x:c>
      <x:c r="H444" s="18" t="n">
        <x:f>INDEX('Dated offers'!$F$7:$F$305,MATCH($Z444,'Dated offers'!$A$7:$A$305,0))</x:f>
        <x:v>1</x:v>
      </x:c>
      <x:c r="I444" s="18" t="n">
        <x:f>INDEX('Dated offers'!$G$7:$G$305,MATCH($Z444,'Dated offers'!$A$7:$A$305,0))</x:f>
        <x:v>1</x:v>
      </x:c>
      <x:c r="J444" s="18" t="n">
        <x:f>CEILING(MAX(G444,H444),I444)</x:f>
        <x:v>100</x:v>
      </x:c>
      <x:c r="K444" s="18" t="n">
        <x:v>100</x:v>
      </x:c>
      <x:c r="L444" s="18" t="n">
        <x:f>INDEX('Dated offers'!$I$7:$I$305,MATCH($Z444,'Dated offers'!$A$7:$A$305,0))</x:f>
        <x:v>100</x:v>
      </x:c>
      <x:c r="M444" s="25" t="n">
        <x:f>INDEX('Dated offers'!$J$7:$J$305,MATCH($Z444,'Dated offers'!$A$7:$A$305,0))</x:f>
        <x:v>1.1288</x:v>
      </x:c>
      <x:c r="N444" s="25" t="n">
        <x:f>INDEX('Dated offers'!$K$7:$K$305,MATCH($Z444,'Dated offers'!$A$7:$A$305,0))</x:f>
        <x:v>0</x:v>
      </x:c>
      <x:c r="O444" s="25" t="n">
        <x:f>F444*M444</x:f>
        <x:v>112.88</x:v>
      </x:c>
      <x:c r="P444" s="25" t="n">
        <x:f>G444*M444</x:f>
        <x:v>112.88</x:v>
      </x:c>
      <x:c r="Q444" s="25" t="n">
        <x:f>K444*M444+N444</x:f>
        <x:v>112.88</x:v>
      </x:c>
      <x:c r="R444" s="18" t="n">
        <x:f>K444-G444</x:f>
        <x:v>0</x:v>
      </x:c>
      <x:c r="S444" s="18" t="n">
        <x:f>INDEX('Dated offers'!$H$7:$H$305,MATCH($Z444,'Dated offers'!$A$7:$A$305,0))</x:f>
        <x:v>5520</x:v>
      </x:c>
      <x:c r="T444" s="2" t="str">
        <x:f>IF(K444&lt;G444,"Order below requirement",IF(K444&lt;L444,"Below price tier",IF(ISNUMBER(S444),IF(K444&gt;S444,"Quantity exceeds snapshot","Within quantity snapshot"),"Stock not stated")))</x:f>
        <x:v>Within quantity snapshot</x:v>
      </x:c>
      <x:c r="U444" s="2" t="str">
        <x:f>INDEX('Dated offers'!$C$7:$C$305,MATCH($Z444,'Dated offers'!$A$7:$A$305,0))</x:f>
        <x:v>DigiKey</x:v>
      </x:c>
      <x:c r="V444" s="2" t="str">
        <x:f>INDEX('Dated offers'!$D$7:$D$305,MATCH($Z444,'Dated offers'!$A$7:$A$305,0))</x:f>
        <x:v>Not stated</x:v>
      </x:c>
      <x:c r="W444" s="24" t="n">
        <x:f>INDEX('Dated offers'!$E$7:$E$305,MATCH($Z444,'Dated offers'!$A$7:$A$305,0))</x:f>
        <x:v>46307.47807266204</x:v>
      </x:c>
      <x:c r="X444" s="2" t="b">
        <x:f>INDEX('Dated offers'!$N$7:$N$305,MATCH($Z444,'Dated offers'!$A$7:$A$305,0))</x:f>
        <x:v>0</x:v>
      </x:c>
      <x:c r="Y444" s="2" t="str">
        <x:f>INDEX('Dated offers'!$O$7:$O$305,MATCH($Z444,'Dated offers'!$A$7:$A$305,0))</x:f>
        <x:v>Unreserved inventory snapshot</x:v>
      </x:c>
      <x:c r="Z444" s="17" t="str">
        <x:v>OF0268</x:v>
      </x:c>
      <x:c r="AA444" s="2"/>
      <x:c r="AB444" s="2" t="str">
        <x:f>INDEX('Dated offers'!$Q$7:$Q$305,MATCH($Z444,'Dated offers'!$A$7:$A$305,0))</x:f>
        <x:v>https://www.digikey.com/en/products/detail/bourns-inc/SRP1265A-220M/4876624</x:v>
      </x:c>
    </x:row>
    <x:row r="445" ht="24" customHeight="1">
      <x:c r="A445" s="2" t="str">
        <x:v>100 boards / nominal</x:v>
      </x:c>
      <x:c r="B445" s="17" t="str">
        <x:v>SRP5030TA-2R2M</x:v>
      </x:c>
      <x:c r="C445" s="18" t="n">
        <x:v>100</x:v>
      </x:c>
      <x:c r="D445" s="27" t="n">
        <x:v>0</x:v>
      </x:c>
      <x:c r="E445" s="18" t="n">
        <x:f>INDEX('Assembly BOM'!$C$7:$C$162,MATCH($B445,'Assembly BOM'!$A$7:$A$162,0))</x:f>
        <x:v>4</x:v>
      </x:c>
      <x:c r="F445" s="18" t="n">
        <x:f>C445*E445</x:f>
        <x:v>400</x:v>
      </x:c>
      <x:c r="G445" s="18" t="n">
        <x:f>ROUNDUP(F445*(1+D445),0)</x:f>
        <x:v>400</x:v>
      </x:c>
      <x:c r="H445" s="18" t="n">
        <x:f>INDEX('Dated offers'!$F$7:$F$305,MATCH($Z445,'Dated offers'!$A$7:$A$305,0))</x:f>
        <x:v>1</x:v>
      </x:c>
      <x:c r="I445" s="18" t="n">
        <x:f>INDEX('Dated offers'!$G$7:$G$305,MATCH($Z445,'Dated offers'!$A$7:$A$305,0))</x:f>
        <x:v>1</x:v>
      </x:c>
      <x:c r="J445" s="18" t="n">
        <x:f>CEILING(MAX(G445,H445),I445)</x:f>
        <x:v>400</x:v>
      </x:c>
      <x:c r="K445" s="18" t="n">
        <x:v>400</x:v>
      </x:c>
      <x:c r="L445" s="18" t="n">
        <x:f>INDEX('Dated offers'!$I$7:$I$305,MATCH($Z445,'Dated offers'!$A$7:$A$305,0))</x:f>
        <x:v>250</x:v>
      </x:c>
      <x:c r="M445" s="25" t="n">
        <x:f>INDEX('Dated offers'!$J$7:$J$305,MATCH($Z445,'Dated offers'!$A$7:$A$305,0))</x:f>
        <x:v>0.64872</x:v>
      </x:c>
      <x:c r="N445" s="25" t="n">
        <x:f>INDEX('Dated offers'!$K$7:$K$305,MATCH($Z445,'Dated offers'!$A$7:$A$305,0))</x:f>
        <x:v>0</x:v>
      </x:c>
      <x:c r="O445" s="25" t="n">
        <x:f>F445*M445</x:f>
        <x:v>259.488</x:v>
      </x:c>
      <x:c r="P445" s="25" t="n">
        <x:f>G445*M445</x:f>
        <x:v>259.488</x:v>
      </x:c>
      <x:c r="Q445" s="25" t="n">
        <x:f>K445*M445+N445</x:f>
        <x:v>259.488</x:v>
      </x:c>
      <x:c r="R445" s="18" t="n">
        <x:f>K445-G445</x:f>
        <x:v>0</x:v>
      </x:c>
      <x:c r="S445" s="18" t="n">
        <x:f>INDEX('Dated offers'!$H$7:$H$305,MATCH($Z445,'Dated offers'!$A$7:$A$305,0))</x:f>
        <x:v>7030</x:v>
      </x:c>
      <x:c r="T445" s="2" t="str">
        <x:f>IF(K445&lt;G445,"Order below requirement",IF(K445&lt;L445,"Below price tier",IF(ISNUMBER(S445),IF(K445&gt;S445,"Quantity exceeds snapshot","Within quantity snapshot"),"Stock not stated")))</x:f>
        <x:v>Within quantity snapshot</x:v>
      </x:c>
      <x:c r="U445" s="2" t="str">
        <x:f>INDEX('Dated offers'!$C$7:$C$305,MATCH($Z445,'Dated offers'!$A$7:$A$305,0))</x:f>
        <x:v>DigiKey</x:v>
      </x:c>
      <x:c r="V445" s="2" t="str">
        <x:f>INDEX('Dated offers'!$D$7:$D$305,MATCH($Z445,'Dated offers'!$A$7:$A$305,0))</x:f>
        <x:v>Not stated</x:v>
      </x:c>
      <x:c r="W445" s="24" t="n">
        <x:f>INDEX('Dated offers'!$E$7:$E$305,MATCH($Z445,'Dated offers'!$A$7:$A$305,0))</x:f>
        <x:v>46307.47807266204</x:v>
      </x:c>
      <x:c r="X445" s="2" t="b">
        <x:f>INDEX('Dated offers'!$N$7:$N$305,MATCH($Z445,'Dated offers'!$A$7:$A$305,0))</x:f>
        <x:v>0</x:v>
      </x:c>
      <x:c r="Y445" s="2" t="str">
        <x:f>INDEX('Dated offers'!$O$7:$O$305,MATCH($Z445,'Dated offers'!$A$7:$A$305,0))</x:f>
        <x:v>Unreserved inventory snapshot</x:v>
      </x:c>
      <x:c r="Z445" s="17" t="str">
        <x:v>OF0269</x:v>
      </x:c>
      <x:c r="AA445" s="2"/>
      <x:c r="AB445" s="2" t="str">
        <x:f>INDEX('Dated offers'!$Q$7:$Q$305,MATCH($Z445,'Dated offers'!$A$7:$A$305,0))</x:f>
        <x:v>https://www.digikey.com/en/products/detail/bourns-inc/SRP5030TA-2R2M/5429671</x:v>
      </x:c>
    </x:row>
    <x:row r="446" ht="24" customHeight="1">
      <x:c r="A446" s="2" t="str">
        <x:v>100 boards / nominal</x:v>
      </x:c>
      <x:c r="B446" s="17" t="str">
        <x:v>SRP6030CA-2R2M</x:v>
      </x:c>
      <x:c r="C446" s="18" t="n">
        <x:v>100</x:v>
      </x:c>
      <x:c r="D446" s="27" t="n">
        <x:v>0</x:v>
      </x:c>
      <x:c r="E446" s="18" t="n">
        <x:f>INDEX('Assembly BOM'!$C$7:$C$162,MATCH($B446,'Assembly BOM'!$A$7:$A$162,0))</x:f>
        <x:v>1</x:v>
      </x:c>
      <x:c r="F446" s="18" t="n">
        <x:f>C446*E446</x:f>
        <x:v>100</x:v>
      </x:c>
      <x:c r="G446" s="18" t="n">
        <x:f>ROUNDUP(F446*(1+D446),0)</x:f>
        <x:v>100</x:v>
      </x:c>
      <x:c r="H446" s="18" t="n">
        <x:f>INDEX('Dated offers'!$F$7:$F$305,MATCH($Z446,'Dated offers'!$A$7:$A$305,0))</x:f>
        <x:v>1</x:v>
      </x:c>
      <x:c r="I446" s="18" t="n">
        <x:f>INDEX('Dated offers'!$G$7:$G$305,MATCH($Z446,'Dated offers'!$A$7:$A$305,0))</x:f>
        <x:v>1</x:v>
      </x:c>
      <x:c r="J446" s="18" t="n">
        <x:f>CEILING(MAX(G446,H446),I446)</x:f>
        <x:v>100</x:v>
      </x:c>
      <x:c r="K446" s="18" t="n">
        <x:v>100</x:v>
      </x:c>
      <x:c r="L446" s="18" t="n">
        <x:f>INDEX('Dated offers'!$I$7:$I$305,MATCH($Z446,'Dated offers'!$A$7:$A$305,0))</x:f>
        <x:v>100</x:v>
      </x:c>
      <x:c r="M446" s="25" t="n">
        <x:f>INDEX('Dated offers'!$J$7:$J$305,MATCH($Z446,'Dated offers'!$A$7:$A$305,0))</x:f>
        <x:v>1.0704</x:v>
      </x:c>
      <x:c r="N446" s="25" t="n">
        <x:f>INDEX('Dated offers'!$K$7:$K$305,MATCH($Z446,'Dated offers'!$A$7:$A$305,0))</x:f>
        <x:v>0</x:v>
      </x:c>
      <x:c r="O446" s="25" t="n">
        <x:f>F446*M446</x:f>
        <x:v>107.04</x:v>
      </x:c>
      <x:c r="P446" s="25" t="n">
        <x:f>G446*M446</x:f>
        <x:v>107.04</x:v>
      </x:c>
      <x:c r="Q446" s="25" t="n">
        <x:f>K446*M446+N446</x:f>
        <x:v>107.04</x:v>
      </x:c>
      <x:c r="R446" s="18" t="n">
        <x:f>K446-G446</x:f>
        <x:v>0</x:v>
      </x:c>
      <x:c r="S446" s="18" t="n">
        <x:f>INDEX('Dated offers'!$H$7:$H$305,MATCH($Z446,'Dated offers'!$A$7:$A$305,0))</x:f>
        <x:v>5195</x:v>
      </x:c>
      <x:c r="T446" s="2" t="str">
        <x:f>IF(K446&lt;G446,"Order below requirement",IF(K446&lt;L446,"Below price tier",IF(ISNUMBER(S446),IF(K446&gt;S446,"Quantity exceeds snapshot","Within quantity snapshot"),"Stock not stated")))</x:f>
        <x:v>Within quantity snapshot</x:v>
      </x:c>
      <x:c r="U446" s="2" t="str">
        <x:f>INDEX('Dated offers'!$C$7:$C$305,MATCH($Z446,'Dated offers'!$A$7:$A$305,0))</x:f>
        <x:v>DigiKey</x:v>
      </x:c>
      <x:c r="V446" s="2" t="str">
        <x:f>INDEX('Dated offers'!$D$7:$D$305,MATCH($Z446,'Dated offers'!$A$7:$A$305,0))</x:f>
        <x:v>Not stated</x:v>
      </x:c>
      <x:c r="W446" s="24" t="n">
        <x:f>INDEX('Dated offers'!$E$7:$E$305,MATCH($Z446,'Dated offers'!$A$7:$A$305,0))</x:f>
        <x:v>46307.47807255787</x:v>
      </x:c>
      <x:c r="X446" s="2" t="b">
        <x:f>INDEX('Dated offers'!$N$7:$N$305,MATCH($Z446,'Dated offers'!$A$7:$A$305,0))</x:f>
        <x:v>0</x:v>
      </x:c>
      <x:c r="Y446" s="2" t="str">
        <x:f>INDEX('Dated offers'!$O$7:$O$305,MATCH($Z446,'Dated offers'!$A$7:$A$305,0))</x:f>
        <x:v>Unreserved inventory snapshot</x:v>
      </x:c>
      <x:c r="Z446" s="17" t="str">
        <x:v>OF0270</x:v>
      </x:c>
      <x:c r="AA446" s="2"/>
      <x:c r="AB446" s="2" t="str">
        <x:f>INDEX('Dated offers'!$Q$7:$Q$305,MATCH($Z446,'Dated offers'!$A$7:$A$305,0))</x:f>
        <x:v>https://www.digikey.com/en/products/detail/bourns-inc/SRP6030CA-2R2M/9351038</x:v>
      </x:c>
    </x:row>
    <x:row r="447" ht="24" customHeight="1">
      <x:c r="A447" s="2" t="str">
        <x:v>100 boards / nominal</x:v>
      </x:c>
      <x:c r="B447" s="17" t="str">
        <x:v>SS-7188S-A-NF</x:v>
      </x:c>
      <x:c r="C447" s="18" t="n">
        <x:v>100</x:v>
      </x:c>
      <x:c r="D447" s="27" t="n">
        <x:v>0</x:v>
      </x:c>
      <x:c r="E447" s="18" t="n">
        <x:f>INDEX('Assembly BOM'!$C$7:$C$162,MATCH($B447,'Assembly BOM'!$A$7:$A$162,0))</x:f>
        <x:v>1</x:v>
      </x:c>
      <x:c r="F447" s="18" t="n">
        <x:f>C447*E447</x:f>
        <x:v>100</x:v>
      </x:c>
      <x:c r="G447" s="18" t="n">
        <x:f>ROUNDUP(F447*(1+D447),0)</x:f>
        <x:v>100</x:v>
      </x:c>
      <x:c r="H447" s="18" t="n">
        <x:f>INDEX('Dated offers'!$F$7:$F$305,MATCH($Z447,'Dated offers'!$A$7:$A$305,0))</x:f>
        <x:v>1</x:v>
      </x:c>
      <x:c r="I447" s="18" t="n">
        <x:f>INDEX('Dated offers'!$G$7:$G$305,MATCH($Z447,'Dated offers'!$A$7:$A$305,0))</x:f>
        <x:v>1</x:v>
      </x:c>
      <x:c r="J447" s="18" t="n">
        <x:f>CEILING(MAX(G447,H447),I447)</x:f>
        <x:v>100</x:v>
      </x:c>
      <x:c r="K447" s="18" t="n">
        <x:v>100</x:v>
      </x:c>
      <x:c r="L447" s="18" t="n">
        <x:f>INDEX('Dated offers'!$I$7:$I$305,MATCH($Z447,'Dated offers'!$A$7:$A$305,0))</x:f>
        <x:v>66</x:v>
      </x:c>
      <x:c r="M447" s="25" t="n">
        <x:f>INDEX('Dated offers'!$J$7:$J$305,MATCH($Z447,'Dated offers'!$A$7:$A$305,0))</x:f>
        <x:v>2.06515</x:v>
      </x:c>
      <x:c r="N447" s="25" t="n">
        <x:f>INDEX('Dated offers'!$K$7:$K$305,MATCH($Z447,'Dated offers'!$A$7:$A$305,0))</x:f>
        <x:v>0</x:v>
      </x:c>
      <x:c r="O447" s="25" t="n">
        <x:f>F447*M447</x:f>
        <x:v>206.51500000000001</x:v>
      </x:c>
      <x:c r="P447" s="25" t="n">
        <x:f>G447*M447</x:f>
        <x:v>206.51500000000001</x:v>
      </x:c>
      <x:c r="Q447" s="25" t="n">
        <x:f>K447*M447+N447</x:f>
        <x:v>206.51500000000001</x:v>
      </x:c>
      <x:c r="R447" s="18" t="n">
        <x:f>K447-G447</x:f>
        <x:v>0</x:v>
      </x:c>
      <x:c r="S447" s="18" t="n">
        <x:f>INDEX('Dated offers'!$H$7:$H$305,MATCH($Z447,'Dated offers'!$A$7:$A$305,0))</x:f>
        <x:v>5038</x:v>
      </x:c>
      <x:c r="T447" s="2" t="str">
        <x:f>IF(K447&lt;G447,"Order below requirement",IF(K447&lt;L447,"Below price tier",IF(ISNUMBER(S447),IF(K447&gt;S447,"Quantity exceeds snapshot","Within quantity snapshot"),"Stock not stated")))</x:f>
        <x:v>Within quantity snapshot</x:v>
      </x:c>
      <x:c r="U447" s="2" t="str">
        <x:f>INDEX('Dated offers'!$C$7:$C$305,MATCH($Z447,'Dated offers'!$A$7:$A$305,0))</x:f>
        <x:v>DigiKey</x:v>
      </x:c>
      <x:c r="V447" s="2" t="str">
        <x:f>INDEX('Dated offers'!$D$7:$D$305,MATCH($Z447,'Dated offers'!$A$7:$A$305,0))</x:f>
        <x:v>Not stated</x:v>
      </x:c>
      <x:c r="W447" s="24" t="n">
        <x:f>INDEX('Dated offers'!$E$7:$E$305,MATCH($Z447,'Dated offers'!$A$7:$A$305,0))</x:f>
        <x:v>46307.478072592596</x:v>
      </x:c>
      <x:c r="X447" s="2" t="b">
        <x:f>INDEX('Dated offers'!$N$7:$N$305,MATCH($Z447,'Dated offers'!$A$7:$A$305,0))</x:f>
        <x:v>0</x:v>
      </x:c>
      <x:c r="Y447" s="2" t="str">
        <x:f>INDEX('Dated offers'!$O$7:$O$305,MATCH($Z447,'Dated offers'!$A$7:$A$305,0))</x:f>
        <x:v>Unreserved inventory snapshot</x:v>
      </x:c>
      <x:c r="Z447" s="17" t="str">
        <x:v>OF0271</x:v>
      </x:c>
      <x:c r="AA447" s="2"/>
      <x:c r="AB447" s="2" t="str">
        <x:f>INDEX('Dated offers'!$Q$7:$Q$305,MATCH($Z447,'Dated offers'!$A$7:$A$305,0))</x:f>
        <x:v>https://www.digikey.com/en/products/detail/stewart-connector/SS-7188S-A-NF/388309</x:v>
      </x:c>
    </x:row>
    <x:row r="448" ht="24" customHeight="1">
      <x:c r="A448" s="2" t="str">
        <x:v>100 boards / nominal</x:v>
      </x:c>
      <x:c r="B448" s="17" t="str">
        <x:v>ST4SI3M004600HFW</x:v>
      </x:c>
      <x:c r="C448" s="18" t="n">
        <x:v>100</x:v>
      </x:c>
      <x:c r="D448" s="27" t="n">
        <x:v>0</x:v>
      </x:c>
      <x:c r="E448" s="18" t="n">
        <x:f>INDEX('Assembly BOM'!$C$7:$C$162,MATCH($B448,'Assembly BOM'!$A$7:$A$162,0))</x:f>
        <x:v>1</x:v>
      </x:c>
      <x:c r="F448" s="18" t="n">
        <x:f>C448*E448</x:f>
        <x:v>100</x:v>
      </x:c>
      <x:c r="G448" s="18" t="n">
        <x:f>ROUNDUP(F448*(1+D448),0)</x:f>
        <x:v>100</x:v>
      </x:c>
      <x:c r="H448" s="18" t="n">
        <x:f>INDEX('Dated offers'!$F$7:$F$305,MATCH($Z448,'Dated offers'!$A$7:$A$305,0))</x:f>
        <x:v>1</x:v>
      </x:c>
      <x:c r="I448" s="18" t="n">
        <x:f>INDEX('Dated offers'!$G$7:$G$305,MATCH($Z448,'Dated offers'!$A$7:$A$305,0))</x:f>
        <x:v>1</x:v>
      </x:c>
      <x:c r="J448" s="18" t="n">
        <x:f>CEILING(MAX(G448,H448),I448)</x:f>
        <x:v>100</x:v>
      </x:c>
      <x:c r="K448" s="18" t="n">
        <x:v>100</x:v>
      </x:c>
      <x:c r="L448" s="18" t="n">
        <x:f>INDEX('Dated offers'!$I$7:$I$305,MATCH($Z448,'Dated offers'!$A$7:$A$305,0))</x:f>
        <x:v>100</x:v>
      </x:c>
      <x:c r="M448" s="25" t="n">
        <x:f>INDEX('Dated offers'!$J$7:$J$305,MATCH($Z448,'Dated offers'!$A$7:$A$305,0))</x:f>
        <x:v>2.9856</x:v>
      </x:c>
      <x:c r="N448" s="25" t="n">
        <x:f>INDEX('Dated offers'!$K$7:$K$305,MATCH($Z448,'Dated offers'!$A$7:$A$305,0))</x:f>
        <x:v>0</x:v>
      </x:c>
      <x:c r="O448" s="25" t="n">
        <x:f>F448*M448</x:f>
        <x:v>298.56</x:v>
      </x:c>
      <x:c r="P448" s="25" t="n">
        <x:f>G448*M448</x:f>
        <x:v>298.56</x:v>
      </x:c>
      <x:c r="Q448" s="25" t="n">
        <x:f>K448*M448+N448</x:f>
        <x:v>298.56</x:v>
      </x:c>
      <x:c r="R448" s="18" t="n">
        <x:f>K448-G448</x:f>
        <x:v>0</x:v>
      </x:c>
      <x:c r="S448" s="18" t="n">
        <x:f>INDEX('Dated offers'!$H$7:$H$305,MATCH($Z448,'Dated offers'!$A$7:$A$305,0))</x:f>
        <x:v>978</x:v>
      </x:c>
      <x:c r="T448" s="2" t="str">
        <x:f>IF(K448&lt;G448,"Order below requirement",IF(K448&lt;L448,"Below price tier",IF(ISNUMBER(S448),IF(K448&gt;S448,"Quantity exceeds snapshot","Within quantity snapshot"),"Stock not stated")))</x:f>
        <x:v>Within quantity snapshot</x:v>
      </x:c>
      <x:c r="U448" s="2" t="str">
        <x:f>INDEX('Dated offers'!$C$7:$C$305,MATCH($Z448,'Dated offers'!$A$7:$A$305,0))</x:f>
        <x:v>DigiKey</x:v>
      </x:c>
      <x:c r="V448" s="2" t="str">
        <x:f>INDEX('Dated offers'!$D$7:$D$305,MATCH($Z448,'Dated offers'!$A$7:$A$305,0))</x:f>
        <x:v>Not stated</x:v>
      </x:c>
      <x:c r="W448" s="24" t="n">
        <x:f>INDEX('Dated offers'!$E$7:$E$305,MATCH($Z448,'Dated offers'!$A$7:$A$305,0))</x:f>
        <x:v>46307.478072592596</x:v>
      </x:c>
      <x:c r="X448" s="2" t="b">
        <x:f>INDEX('Dated offers'!$N$7:$N$305,MATCH($Z448,'Dated offers'!$A$7:$A$305,0))</x:f>
        <x:v>0</x:v>
      </x:c>
      <x:c r="Y448" s="2" t="str">
        <x:f>INDEX('Dated offers'!$O$7:$O$305,MATCH($Z448,'Dated offers'!$A$7:$A$305,0))</x:f>
        <x:v>Unreserved inventory snapshot</x:v>
      </x:c>
      <x:c r="Z448" s="17" t="str">
        <x:v>OF0272</x:v>
      </x:c>
      <x:c r="AA448" s="2"/>
      <x:c r="AB448" s="2" t="str">
        <x:f>INDEX('Dated offers'!$Q$7:$Q$305,MATCH($Z448,'Dated offers'!$A$7:$A$305,0))</x:f>
        <x:v>https://www.digikey.com/en/products/detail/stmicroelectronics/ST4SI3M004600HFW/27684322</x:v>
      </x:c>
    </x:row>
    <x:row r="449" ht="24" customHeight="1">
      <x:c r="A449" s="2" t="str">
        <x:v>100 boards / nominal</x:v>
      </x:c>
      <x:c r="B449" s="17" t="str">
        <x:v>TLV7011DBVR</x:v>
      </x:c>
      <x:c r="C449" s="18" t="n">
        <x:v>100</x:v>
      </x:c>
      <x:c r="D449" s="27" t="n">
        <x:v>0</x:v>
      </x:c>
      <x:c r="E449" s="18" t="n">
        <x:f>INDEX('Assembly BOM'!$C$7:$C$162,MATCH($B449,'Assembly BOM'!$A$7:$A$162,0))</x:f>
        <x:v>1</x:v>
      </x:c>
      <x:c r="F449" s="18" t="n">
        <x:f>C449*E449</x:f>
        <x:v>100</x:v>
      </x:c>
      <x:c r="G449" s="18" t="n">
        <x:f>ROUNDUP(F449*(1+D449),0)</x:f>
        <x:v>100</x:v>
      </x:c>
      <x:c r="H449" s="18" t="n">
        <x:f>INDEX('Dated offers'!$F$7:$F$305,MATCH($Z449,'Dated offers'!$A$7:$A$305,0))</x:f>
        <x:v>1</x:v>
      </x:c>
      <x:c r="I449" s="18" t="n">
        <x:f>INDEX('Dated offers'!$G$7:$G$305,MATCH($Z449,'Dated offers'!$A$7:$A$305,0))</x:f>
        <x:v>1</x:v>
      </x:c>
      <x:c r="J449" s="18" t="n">
        <x:f>CEILING(MAX(G449,H449),I449)</x:f>
        <x:v>100</x:v>
      </x:c>
      <x:c r="K449" s="18" t="n">
        <x:v>100</x:v>
      </x:c>
      <x:c r="L449" s="18" t="n">
        <x:f>INDEX('Dated offers'!$I$7:$I$305,MATCH($Z449,'Dated offers'!$A$7:$A$305,0))</x:f>
        <x:v>100</x:v>
      </x:c>
      <x:c r="M449" s="25" t="n">
        <x:f>INDEX('Dated offers'!$J$7:$J$305,MATCH($Z449,'Dated offers'!$A$7:$A$305,0))</x:f>
        <x:v>0.3368</x:v>
      </x:c>
      <x:c r="N449" s="25" t="n">
        <x:f>INDEX('Dated offers'!$K$7:$K$305,MATCH($Z449,'Dated offers'!$A$7:$A$305,0))</x:f>
        <x:v>0</x:v>
      </x:c>
      <x:c r="O449" s="25" t="n">
        <x:f>F449*M449</x:f>
        <x:v>33.68</x:v>
      </x:c>
      <x:c r="P449" s="25" t="n">
        <x:f>G449*M449</x:f>
        <x:v>33.68</x:v>
      </x:c>
      <x:c r="Q449" s="25" t="n">
        <x:f>K449*M449+N449</x:f>
        <x:v>33.68</x:v>
      </x:c>
      <x:c r="R449" s="18" t="n">
        <x:f>K449-G449</x:f>
        <x:v>0</x:v>
      </x:c>
      <x:c r="S449" s="18" t="n">
        <x:f>INDEX('Dated offers'!$H$7:$H$305,MATCH($Z449,'Dated offers'!$A$7:$A$305,0))</x:f>
        <x:v>7083</x:v>
      </x:c>
      <x:c r="T449" s="2" t="str">
        <x:f>IF(K449&lt;G449,"Order below requirement",IF(K449&lt;L449,"Below price tier",IF(ISNUMBER(S449),IF(K449&gt;S449,"Quantity exceeds snapshot","Within quantity snapshot"),"Stock not stated")))</x:f>
        <x:v>Within quantity snapshot</x:v>
      </x:c>
      <x:c r="U449" s="2" t="str">
        <x:f>INDEX('Dated offers'!$C$7:$C$305,MATCH($Z449,'Dated offers'!$A$7:$A$305,0))</x:f>
        <x:v>LCSC</x:v>
      </x:c>
      <x:c r="V449" s="2" t="str">
        <x:f>INDEX('Dated offers'!$D$7:$D$305,MATCH($Z449,'Dated offers'!$A$7:$A$305,0))</x:f>
        <x:v>C702117</x:v>
      </x:c>
      <x:c r="W449" s="24" t="n">
        <x:f>INDEX('Dated offers'!$E$7:$E$305,MATCH($Z449,'Dated offers'!$A$7:$A$305,0))</x:f>
        <x:v>46307.44747554398</x:v>
      </x:c>
      <x:c r="X449" s="2" t="b">
        <x:f>INDEX('Dated offers'!$N$7:$N$305,MATCH($Z449,'Dated offers'!$A$7:$A$305,0))</x:f>
        <x:v>0</x:v>
      </x:c>
      <x:c r="Y449" s="2" t="str">
        <x:f>INDEX('Dated offers'!$O$7:$O$305,MATCH($Z449,'Dated offers'!$A$7:$A$305,0))</x:f>
        <x:v>Unreserved inventory snapshot</x:v>
      </x:c>
      <x:c r="Z449" s="17" t="str">
        <x:v>OF0273</x:v>
      </x:c>
      <x:c r="AA449" s="2"/>
      <x:c r="AB449" s="2" t="str">
        <x:f>INDEX('Dated offers'!$Q$7:$Q$305,MATCH($Z449,'Dated offers'!$A$7:$A$305,0))</x:f>
        <x:v>https://www.lcsc.com/product-detail/C702117.html</x:v>
      </x:c>
    </x:row>
    <x:row r="450" ht="24" customHeight="1">
      <x:c r="A450" s="2" t="str">
        <x:v>100 boards / nominal</x:v>
      </x:c>
      <x:c r="B450" s="17" t="str">
        <x:v>TMP102AIDRLR</x:v>
      </x:c>
      <x:c r="C450" s="18" t="n">
        <x:v>100</x:v>
      </x:c>
      <x:c r="D450" s="27" t="n">
        <x:v>0</x:v>
      </x:c>
      <x:c r="E450" s="18" t="n">
        <x:f>INDEX('Assembly BOM'!$C$7:$C$162,MATCH($B450,'Assembly BOM'!$A$7:$A$162,0))</x:f>
        <x:v>1</x:v>
      </x:c>
      <x:c r="F450" s="18" t="n">
        <x:f>C450*E450</x:f>
        <x:v>100</x:v>
      </x:c>
      <x:c r="G450" s="18" t="n">
        <x:f>ROUNDUP(F450*(1+D450),0)</x:f>
        <x:v>100</x:v>
      </x:c>
      <x:c r="H450" s="18" t="n">
        <x:f>INDEX('Dated offers'!$F$7:$F$305,MATCH($Z450,'Dated offers'!$A$7:$A$305,0))</x:f>
        <x:v>1</x:v>
      </x:c>
      <x:c r="I450" s="18" t="n">
        <x:f>INDEX('Dated offers'!$G$7:$G$305,MATCH($Z450,'Dated offers'!$A$7:$A$305,0))</x:f>
        <x:v>1</x:v>
      </x:c>
      <x:c r="J450" s="18" t="n">
        <x:f>CEILING(MAX(G450,H450),I450)</x:f>
        <x:v>100</x:v>
      </x:c>
      <x:c r="K450" s="18" t="n">
        <x:v>100</x:v>
      </x:c>
      <x:c r="L450" s="18" t="n">
        <x:f>INDEX('Dated offers'!$I$7:$I$305,MATCH($Z450,'Dated offers'!$A$7:$A$305,0))</x:f>
        <x:v>100</x:v>
      </x:c>
      <x:c r="M450" s="25" t="n">
        <x:f>INDEX('Dated offers'!$J$7:$J$305,MATCH($Z450,'Dated offers'!$A$7:$A$305,0))</x:f>
        <x:v>0.467</x:v>
      </x:c>
      <x:c r="N450" s="25" t="n">
        <x:f>INDEX('Dated offers'!$K$7:$K$305,MATCH($Z450,'Dated offers'!$A$7:$A$305,0))</x:f>
        <x:v>0</x:v>
      </x:c>
      <x:c r="O450" s="25" t="n">
        <x:f>F450*M450</x:f>
        <x:v>46.7</x:v>
      </x:c>
      <x:c r="P450" s="25" t="n">
        <x:f>G450*M450</x:f>
        <x:v>46.7</x:v>
      </x:c>
      <x:c r="Q450" s="25" t="n">
        <x:f>K450*M450+N450</x:f>
        <x:v>46.7</x:v>
      </x:c>
      <x:c r="R450" s="18" t="n">
        <x:f>K450-G450</x:f>
        <x:v>0</x:v>
      </x:c>
      <x:c r="S450" s="18" t="n">
        <x:f>INDEX('Dated offers'!$H$7:$H$305,MATCH($Z450,'Dated offers'!$A$7:$A$305,0))</x:f>
        <x:v>37099</x:v>
      </x:c>
      <x:c r="T450" s="2" t="str">
        <x:f>IF(K450&lt;G450,"Order below requirement",IF(K450&lt;L450,"Below price tier",IF(ISNUMBER(S450),IF(K450&gt;S450,"Quantity exceeds snapshot","Within quantity snapshot"),"Stock not stated")))</x:f>
        <x:v>Within quantity snapshot</x:v>
      </x:c>
      <x:c r="U450" s="2" t="str">
        <x:f>INDEX('Dated offers'!$C$7:$C$305,MATCH($Z450,'Dated offers'!$A$7:$A$305,0))</x:f>
        <x:v>LCSC</x:v>
      </x:c>
      <x:c r="V450" s="2" t="str">
        <x:f>INDEX('Dated offers'!$D$7:$D$305,MATCH($Z450,'Dated offers'!$A$7:$A$305,0))</x:f>
        <x:v>C99269</x:v>
      </x:c>
      <x:c r="W450" s="24" t="n">
        <x:f>INDEX('Dated offers'!$E$7:$E$305,MATCH($Z450,'Dated offers'!$A$7:$A$305,0))</x:f>
        <x:v>46307.447477141206</x:v>
      </x:c>
      <x:c r="X450" s="2" t="b">
        <x:f>INDEX('Dated offers'!$N$7:$N$305,MATCH($Z450,'Dated offers'!$A$7:$A$305,0))</x:f>
        <x:v>0</x:v>
      </x:c>
      <x:c r="Y450" s="2" t="str">
        <x:f>INDEX('Dated offers'!$O$7:$O$305,MATCH($Z450,'Dated offers'!$A$7:$A$305,0))</x:f>
        <x:v>Unreserved inventory snapshot</x:v>
      </x:c>
      <x:c r="Z450" s="17" t="str">
        <x:v>OF0274</x:v>
      </x:c>
      <x:c r="AA450" s="2"/>
      <x:c r="AB450" s="2" t="str">
        <x:f>INDEX('Dated offers'!$Q$7:$Q$305,MATCH($Z450,'Dated offers'!$A$7:$A$305,0))</x:f>
        <x:v>https://www.lcsc.com/product-detail/C99269.html</x:v>
      </x:c>
    </x:row>
    <x:row r="451" ht="24" customHeight="1">
      <x:c r="A451" s="2" t="str">
        <x:v>100 boards / nominal</x:v>
      </x:c>
      <x:c r="B451" s="17" t="str">
        <x:v>TMUX1511PWR</x:v>
      </x:c>
      <x:c r="C451" s="18" t="n">
        <x:v>100</x:v>
      </x:c>
      <x:c r="D451" s="27" t="n">
        <x:v>0</x:v>
      </x:c>
      <x:c r="E451" s="18" t="n">
        <x:f>INDEX('Assembly BOM'!$C$7:$C$162,MATCH($B451,'Assembly BOM'!$A$7:$A$162,0))</x:f>
        <x:v>3</x:v>
      </x:c>
      <x:c r="F451" s="18" t="n">
        <x:f>C451*E451</x:f>
        <x:v>300</x:v>
      </x:c>
      <x:c r="G451" s="18" t="n">
        <x:f>ROUNDUP(F451*(1+D451),0)</x:f>
        <x:v>300</x:v>
      </x:c>
      <x:c r="H451" s="18" t="n">
        <x:f>INDEX('Dated offers'!$F$7:$F$305,MATCH($Z451,'Dated offers'!$A$7:$A$305,0))</x:f>
        <x:v>1</x:v>
      </x:c>
      <x:c r="I451" s="18" t="n">
        <x:f>INDEX('Dated offers'!$G$7:$G$305,MATCH($Z451,'Dated offers'!$A$7:$A$305,0))</x:f>
        <x:v>1</x:v>
      </x:c>
      <x:c r="J451" s="18" t="n">
        <x:f>CEILING(MAX(G451,H451),I451)</x:f>
        <x:v>300</x:v>
      </x:c>
      <x:c r="K451" s="18" t="n">
        <x:v>300</x:v>
      </x:c>
      <x:c r="L451" s="18" t="n">
        <x:f>INDEX('Dated offers'!$I$7:$I$305,MATCH($Z451,'Dated offers'!$A$7:$A$305,0))</x:f>
        <x:v>100</x:v>
      </x:c>
      <x:c r="M451" s="25" t="n">
        <x:f>INDEX('Dated offers'!$J$7:$J$305,MATCH($Z451,'Dated offers'!$A$7:$A$305,0))</x:f>
        <x:v>0.2911</x:v>
      </x:c>
      <x:c r="N451" s="25" t="n">
        <x:f>INDEX('Dated offers'!$K$7:$K$305,MATCH($Z451,'Dated offers'!$A$7:$A$305,0))</x:f>
        <x:v>0</x:v>
      </x:c>
      <x:c r="O451" s="25" t="n">
        <x:f>F451*M451</x:f>
        <x:v>87.33000000000001</x:v>
      </x:c>
      <x:c r="P451" s="25" t="n">
        <x:f>G451*M451</x:f>
        <x:v>87.33000000000001</x:v>
      </x:c>
      <x:c r="Q451" s="25" t="n">
        <x:f>K451*M451+N451</x:f>
        <x:v>87.33000000000001</x:v>
      </x:c>
      <x:c r="R451" s="18" t="n">
        <x:f>K451-G451</x:f>
        <x:v>0</x:v>
      </x:c>
      <x:c r="S451" s="18" t="n">
        <x:f>INDEX('Dated offers'!$H$7:$H$305,MATCH($Z451,'Dated offers'!$A$7:$A$305,0))</x:f>
        <x:v>8282</x:v>
      </x:c>
      <x:c r="T451" s="2" t="str">
        <x:f>IF(K451&lt;G451,"Order below requirement",IF(K451&lt;L451,"Below price tier",IF(ISNUMBER(S451),IF(K451&gt;S451,"Quantity exceeds snapshot","Within quantity snapshot"),"Stock not stated")))</x:f>
        <x:v>Within quantity snapshot</x:v>
      </x:c>
      <x:c r="U451" s="2" t="str">
        <x:f>INDEX('Dated offers'!$C$7:$C$305,MATCH($Z451,'Dated offers'!$A$7:$A$305,0))</x:f>
        <x:v>LCSC</x:v>
      </x:c>
      <x:c r="V451" s="2" t="str">
        <x:f>INDEX('Dated offers'!$D$7:$D$305,MATCH($Z451,'Dated offers'!$A$7:$A$305,0))</x:f>
        <x:v>C2866750</x:v>
      </x:c>
      <x:c r="W451" s="24" t="n">
        <x:f>INDEX('Dated offers'!$E$7:$E$305,MATCH($Z451,'Dated offers'!$A$7:$A$305,0))</x:f>
        <x:v>46307.4474805787</x:v>
      </x:c>
      <x:c r="X451" s="2" t="b">
        <x:f>INDEX('Dated offers'!$N$7:$N$305,MATCH($Z451,'Dated offers'!$A$7:$A$305,0))</x:f>
        <x:v>0</x:v>
      </x:c>
      <x:c r="Y451" s="2" t="str">
        <x:f>INDEX('Dated offers'!$O$7:$O$305,MATCH($Z451,'Dated offers'!$A$7:$A$305,0))</x:f>
        <x:v>Unreserved inventory snapshot</x:v>
      </x:c>
      <x:c r="Z451" s="17" t="str">
        <x:v>OF0275</x:v>
      </x:c>
      <x:c r="AA451" s="2"/>
      <x:c r="AB451" s="2" t="str">
        <x:f>INDEX('Dated offers'!$Q$7:$Q$305,MATCH($Z451,'Dated offers'!$A$7:$A$305,0))</x:f>
        <x:v>https://www.lcsc.com/product-detail/C2866750.html</x:v>
      </x:c>
    </x:row>
    <x:row r="452" ht="24" customHeight="1">
      <x:c r="A452" s="2" t="str">
        <x:v>100 boards / nominal</x:v>
      </x:c>
      <x:c r="B452" s="17" t="str">
        <x:v>TNPW0402100KBEED</x:v>
      </x:c>
      <x:c r="C452" s="18" t="n">
        <x:v>100</x:v>
      </x:c>
      <x:c r="D452" s="27" t="n">
        <x:v>0</x:v>
      </x:c>
      <x:c r="E452" s="18" t="n">
        <x:f>INDEX('Assembly BOM'!$C$7:$C$162,MATCH($B452,'Assembly BOM'!$A$7:$A$162,0))</x:f>
        <x:v>3</x:v>
      </x:c>
      <x:c r="F452" s="18" t="n">
        <x:f>C452*E452</x:f>
        <x:v>300</x:v>
      </x:c>
      <x:c r="G452" s="18" t="n">
        <x:f>ROUNDUP(F452*(1+D452),0)</x:f>
        <x:v>300</x:v>
      </x:c>
      <x:c r="H452" s="18" t="n">
        <x:f>INDEX('Dated offers'!$F$7:$F$305,MATCH($Z452,'Dated offers'!$A$7:$A$305,0))</x:f>
        <x:v>1</x:v>
      </x:c>
      <x:c r="I452" s="18" t="n">
        <x:f>INDEX('Dated offers'!$G$7:$G$305,MATCH($Z452,'Dated offers'!$A$7:$A$305,0))</x:f>
        <x:v>1</x:v>
      </x:c>
      <x:c r="J452" s="18" t="n">
        <x:f>CEILING(MAX(G452,H452),I452)</x:f>
        <x:v>300</x:v>
      </x:c>
      <x:c r="K452" s="18" t="n">
        <x:v>300</x:v>
      </x:c>
      <x:c r="L452" s="18" t="n">
        <x:f>INDEX('Dated offers'!$I$7:$I$305,MATCH($Z452,'Dated offers'!$A$7:$A$305,0))</x:f>
        <x:v>100</x:v>
      </x:c>
      <x:c r="M452" s="25" t="n">
        <x:f>INDEX('Dated offers'!$J$7:$J$305,MATCH($Z452,'Dated offers'!$A$7:$A$305,0))</x:f>
        <x:v>0.1812</x:v>
      </x:c>
      <x:c r="N452" s="25" t="n">
        <x:f>INDEX('Dated offers'!$K$7:$K$305,MATCH($Z452,'Dated offers'!$A$7:$A$305,0))</x:f>
        <x:v>0</x:v>
      </x:c>
      <x:c r="O452" s="25" t="n">
        <x:f>F452*M452</x:f>
        <x:v>54.36</x:v>
      </x:c>
      <x:c r="P452" s="25" t="n">
        <x:f>G452*M452</x:f>
        <x:v>54.36</x:v>
      </x:c>
      <x:c r="Q452" s="25" t="n">
        <x:f>K452*M452+N452</x:f>
        <x:v>54.36</x:v>
      </x:c>
      <x:c r="R452" s="18" t="n">
        <x:f>K452-G452</x:f>
        <x:v>0</x:v>
      </x:c>
      <x:c r="S452" s="18" t="n">
        <x:f>INDEX('Dated offers'!$H$7:$H$305,MATCH($Z452,'Dated offers'!$A$7:$A$305,0))</x:f>
        <x:v>244638</x:v>
      </x:c>
      <x:c r="T452" s="2" t="str">
        <x:f>IF(K452&lt;G452,"Order below requirement",IF(K452&lt;L452,"Below price tier",IF(ISNUMBER(S452),IF(K452&gt;S452,"Quantity exceeds snapshot","Within quantity snapshot"),"Stock not stated")))</x:f>
        <x:v>Within quantity snapshot</x:v>
      </x:c>
      <x:c r="U452" s="2" t="str">
        <x:f>INDEX('Dated offers'!$C$7:$C$305,MATCH($Z452,'Dated offers'!$A$7:$A$305,0))</x:f>
        <x:v>DigiKey</x:v>
      </x:c>
      <x:c r="V452" s="2" t="str">
        <x:f>INDEX('Dated offers'!$D$7:$D$305,MATCH($Z452,'Dated offers'!$A$7:$A$305,0))</x:f>
        <x:v>Not stated</x:v>
      </x:c>
      <x:c r="W452" s="24" t="n">
        <x:f>INDEX('Dated offers'!$E$7:$E$305,MATCH($Z452,'Dated offers'!$A$7:$A$305,0))</x:f>
        <x:v>46307.478072592596</x:v>
      </x:c>
      <x:c r="X452" s="2" t="b">
        <x:f>INDEX('Dated offers'!$N$7:$N$305,MATCH($Z452,'Dated offers'!$A$7:$A$305,0))</x:f>
        <x:v>0</x:v>
      </x:c>
      <x:c r="Y452" s="2" t="str">
        <x:f>INDEX('Dated offers'!$O$7:$O$305,MATCH($Z452,'Dated offers'!$A$7:$A$305,0))</x:f>
        <x:v>Unreserved inventory snapshot</x:v>
      </x:c>
      <x:c r="Z452" s="17" t="str">
        <x:v>OF0276</x:v>
      </x:c>
      <x:c r="AA452" s="2"/>
      <x:c r="AB452" s="2" t="str">
        <x:f>INDEX('Dated offers'!$Q$7:$Q$305,MATCH($Z452,'Dated offers'!$A$7:$A$305,0))</x:f>
        <x:v>https://www.digikey.com/en/products/detail/vishay-dale/TNPW0402100KBEED/1857037</x:v>
      </x:c>
    </x:row>
    <x:row r="453" ht="24" customHeight="1">
      <x:c r="A453" s="2" t="str">
        <x:v>100 boards / nominal</x:v>
      </x:c>
      <x:c r="B453" s="17" t="str">
        <x:v>TNPW040210K0BEED</x:v>
      </x:c>
      <x:c r="C453" s="18" t="n">
        <x:v>100</x:v>
      </x:c>
      <x:c r="D453" s="27" t="n">
        <x:v>0</x:v>
      </x:c>
      <x:c r="E453" s="18" t="n">
        <x:f>INDEX('Assembly BOM'!$C$7:$C$162,MATCH($B453,'Assembly BOM'!$A$7:$A$162,0))</x:f>
        <x:v>18</x:v>
      </x:c>
      <x:c r="F453" s="18" t="n">
        <x:f>C453*E453</x:f>
        <x:v>1800</x:v>
      </x:c>
      <x:c r="G453" s="18" t="n">
        <x:f>ROUNDUP(F453*(1+D453),0)</x:f>
        <x:v>1800</x:v>
      </x:c>
      <x:c r="H453" s="18" t="n">
        <x:f>INDEX('Dated offers'!$F$7:$F$305,MATCH($Z453,'Dated offers'!$A$7:$A$305,0))</x:f>
        <x:v>10</x:v>
      </x:c>
      <x:c r="I453" s="18" t="n">
        <x:f>INDEX('Dated offers'!$G$7:$G$305,MATCH($Z453,'Dated offers'!$A$7:$A$305,0))</x:f>
        <x:v>10</x:v>
      </x:c>
      <x:c r="J453" s="18" t="n">
        <x:f>CEILING(MAX(G453,H453),I453)</x:f>
        <x:v>1800</x:v>
      </x:c>
      <x:c r="K453" s="18" t="n">
        <x:v>1800</x:v>
      </x:c>
      <x:c r="L453" s="18" t="n">
        <x:f>INDEX('Dated offers'!$I$7:$I$305,MATCH($Z453,'Dated offers'!$A$7:$A$305,0))</x:f>
        <x:v>1000</x:v>
      </x:c>
      <x:c r="M453" s="25" t="n">
        <x:f>INDEX('Dated offers'!$J$7:$J$305,MATCH($Z453,'Dated offers'!$A$7:$A$305,0))</x:f>
        <x:v>0.0411</x:v>
      </x:c>
      <x:c r="N453" s="25" t="n">
        <x:f>INDEX('Dated offers'!$K$7:$K$305,MATCH($Z453,'Dated offers'!$A$7:$A$305,0))</x:f>
        <x:v>0</x:v>
      </x:c>
      <x:c r="O453" s="25" t="n">
        <x:f>F453*M453</x:f>
        <x:v>73.97999999999999</x:v>
      </x:c>
      <x:c r="P453" s="25" t="n">
        <x:f>G453*M453</x:f>
        <x:v>73.97999999999999</x:v>
      </x:c>
      <x:c r="Q453" s="25" t="n">
        <x:f>K453*M453+N453</x:f>
        <x:v>73.97999999999999</x:v>
      </x:c>
      <x:c r="R453" s="18" t="n">
        <x:f>K453-G453</x:f>
        <x:v>0</x:v>
      </x:c>
      <x:c r="S453" s="18" t="n">
        <x:f>INDEX('Dated offers'!$H$7:$H$305,MATCH($Z453,'Dated offers'!$A$7:$A$305,0))</x:f>
        <x:v>44520</x:v>
      </x:c>
      <x:c r="T453" s="2" t="str">
        <x:f>IF(K453&lt;G453,"Order below requirement",IF(K453&lt;L453,"Below price tier",IF(ISNUMBER(S453),IF(K453&gt;S453,"Quantity exceeds snapshot","Within quantity snapshot"),"Stock not stated")))</x:f>
        <x:v>Within quantity snapshot</x:v>
      </x:c>
      <x:c r="U453" s="2" t="str">
        <x:f>INDEX('Dated offers'!$C$7:$C$305,MATCH($Z453,'Dated offers'!$A$7:$A$305,0))</x:f>
        <x:v>LCSC</x:v>
      </x:c>
      <x:c r="V453" s="2" t="str">
        <x:f>INDEX('Dated offers'!$D$7:$D$305,MATCH($Z453,'Dated offers'!$A$7:$A$305,0))</x:f>
        <x:v>C844452</x:v>
      </x:c>
      <x:c r="W453" s="24" t="n">
        <x:f>INDEX('Dated offers'!$E$7:$E$305,MATCH($Z453,'Dated offers'!$A$7:$A$305,0))</x:f>
        <x:v>46307.447482916665</x:v>
      </x:c>
      <x:c r="X453" s="2" t="b">
        <x:f>INDEX('Dated offers'!$N$7:$N$305,MATCH($Z453,'Dated offers'!$A$7:$A$305,0))</x:f>
        <x:v>0</x:v>
      </x:c>
      <x:c r="Y453" s="2" t="str">
        <x:f>INDEX('Dated offers'!$O$7:$O$305,MATCH($Z453,'Dated offers'!$A$7:$A$305,0))</x:f>
        <x:v>Unreserved inventory snapshot</x:v>
      </x:c>
      <x:c r="Z453" s="17" t="str">
        <x:v>OF0277</x:v>
      </x:c>
      <x:c r="AA453" s="2"/>
      <x:c r="AB453" s="2" t="str">
        <x:f>INDEX('Dated offers'!$Q$7:$Q$305,MATCH($Z453,'Dated offers'!$A$7:$A$305,0))</x:f>
        <x:v>https://www.lcsc.com/product-detail/C844452.html</x:v>
      </x:c>
    </x:row>
    <x:row r="454" ht="24" customHeight="1">
      <x:c r="A454" s="2" t="str">
        <x:v>100 boards / nominal</x:v>
      </x:c>
      <x:c r="B454" s="17" t="str">
        <x:v>TNPW04021K24BEED</x:v>
      </x:c>
      <x:c r="C454" s="18" t="n">
        <x:v>100</x:v>
      </x:c>
      <x:c r="D454" s="27" t="n">
        <x:v>0</x:v>
      </x:c>
      <x:c r="E454" s="18" t="n">
        <x:f>INDEX('Assembly BOM'!$C$7:$C$162,MATCH($B454,'Assembly BOM'!$A$7:$A$162,0))</x:f>
        <x:v>1</x:v>
      </x:c>
      <x:c r="F454" s="18" t="n">
        <x:f>C454*E454</x:f>
        <x:v>100</x:v>
      </x:c>
      <x:c r="G454" s="18" t="n">
        <x:f>ROUNDUP(F454*(1+D454),0)</x:f>
        <x:v>100</x:v>
      </x:c>
      <x:c r="H454" s="18" t="n">
        <x:f>INDEX('Dated offers'!$F$7:$F$305,MATCH($Z454,'Dated offers'!$A$7:$A$305,0))</x:f>
        <x:v>1</x:v>
      </x:c>
      <x:c r="I454" s="18" t="n">
        <x:f>INDEX('Dated offers'!$G$7:$G$305,MATCH($Z454,'Dated offers'!$A$7:$A$305,0))</x:f>
        <x:v>1</x:v>
      </x:c>
      <x:c r="J454" s="18" t="n">
        <x:f>CEILING(MAX(G454,H454),I454)</x:f>
        <x:v>100</x:v>
      </x:c>
      <x:c r="K454" s="18" t="n">
        <x:v>100</x:v>
      </x:c>
      <x:c r="L454" s="18" t="n">
        <x:f>INDEX('Dated offers'!$I$7:$I$305,MATCH($Z454,'Dated offers'!$A$7:$A$305,0))</x:f>
        <x:v>100</x:v>
      </x:c>
      <x:c r="M454" s="25" t="n">
        <x:f>INDEX('Dated offers'!$J$7:$J$305,MATCH($Z454,'Dated offers'!$A$7:$A$305,0))</x:f>
        <x:v>0.1812</x:v>
      </x:c>
      <x:c r="N454" s="25" t="n">
        <x:f>INDEX('Dated offers'!$K$7:$K$305,MATCH($Z454,'Dated offers'!$A$7:$A$305,0))</x:f>
        <x:v>0</x:v>
      </x:c>
      <x:c r="O454" s="25" t="n">
        <x:f>F454*M454</x:f>
        <x:v>18.12</x:v>
      </x:c>
      <x:c r="P454" s="25" t="n">
        <x:f>G454*M454</x:f>
        <x:v>18.12</x:v>
      </x:c>
      <x:c r="Q454" s="25" t="n">
        <x:f>K454*M454+N454</x:f>
        <x:v>18.12</x:v>
      </x:c>
      <x:c r="R454" s="18" t="n">
        <x:f>K454-G454</x:f>
        <x:v>0</x:v>
      </x:c>
      <x:c r="S454" s="18" t="n">
        <x:f>INDEX('Dated offers'!$H$7:$H$305,MATCH($Z454,'Dated offers'!$A$7:$A$305,0))</x:f>
        <x:v>9768</x:v>
      </x:c>
      <x:c r="T454" s="2" t="str">
        <x:f>IF(K454&lt;G454,"Order below requirement",IF(K454&lt;L454,"Below price tier",IF(ISNUMBER(S454),IF(K454&gt;S454,"Quantity exceeds snapshot","Within quantity snapshot"),"Stock not stated")))</x:f>
        <x:v>Within quantity snapshot</x:v>
      </x:c>
      <x:c r="U454" s="2" t="str">
        <x:f>INDEX('Dated offers'!$C$7:$C$305,MATCH($Z454,'Dated offers'!$A$7:$A$305,0))</x:f>
        <x:v>DigiKey</x:v>
      </x:c>
      <x:c r="V454" s="2" t="str">
        <x:f>INDEX('Dated offers'!$D$7:$D$305,MATCH($Z454,'Dated offers'!$A$7:$A$305,0))</x:f>
        <x:v>Not stated</x:v>
      </x:c>
      <x:c r="W454" s="24" t="n">
        <x:f>INDEX('Dated offers'!$E$7:$E$305,MATCH($Z454,'Dated offers'!$A$7:$A$305,0))</x:f>
        <x:v>46307.4780725</x:v>
      </x:c>
      <x:c r="X454" s="2" t="b">
        <x:f>INDEX('Dated offers'!$N$7:$N$305,MATCH($Z454,'Dated offers'!$A$7:$A$305,0))</x:f>
        <x:v>0</x:v>
      </x:c>
      <x:c r="Y454" s="2" t="str">
        <x:f>INDEX('Dated offers'!$O$7:$O$305,MATCH($Z454,'Dated offers'!$A$7:$A$305,0))</x:f>
        <x:v>Unreserved inventory snapshot</x:v>
      </x:c>
      <x:c r="Z454" s="17" t="str">
        <x:v>OF0278</x:v>
      </x:c>
      <x:c r="AA454" s="2"/>
      <x:c r="AB454" s="2" t="str">
        <x:f>INDEX('Dated offers'!$Q$7:$Q$305,MATCH($Z454,'Dated offers'!$A$7:$A$305,0))</x:f>
        <x:v>https://www.digikey.com/en/products/detail/vishay-dale/TNPW04021K24BEED/4876054</x:v>
      </x:c>
    </x:row>
    <x:row r="455" ht="24" customHeight="1">
      <x:c r="A455" s="2" t="str">
        <x:v>100 boards / nominal</x:v>
      </x:c>
      <x:c r="B455" s="17" t="str">
        <x:v>TNPW04024K87BEED</x:v>
      </x:c>
      <x:c r="C455" s="18" t="n">
        <x:v>100</x:v>
      </x:c>
      <x:c r="D455" s="27" t="n">
        <x:v>0</x:v>
      </x:c>
      <x:c r="E455" s="18" t="n">
        <x:f>INDEX('Assembly BOM'!$C$7:$C$162,MATCH($B455,'Assembly BOM'!$A$7:$A$162,0))</x:f>
        <x:v>1</x:v>
      </x:c>
      <x:c r="F455" s="18" t="n">
        <x:f>C455*E455</x:f>
        <x:v>100</x:v>
      </x:c>
      <x:c r="G455" s="18" t="n">
        <x:f>ROUNDUP(F455*(1+D455),0)</x:f>
        <x:v>100</x:v>
      </x:c>
      <x:c r="H455" s="18" t="n">
        <x:f>INDEX('Dated offers'!$F$7:$F$305,MATCH($Z455,'Dated offers'!$A$7:$A$305,0))</x:f>
        <x:v>1</x:v>
      </x:c>
      <x:c r="I455" s="18" t="n">
        <x:f>INDEX('Dated offers'!$G$7:$G$305,MATCH($Z455,'Dated offers'!$A$7:$A$305,0))</x:f>
        <x:v>1</x:v>
      </x:c>
      <x:c r="J455" s="18" t="n">
        <x:f>CEILING(MAX(G455,H455),I455)</x:f>
        <x:v>100</x:v>
      </x:c>
      <x:c r="K455" s="18" t="n">
        <x:v>100</x:v>
      </x:c>
      <x:c r="L455" s="18" t="n">
        <x:f>INDEX('Dated offers'!$I$7:$I$305,MATCH($Z455,'Dated offers'!$A$7:$A$305,0))</x:f>
        <x:v>100</x:v>
      </x:c>
      <x:c r="M455" s="25" t="n">
        <x:f>INDEX('Dated offers'!$J$7:$J$305,MATCH($Z455,'Dated offers'!$A$7:$A$305,0))</x:f>
        <x:v>0.1812</x:v>
      </x:c>
      <x:c r="N455" s="25" t="n">
        <x:f>INDEX('Dated offers'!$K$7:$K$305,MATCH($Z455,'Dated offers'!$A$7:$A$305,0))</x:f>
        <x:v>0</x:v>
      </x:c>
      <x:c r="O455" s="25" t="n">
        <x:f>F455*M455</x:f>
        <x:v>18.12</x:v>
      </x:c>
      <x:c r="P455" s="25" t="n">
        <x:f>G455*M455</x:f>
        <x:v>18.12</x:v>
      </x:c>
      <x:c r="Q455" s="25" t="n">
        <x:f>K455*M455+N455</x:f>
        <x:v>18.12</x:v>
      </x:c>
      <x:c r="R455" s="18" t="n">
        <x:f>K455-G455</x:f>
        <x:v>0</x:v>
      </x:c>
      <x:c r="S455" s="18" t="n">
        <x:f>INDEX('Dated offers'!$H$7:$H$305,MATCH($Z455,'Dated offers'!$A$7:$A$305,0))</x:f>
        <x:v>8176</x:v>
      </x:c>
      <x:c r="T455" s="2" t="str">
        <x:f>IF(K455&lt;G455,"Order below requirement",IF(K455&lt;L455,"Below price tier",IF(ISNUMBER(S455),IF(K455&gt;S455,"Quantity exceeds snapshot","Within quantity snapshot"),"Stock not stated")))</x:f>
        <x:v>Within quantity snapshot</x:v>
      </x:c>
      <x:c r="U455" s="2" t="str">
        <x:f>INDEX('Dated offers'!$C$7:$C$305,MATCH($Z455,'Dated offers'!$A$7:$A$305,0))</x:f>
        <x:v>DigiKey</x:v>
      </x:c>
      <x:c r="V455" s="2" t="str">
        <x:f>INDEX('Dated offers'!$D$7:$D$305,MATCH($Z455,'Dated offers'!$A$7:$A$305,0))</x:f>
        <x:v>Not stated</x:v>
      </x:c>
      <x:c r="W455" s="24" t="n">
        <x:f>INDEX('Dated offers'!$E$7:$E$305,MATCH($Z455,'Dated offers'!$A$7:$A$305,0))</x:f>
        <x:v>46307.4780725</x:v>
      </x:c>
      <x:c r="X455" s="2" t="b">
        <x:f>INDEX('Dated offers'!$N$7:$N$305,MATCH($Z455,'Dated offers'!$A$7:$A$305,0))</x:f>
        <x:v>0</x:v>
      </x:c>
      <x:c r="Y455" s="2" t="str">
        <x:f>INDEX('Dated offers'!$O$7:$O$305,MATCH($Z455,'Dated offers'!$A$7:$A$305,0))</x:f>
        <x:v>Unreserved inventory snapshot</x:v>
      </x:c>
      <x:c r="Z455" s="17" t="str">
        <x:v>OF0279</x:v>
      </x:c>
      <x:c r="AA455" s="2"/>
      <x:c r="AB455" s="2" t="str">
        <x:f>INDEX('Dated offers'!$Q$7:$Q$305,MATCH($Z455,'Dated offers'!$A$7:$A$305,0))</x:f>
        <x:v>https://www.digikey.com/en/products/detail/vishay-dale/TNPW04024K87BEED/2217770</x:v>
      </x:c>
    </x:row>
    <x:row r="456" ht="24" customHeight="1">
      <x:c r="A456" s="2" t="str">
        <x:v>100 boards / nominal</x:v>
      </x:c>
      <x:c r="B456" s="17" t="str">
        <x:v>TNPW0603100KBEEA</x:v>
      </x:c>
      <x:c r="C456" s="18" t="n">
        <x:v>100</x:v>
      </x:c>
      <x:c r="D456" s="27" t="n">
        <x:v>0</x:v>
      </x:c>
      <x:c r="E456" s="18" t="n">
        <x:f>INDEX('Assembly BOM'!$C$7:$C$162,MATCH($B456,'Assembly BOM'!$A$7:$A$162,0))</x:f>
        <x:v>1</x:v>
      </x:c>
      <x:c r="F456" s="18" t="n">
        <x:f>C456*E456</x:f>
        <x:v>100</x:v>
      </x:c>
      <x:c r="G456" s="18" t="n">
        <x:f>ROUNDUP(F456*(1+D456),0)</x:f>
        <x:v>100</x:v>
      </x:c>
      <x:c r="H456" s="18" t="n">
        <x:f>INDEX('Dated offers'!$F$7:$F$305,MATCH($Z456,'Dated offers'!$A$7:$A$305,0))</x:f>
        <x:v>1</x:v>
      </x:c>
      <x:c r="I456" s="18" t="n">
        <x:f>INDEX('Dated offers'!$G$7:$G$305,MATCH($Z456,'Dated offers'!$A$7:$A$305,0))</x:f>
        <x:v>1</x:v>
      </x:c>
      <x:c r="J456" s="18" t="n">
        <x:f>CEILING(MAX(G456,H456),I456)</x:f>
        <x:v>100</x:v>
      </x:c>
      <x:c r="K456" s="18" t="n">
        <x:v>100</x:v>
      </x:c>
      <x:c r="L456" s="18" t="n">
        <x:f>INDEX('Dated offers'!$I$7:$I$305,MATCH($Z456,'Dated offers'!$A$7:$A$305,0))</x:f>
        <x:v>100</x:v>
      </x:c>
      <x:c r="M456" s="25" t="n">
        <x:f>INDEX('Dated offers'!$J$7:$J$305,MATCH($Z456,'Dated offers'!$A$7:$A$305,0))</x:f>
        <x:v>0.1812</x:v>
      </x:c>
      <x:c r="N456" s="25" t="n">
        <x:f>INDEX('Dated offers'!$K$7:$K$305,MATCH($Z456,'Dated offers'!$A$7:$A$305,0))</x:f>
        <x:v>0</x:v>
      </x:c>
      <x:c r="O456" s="25" t="n">
        <x:f>F456*M456</x:f>
        <x:v>18.12</x:v>
      </x:c>
      <x:c r="P456" s="25" t="n">
        <x:f>G456*M456</x:f>
        <x:v>18.12</x:v>
      </x:c>
      <x:c r="Q456" s="25" t="n">
        <x:f>K456*M456+N456</x:f>
        <x:v>18.12</x:v>
      </x:c>
      <x:c r="R456" s="18" t="n">
        <x:f>K456-G456</x:f>
        <x:v>0</x:v>
      </x:c>
      <x:c r="S456" s="18" t="n">
        <x:f>INDEX('Dated offers'!$H$7:$H$305,MATCH($Z456,'Dated offers'!$A$7:$A$305,0))</x:f>
        <x:v>88719</x:v>
      </x:c>
      <x:c r="T456" s="2" t="str">
        <x:f>IF(K456&lt;G456,"Order below requirement",IF(K456&lt;L456,"Below price tier",IF(ISNUMBER(S456),IF(K456&gt;S456,"Quantity exceeds snapshot","Within quantity snapshot"),"Stock not stated")))</x:f>
        <x:v>Within quantity snapshot</x:v>
      </x:c>
      <x:c r="U456" s="2" t="str">
        <x:f>INDEX('Dated offers'!$C$7:$C$305,MATCH($Z456,'Dated offers'!$A$7:$A$305,0))</x:f>
        <x:v>DigiKey</x:v>
      </x:c>
      <x:c r="V456" s="2" t="str">
        <x:f>INDEX('Dated offers'!$D$7:$D$305,MATCH($Z456,'Dated offers'!$A$7:$A$305,0))</x:f>
        <x:v>Not stated</x:v>
      </x:c>
      <x:c r="W456" s="24" t="n">
        <x:f>INDEX('Dated offers'!$E$7:$E$305,MATCH($Z456,'Dated offers'!$A$7:$A$305,0))</x:f>
        <x:v>46307.4780725</x:v>
      </x:c>
      <x:c r="X456" s="2" t="b">
        <x:f>INDEX('Dated offers'!$N$7:$N$305,MATCH($Z456,'Dated offers'!$A$7:$A$305,0))</x:f>
        <x:v>0</x:v>
      </x:c>
      <x:c r="Y456" s="2" t="str">
        <x:f>INDEX('Dated offers'!$O$7:$O$305,MATCH($Z456,'Dated offers'!$A$7:$A$305,0))</x:f>
        <x:v>Unreserved inventory snapshot</x:v>
      </x:c>
      <x:c r="Z456" s="17" t="str">
        <x:v>OF0280</x:v>
      </x:c>
      <x:c r="AA456" s="2"/>
      <x:c r="AB456" s="2" t="str">
        <x:f>INDEX('Dated offers'!$Q$7:$Q$305,MATCH($Z456,'Dated offers'!$A$7:$A$305,0))</x:f>
        <x:v>https://www.digikey.com/en/products/detail/vishay-dale/TNPW0603100KBEEA/1857055</x:v>
      </x:c>
    </x:row>
    <x:row r="457" ht="24" customHeight="1">
      <x:c r="A457" s="2" t="str">
        <x:v>100 boards / nominal</x:v>
      </x:c>
      <x:c r="B457" s="17" t="str">
        <x:v>TPD1E05U06DPYR</x:v>
      </x:c>
      <x:c r="C457" s="18" t="n">
        <x:v>100</x:v>
      </x:c>
      <x:c r="D457" s="27" t="n">
        <x:v>0</x:v>
      </x:c>
      <x:c r="E457" s="18" t="n">
        <x:f>INDEX('Assembly BOM'!$C$7:$C$162,MATCH($B457,'Assembly BOM'!$A$7:$A$162,0))</x:f>
        <x:v>3</x:v>
      </x:c>
      <x:c r="F457" s="18" t="n">
        <x:f>C457*E457</x:f>
        <x:v>300</x:v>
      </x:c>
      <x:c r="G457" s="18" t="n">
        <x:f>ROUNDUP(F457*(1+D457),0)</x:f>
        <x:v>300</x:v>
      </x:c>
      <x:c r="H457" s="18" t="n">
        <x:f>INDEX('Dated offers'!$F$7:$F$305,MATCH($Z457,'Dated offers'!$A$7:$A$305,0))</x:f>
        <x:v>1</x:v>
      </x:c>
      <x:c r="I457" s="18" t="n">
        <x:f>INDEX('Dated offers'!$G$7:$G$305,MATCH($Z457,'Dated offers'!$A$7:$A$305,0))</x:f>
        <x:v>1</x:v>
      </x:c>
      <x:c r="J457" s="18" t="n">
        <x:f>CEILING(MAX(G457,H457),I457)</x:f>
        <x:v>300</x:v>
      </x:c>
      <x:c r="K457" s="18" t="n">
        <x:v>300</x:v>
      </x:c>
      <x:c r="L457" s="18" t="n">
        <x:f>INDEX('Dated offers'!$I$7:$I$305,MATCH($Z457,'Dated offers'!$A$7:$A$305,0))</x:f>
        <x:v>100</x:v>
      </x:c>
      <x:c r="M457" s="25" t="n">
        <x:f>INDEX('Dated offers'!$J$7:$J$305,MATCH($Z457,'Dated offers'!$A$7:$A$305,0))</x:f>
        <x:v>0.1685</x:v>
      </x:c>
      <x:c r="N457" s="25" t="n">
        <x:f>INDEX('Dated offers'!$K$7:$K$305,MATCH($Z457,'Dated offers'!$A$7:$A$305,0))</x:f>
        <x:v>0</x:v>
      </x:c>
      <x:c r="O457" s="25" t="n">
        <x:f>F457*M457</x:f>
        <x:v>50.550000000000004</x:v>
      </x:c>
      <x:c r="P457" s="25" t="n">
        <x:f>G457*M457</x:f>
        <x:v>50.550000000000004</x:v>
      </x:c>
      <x:c r="Q457" s="25" t="n">
        <x:f>K457*M457+N457</x:f>
        <x:v>50.550000000000004</x:v>
      </x:c>
      <x:c r="R457" s="18" t="n">
        <x:f>K457-G457</x:f>
        <x:v>0</x:v>
      </x:c>
      <x:c r="S457" s="18" t="n">
        <x:f>INDEX('Dated offers'!$H$7:$H$305,MATCH($Z457,'Dated offers'!$A$7:$A$305,0))</x:f>
        <x:v>590494</x:v>
      </x:c>
      <x:c r="T457" s="2" t="str">
        <x:f>IF(K457&lt;G457,"Order below requirement",IF(K457&lt;L457,"Below price tier",IF(ISNUMBER(S457),IF(K457&gt;S457,"Quantity exceeds snapshot","Within quantity snapshot"),"Stock not stated")))</x:f>
        <x:v>Within quantity snapshot</x:v>
      </x:c>
      <x:c r="U457" s="2" t="str">
        <x:f>INDEX('Dated offers'!$C$7:$C$305,MATCH($Z457,'Dated offers'!$A$7:$A$305,0))</x:f>
        <x:v>DigiKey</x:v>
      </x:c>
      <x:c r="V457" s="2" t="str">
        <x:f>INDEX('Dated offers'!$D$7:$D$305,MATCH($Z457,'Dated offers'!$A$7:$A$305,0))</x:f>
        <x:v>Not stated</x:v>
      </x:c>
      <x:c r="W457" s="24" t="n">
        <x:f>INDEX('Dated offers'!$E$7:$E$305,MATCH($Z457,'Dated offers'!$A$7:$A$305,0))</x:f>
        <x:v>46307.4780725</x:v>
      </x:c>
      <x:c r="X457" s="2" t="b">
        <x:f>INDEX('Dated offers'!$N$7:$N$305,MATCH($Z457,'Dated offers'!$A$7:$A$305,0))</x:f>
        <x:v>0</x:v>
      </x:c>
      <x:c r="Y457" s="2" t="str">
        <x:f>INDEX('Dated offers'!$O$7:$O$305,MATCH($Z457,'Dated offers'!$A$7:$A$305,0))</x:f>
        <x:v>Unreserved inventory snapshot</x:v>
      </x:c>
      <x:c r="Z457" s="17" t="str">
        <x:v>OF0281</x:v>
      </x:c>
      <x:c r="AA457" s="2"/>
      <x:c r="AB457" s="2" t="str">
        <x:f>INDEX('Dated offers'!$Q$7:$Q$305,MATCH($Z457,'Dated offers'!$A$7:$A$305,0))</x:f>
        <x:v>https://www.digikey.com/en/products/detail/texas-instruments/TPD1E05U06DPYR/3844805</x:v>
      </x:c>
    </x:row>
    <x:row r="458" ht="24" customHeight="1">
      <x:c r="A458" s="2" t="str">
        <x:v>100 boards / nominal</x:v>
      </x:c>
      <x:c r="B458" s="17" t="str">
        <x:v>TPD4E1U06DBVR</x:v>
      </x:c>
      <x:c r="C458" s="18" t="n">
        <x:v>100</x:v>
      </x:c>
      <x:c r="D458" s="27" t="n">
        <x:v>0</x:v>
      </x:c>
      <x:c r="E458" s="18" t="n">
        <x:f>INDEX('Assembly BOM'!$C$7:$C$162,MATCH($B458,'Assembly BOM'!$A$7:$A$162,0))</x:f>
        <x:v>1</x:v>
      </x:c>
      <x:c r="F458" s="18" t="n">
        <x:f>C458*E458</x:f>
        <x:v>100</x:v>
      </x:c>
      <x:c r="G458" s="18" t="n">
        <x:f>ROUNDUP(F458*(1+D458),0)</x:f>
        <x:v>100</x:v>
      </x:c>
      <x:c r="H458" s="18" t="n">
        <x:f>INDEX('Dated offers'!$F$7:$F$305,MATCH($Z458,'Dated offers'!$A$7:$A$305,0))</x:f>
        <x:v>1</x:v>
      </x:c>
      <x:c r="I458" s="18" t="n">
        <x:f>INDEX('Dated offers'!$G$7:$G$305,MATCH($Z458,'Dated offers'!$A$7:$A$305,0))</x:f>
        <x:v>1</x:v>
      </x:c>
      <x:c r="J458" s="18" t="n">
        <x:f>CEILING(MAX(G458,H458),I458)</x:f>
        <x:v>100</x:v>
      </x:c>
      <x:c r="K458" s="18" t="n">
        <x:v>100</x:v>
      </x:c>
      <x:c r="L458" s="18" t="n">
        <x:f>INDEX('Dated offers'!$I$7:$I$305,MATCH($Z458,'Dated offers'!$A$7:$A$305,0))</x:f>
        <x:v>100</x:v>
      </x:c>
      <x:c r="M458" s="25" t="n">
        <x:f>INDEX('Dated offers'!$J$7:$J$305,MATCH($Z458,'Dated offers'!$A$7:$A$305,0))</x:f>
        <x:v>0.3809</x:v>
      </x:c>
      <x:c r="N458" s="25" t="n">
        <x:f>INDEX('Dated offers'!$K$7:$K$305,MATCH($Z458,'Dated offers'!$A$7:$A$305,0))</x:f>
        <x:v>0</x:v>
      </x:c>
      <x:c r="O458" s="25" t="n">
        <x:f>F458*M458</x:f>
        <x:v>38.09</x:v>
      </x:c>
      <x:c r="P458" s="25" t="n">
        <x:f>G458*M458</x:f>
        <x:v>38.09</x:v>
      </x:c>
      <x:c r="Q458" s="25" t="n">
        <x:f>K458*M458+N458</x:f>
        <x:v>38.09</x:v>
      </x:c>
      <x:c r="R458" s="18" t="n">
        <x:f>K458-G458</x:f>
        <x:v>0</x:v>
      </x:c>
      <x:c r="S458" s="18" t="n">
        <x:f>INDEX('Dated offers'!$H$7:$H$305,MATCH($Z458,'Dated offers'!$A$7:$A$305,0))</x:f>
        <x:v>28706</x:v>
      </x:c>
      <x:c r="T458" s="2" t="str">
        <x:f>IF(K458&lt;G458,"Order below requirement",IF(K458&lt;L458,"Below price tier",IF(ISNUMBER(S458),IF(K458&gt;S458,"Quantity exceeds snapshot","Within quantity snapshot"),"Stock not stated")))</x:f>
        <x:v>Within quantity snapshot</x:v>
      </x:c>
      <x:c r="U458" s="2" t="str">
        <x:f>INDEX('Dated offers'!$C$7:$C$305,MATCH($Z458,'Dated offers'!$A$7:$A$305,0))</x:f>
        <x:v>DigiKey</x:v>
      </x:c>
      <x:c r="V458" s="2" t="str">
        <x:f>INDEX('Dated offers'!$D$7:$D$305,MATCH($Z458,'Dated offers'!$A$7:$A$305,0))</x:f>
        <x:v>Not stated</x:v>
      </x:c>
      <x:c r="W458" s="24" t="n">
        <x:f>INDEX('Dated offers'!$E$7:$E$305,MATCH($Z458,'Dated offers'!$A$7:$A$305,0))</x:f>
        <x:v>46307.47807255787</x:v>
      </x:c>
      <x:c r="X458" s="2" t="b">
        <x:f>INDEX('Dated offers'!$N$7:$N$305,MATCH($Z458,'Dated offers'!$A$7:$A$305,0))</x:f>
        <x:v>0</x:v>
      </x:c>
      <x:c r="Y458" s="2" t="str">
        <x:f>INDEX('Dated offers'!$O$7:$O$305,MATCH($Z458,'Dated offers'!$A$7:$A$305,0))</x:f>
        <x:v>Unreserved inventory snapshot</x:v>
      </x:c>
      <x:c r="Z458" s="17" t="str">
        <x:v>OF0282</x:v>
      </x:c>
      <x:c r="AA458" s="2"/>
      <x:c r="AB458" s="2" t="str">
        <x:f>INDEX('Dated offers'!$Q$7:$Q$305,MATCH($Z458,'Dated offers'!$A$7:$A$305,0))</x:f>
        <x:v>https://www.digikey.com/en/products/detail/texas-instruments/TPD4E1U06DBVR/3929533</x:v>
      </x:c>
    </x:row>
    <x:row r="459" ht="24" customHeight="1">
      <x:c r="A459" s="2" t="str">
        <x:v>100 boards / nominal</x:v>
      </x:c>
      <x:c r="B459" s="17" t="str">
        <x:v>TPS2490DGSR</x:v>
      </x:c>
      <x:c r="C459" s="18" t="n">
        <x:v>100</x:v>
      </x:c>
      <x:c r="D459" s="27" t="n">
        <x:v>0</x:v>
      </x:c>
      <x:c r="E459" s="18" t="n">
        <x:f>INDEX('Assembly BOM'!$C$7:$C$162,MATCH($B459,'Assembly BOM'!$A$7:$A$162,0))</x:f>
        <x:v>1</x:v>
      </x:c>
      <x:c r="F459" s="18" t="n">
        <x:f>C459*E459</x:f>
        <x:v>100</x:v>
      </x:c>
      <x:c r="G459" s="18" t="n">
        <x:f>ROUNDUP(F459*(1+D459),0)</x:f>
        <x:v>100</x:v>
      </x:c>
      <x:c r="H459" s="18" t="n">
        <x:f>INDEX('Dated offers'!$F$7:$F$305,MATCH($Z459,'Dated offers'!$A$7:$A$305,0))</x:f>
        <x:v>1</x:v>
      </x:c>
      <x:c r="I459" s="18" t="n">
        <x:f>INDEX('Dated offers'!$G$7:$G$305,MATCH($Z459,'Dated offers'!$A$7:$A$305,0))</x:f>
        <x:v>1</x:v>
      </x:c>
      <x:c r="J459" s="18" t="n">
        <x:f>CEILING(MAX(G459,H459),I459)</x:f>
        <x:v>100</x:v>
      </x:c>
      <x:c r="K459" s="18" t="n">
        <x:v>100</x:v>
      </x:c>
      <x:c r="L459" s="18" t="n">
        <x:f>INDEX('Dated offers'!$I$7:$I$305,MATCH($Z459,'Dated offers'!$A$7:$A$305,0))</x:f>
        <x:v>100</x:v>
      </x:c>
      <x:c r="M459" s="25" t="n">
        <x:f>INDEX('Dated offers'!$J$7:$J$305,MATCH($Z459,'Dated offers'!$A$7:$A$305,0))</x:f>
        <x:v>2.2825</x:v>
      </x:c>
      <x:c r="N459" s="25" t="n">
        <x:f>INDEX('Dated offers'!$K$7:$K$305,MATCH($Z459,'Dated offers'!$A$7:$A$305,0))</x:f>
        <x:v>0</x:v>
      </x:c>
      <x:c r="O459" s="25" t="n">
        <x:f>F459*M459</x:f>
        <x:v>228.25000000000003</x:v>
      </x:c>
      <x:c r="P459" s="25" t="n">
        <x:f>G459*M459</x:f>
        <x:v>228.25000000000003</x:v>
      </x:c>
      <x:c r="Q459" s="25" t="n">
        <x:f>K459*M459+N459</x:f>
        <x:v>228.25000000000003</x:v>
      </x:c>
      <x:c r="R459" s="18" t="n">
        <x:f>K459-G459</x:f>
        <x:v>0</x:v>
      </x:c>
      <x:c r="S459" s="18" t="n">
        <x:f>INDEX('Dated offers'!$H$7:$H$305,MATCH($Z459,'Dated offers'!$A$7:$A$305,0))</x:f>
        <x:v>3000</x:v>
      </x:c>
      <x:c r="T459" s="2" t="str">
        <x:f>IF(K459&lt;G459,"Order below requirement",IF(K459&lt;L459,"Below price tier",IF(ISNUMBER(S459),IF(K459&gt;S459,"Quantity exceeds snapshot","Within quantity snapshot"),"Stock not stated")))</x:f>
        <x:v>Within quantity snapshot</x:v>
      </x:c>
      <x:c r="U459" s="2" t="str">
        <x:f>INDEX('Dated offers'!$C$7:$C$305,MATCH($Z459,'Dated offers'!$A$7:$A$305,0))</x:f>
        <x:v>LCSC</x:v>
      </x:c>
      <x:c r="V459" s="2" t="str">
        <x:f>INDEX('Dated offers'!$D$7:$D$305,MATCH($Z459,'Dated offers'!$A$7:$A$305,0))</x:f>
        <x:v>C139631</x:v>
      </x:c>
      <x:c r="W459" s="24" t="n">
        <x:f>INDEX('Dated offers'!$E$7:$E$305,MATCH($Z459,'Dated offers'!$A$7:$A$305,0))</x:f>
        <x:v>46307.44748415509</x:v>
      </x:c>
      <x:c r="X459" s="2" t="b">
        <x:f>INDEX('Dated offers'!$N$7:$N$305,MATCH($Z459,'Dated offers'!$A$7:$A$305,0))</x:f>
        <x:v>0</x:v>
      </x:c>
      <x:c r="Y459" s="2" t="str">
        <x:f>INDEX('Dated offers'!$O$7:$O$305,MATCH($Z459,'Dated offers'!$A$7:$A$305,0))</x:f>
        <x:v>Unreserved inventory snapshot</x:v>
      </x:c>
      <x:c r="Z459" s="17" t="str">
        <x:v>OF0283</x:v>
      </x:c>
      <x:c r="AA459" s="2"/>
      <x:c r="AB459" s="2" t="str">
        <x:f>INDEX('Dated offers'!$Q$7:$Q$305,MATCH($Z459,'Dated offers'!$A$7:$A$305,0))</x:f>
        <x:v>https://www.lcsc.com/product-detail/C139631.html</x:v>
      </x:c>
    </x:row>
    <x:row r="460" ht="24" customHeight="1">
      <x:c r="A460" s="2" t="str">
        <x:v>100 boards / nominal</x:v>
      </x:c>
      <x:c r="B460" s="17" t="str">
        <x:v>TPS2553DBVR-1</x:v>
      </x:c>
      <x:c r="C460" s="18" t="n">
        <x:v>100</x:v>
      </x:c>
      <x:c r="D460" s="27" t="n">
        <x:v>0</x:v>
      </x:c>
      <x:c r="E460" s="18" t="n">
        <x:f>INDEX('Assembly BOM'!$C$7:$C$162,MATCH($B460,'Assembly BOM'!$A$7:$A$162,0))</x:f>
        <x:v>1</x:v>
      </x:c>
      <x:c r="F460" s="18" t="n">
        <x:f>C460*E460</x:f>
        <x:v>100</x:v>
      </x:c>
      <x:c r="G460" s="18" t="n">
        <x:f>ROUNDUP(F460*(1+D460),0)</x:f>
        <x:v>100</x:v>
      </x:c>
      <x:c r="H460" s="18" t="n">
        <x:f>INDEX('Dated offers'!$F$7:$F$305,MATCH($Z460,'Dated offers'!$A$7:$A$305,0))</x:f>
        <x:v>5</x:v>
      </x:c>
      <x:c r="I460" s="18" t="n">
        <x:f>INDEX('Dated offers'!$G$7:$G$305,MATCH($Z460,'Dated offers'!$A$7:$A$305,0))</x:f>
        <x:v>5</x:v>
      </x:c>
      <x:c r="J460" s="18" t="n">
        <x:f>CEILING(MAX(G460,H460),I460)</x:f>
        <x:v>100</x:v>
      </x:c>
      <x:c r="K460" s="18" t="n">
        <x:v>100</x:v>
      </x:c>
      <x:c r="L460" s="18" t="n">
        <x:f>INDEX('Dated offers'!$I$7:$I$305,MATCH($Z460,'Dated offers'!$A$7:$A$305,0))</x:f>
        <x:v>50</x:v>
      </x:c>
      <x:c r="M460" s="25" t="n">
        <x:f>INDEX('Dated offers'!$J$7:$J$305,MATCH($Z460,'Dated offers'!$A$7:$A$305,0))</x:f>
        <x:v>0.235</x:v>
      </x:c>
      <x:c r="N460" s="25" t="n">
        <x:f>INDEX('Dated offers'!$K$7:$K$305,MATCH($Z460,'Dated offers'!$A$7:$A$305,0))</x:f>
        <x:v>0</x:v>
      </x:c>
      <x:c r="O460" s="25" t="n">
        <x:f>F460*M460</x:f>
        <x:v>23.5</x:v>
      </x:c>
      <x:c r="P460" s="25" t="n">
        <x:f>G460*M460</x:f>
        <x:v>23.5</x:v>
      </x:c>
      <x:c r="Q460" s="25" t="n">
        <x:f>K460*M460+N460</x:f>
        <x:v>23.5</x:v>
      </x:c>
      <x:c r="R460" s="18" t="n">
        <x:f>K460-G460</x:f>
        <x:v>0</x:v>
      </x:c>
      <x:c r="S460" s="18" t="n">
        <x:f>INDEX('Dated offers'!$H$7:$H$305,MATCH($Z460,'Dated offers'!$A$7:$A$305,0))</x:f>
        <x:v>12040</x:v>
      </x:c>
      <x:c r="T460" s="2" t="str">
        <x:f>IF(K460&lt;G460,"Order below requirement",IF(K460&lt;L460,"Below price tier",IF(ISNUMBER(S460),IF(K460&gt;S460,"Quantity exceeds snapshot","Within quantity snapshot"),"Stock not stated")))</x:f>
        <x:v>Within quantity snapshot</x:v>
      </x:c>
      <x:c r="U460" s="2" t="str">
        <x:f>INDEX('Dated offers'!$C$7:$C$305,MATCH($Z460,'Dated offers'!$A$7:$A$305,0))</x:f>
        <x:v>LCSC</x:v>
      </x:c>
      <x:c r="V460" s="2" t="str">
        <x:f>INDEX('Dated offers'!$D$7:$D$305,MATCH($Z460,'Dated offers'!$A$7:$A$305,0))</x:f>
        <x:v>C111738</x:v>
      </x:c>
      <x:c r="W460" s="24" t="n">
        <x:f>INDEX('Dated offers'!$E$7:$E$305,MATCH($Z460,'Dated offers'!$A$7:$A$305,0))</x:f>
        <x:v>46307.44748585648</x:v>
      </x:c>
      <x:c r="X460" s="2" t="b">
        <x:f>INDEX('Dated offers'!$N$7:$N$305,MATCH($Z460,'Dated offers'!$A$7:$A$305,0))</x:f>
        <x:v>0</x:v>
      </x:c>
      <x:c r="Y460" s="2" t="str">
        <x:f>INDEX('Dated offers'!$O$7:$O$305,MATCH($Z460,'Dated offers'!$A$7:$A$305,0))</x:f>
        <x:v>Unreserved inventory snapshot</x:v>
      </x:c>
      <x:c r="Z460" s="17" t="str">
        <x:v>OF0284</x:v>
      </x:c>
      <x:c r="AA460" s="2"/>
      <x:c r="AB460" s="2" t="str">
        <x:f>INDEX('Dated offers'!$Q$7:$Q$305,MATCH($Z460,'Dated offers'!$A$7:$A$305,0))</x:f>
        <x:v>https://www.lcsc.com/product-detail/C111738.html</x:v>
      </x:c>
    </x:row>
    <x:row r="461" ht="24" customHeight="1">
      <x:c r="A461" s="2" t="str">
        <x:v>100 boards / nominal</x:v>
      </x:c>
      <x:c r="B461" s="17" t="str">
        <x:v>TPS259474ARPWR</x:v>
      </x:c>
      <x:c r="C461" s="18" t="n">
        <x:v>100</x:v>
      </x:c>
      <x:c r="D461" s="27" t="n">
        <x:v>0</x:v>
      </x:c>
      <x:c r="E461" s="18" t="n">
        <x:f>INDEX('Assembly BOM'!$C$7:$C$162,MATCH($B461,'Assembly BOM'!$A$7:$A$162,0))</x:f>
        <x:v>1</x:v>
      </x:c>
      <x:c r="F461" s="18" t="n">
        <x:f>C461*E461</x:f>
        <x:v>100</x:v>
      </x:c>
      <x:c r="G461" s="18" t="n">
        <x:f>ROUNDUP(F461*(1+D461),0)</x:f>
        <x:v>100</x:v>
      </x:c>
      <x:c r="H461" s="18" t="n">
        <x:f>INDEX('Dated offers'!$F$7:$F$305,MATCH($Z461,'Dated offers'!$A$7:$A$305,0))</x:f>
        <x:v>1</x:v>
      </x:c>
      <x:c r="I461" s="18" t="n">
        <x:f>INDEX('Dated offers'!$G$7:$G$305,MATCH($Z461,'Dated offers'!$A$7:$A$305,0))</x:f>
        <x:v>1</x:v>
      </x:c>
      <x:c r="J461" s="18" t="n">
        <x:f>CEILING(MAX(G461,H461),I461)</x:f>
        <x:v>100</x:v>
      </x:c>
      <x:c r="K461" s="18" t="n">
        <x:v>100</x:v>
      </x:c>
      <x:c r="L461" s="18" t="n">
        <x:f>INDEX('Dated offers'!$I$7:$I$305,MATCH($Z461,'Dated offers'!$A$7:$A$305,0))</x:f>
        <x:v>100</x:v>
      </x:c>
      <x:c r="M461" s="25" t="n">
        <x:f>INDEX('Dated offers'!$J$7:$J$305,MATCH($Z461,'Dated offers'!$A$7:$A$305,0))</x:f>
        <x:v>1.902</x:v>
      </x:c>
      <x:c r="N461" s="25" t="n">
        <x:f>INDEX('Dated offers'!$K$7:$K$305,MATCH($Z461,'Dated offers'!$A$7:$A$305,0))</x:f>
        <x:v>0</x:v>
      </x:c>
      <x:c r="O461" s="25" t="n">
        <x:f>F461*M461</x:f>
        <x:v>190.2</x:v>
      </x:c>
      <x:c r="P461" s="25" t="n">
        <x:f>G461*M461</x:f>
        <x:v>190.2</x:v>
      </x:c>
      <x:c r="Q461" s="25" t="n">
        <x:f>K461*M461+N461</x:f>
        <x:v>190.2</x:v>
      </x:c>
      <x:c r="R461" s="18" t="n">
        <x:f>K461-G461</x:f>
        <x:v>0</x:v>
      </x:c>
      <x:c r="S461" s="18" t="n">
        <x:f>INDEX('Dated offers'!$H$7:$H$305,MATCH($Z461,'Dated offers'!$A$7:$A$305,0))</x:f>
        <x:v>208</x:v>
      </x:c>
      <x:c r="T461" s="2" t="str">
        <x:f>IF(K461&lt;G461,"Order below requirement",IF(K461&lt;L461,"Below price tier",IF(ISNUMBER(S461),IF(K461&gt;S461,"Quantity exceeds snapshot","Within quantity snapshot"),"Stock not stated")))</x:f>
        <x:v>Within quantity snapshot</x:v>
      </x:c>
      <x:c r="U461" s="2" t="str">
        <x:f>INDEX('Dated offers'!$C$7:$C$305,MATCH($Z461,'Dated offers'!$A$7:$A$305,0))</x:f>
        <x:v>LCSC</x:v>
      </x:c>
      <x:c r="V461" s="2" t="str">
        <x:f>INDEX('Dated offers'!$D$7:$D$305,MATCH($Z461,'Dated offers'!$A$7:$A$305,0))</x:f>
        <x:v>C3662807</x:v>
      </x:c>
      <x:c r="W461" s="24" t="n">
        <x:f>INDEX('Dated offers'!$E$7:$E$305,MATCH($Z461,'Dated offers'!$A$7:$A$305,0))</x:f>
        <x:v>46307.44748833333</x:v>
      </x:c>
      <x:c r="X461" s="2" t="b">
        <x:f>INDEX('Dated offers'!$N$7:$N$305,MATCH($Z461,'Dated offers'!$A$7:$A$305,0))</x:f>
        <x:v>0</x:v>
      </x:c>
      <x:c r="Y461" s="2" t="str">
        <x:f>INDEX('Dated offers'!$O$7:$O$305,MATCH($Z461,'Dated offers'!$A$7:$A$305,0))</x:f>
        <x:v>Unreserved inventory snapshot</x:v>
      </x:c>
      <x:c r="Z461" s="17" t="str">
        <x:v>OF0285</x:v>
      </x:c>
      <x:c r="AA461" s="2"/>
      <x:c r="AB461" s="2" t="str">
        <x:f>INDEX('Dated offers'!$Q$7:$Q$305,MATCH($Z461,'Dated offers'!$A$7:$A$305,0))</x:f>
        <x:v>https://www.lcsc.com/product-detail/C3662807.html</x:v>
      </x:c>
    </x:row>
    <x:row r="462" ht="24" customHeight="1">
      <x:c r="A462" s="2" t="str">
        <x:v>100 boards / nominal</x:v>
      </x:c>
      <x:c r="B462" s="17" t="str">
        <x:v>TPS259474LRPWR</x:v>
      </x:c>
      <x:c r="C462" s="18" t="n">
        <x:v>100</x:v>
      </x:c>
      <x:c r="D462" s="27" t="n">
        <x:v>0</x:v>
      </x:c>
      <x:c r="E462" s="18" t="n">
        <x:f>INDEX('Assembly BOM'!$C$7:$C$162,MATCH($B462,'Assembly BOM'!$A$7:$A$162,0))</x:f>
        <x:v>2</x:v>
      </x:c>
      <x:c r="F462" s="18" t="n">
        <x:f>C462*E462</x:f>
        <x:v>200</x:v>
      </x:c>
      <x:c r="G462" s="18" t="n">
        <x:f>ROUNDUP(F462*(1+D462),0)</x:f>
        <x:v>200</x:v>
      </x:c>
      <x:c r="H462" s="18" t="n">
        <x:f>INDEX('Dated offers'!$F$7:$F$305,MATCH($Z462,'Dated offers'!$A$7:$A$305,0))</x:f>
        <x:v>1</x:v>
      </x:c>
      <x:c r="I462" s="18" t="n">
        <x:f>INDEX('Dated offers'!$G$7:$G$305,MATCH($Z462,'Dated offers'!$A$7:$A$305,0))</x:f>
        <x:v>1</x:v>
      </x:c>
      <x:c r="J462" s="18" t="n">
        <x:f>CEILING(MAX(G462,H462),I462)</x:f>
        <x:v>200</x:v>
      </x:c>
      <x:c r="K462" s="18" t="n">
        <x:v>200</x:v>
      </x:c>
      <x:c r="L462" s="18" t="n">
        <x:f>INDEX('Dated offers'!$I$7:$I$305,MATCH($Z462,'Dated offers'!$A$7:$A$305,0))</x:f>
        <x:v>100</x:v>
      </x:c>
      <x:c r="M462" s="25" t="n">
        <x:f>INDEX('Dated offers'!$J$7:$J$305,MATCH($Z462,'Dated offers'!$A$7:$A$305,0))</x:f>
        <x:v>1.1641</x:v>
      </x:c>
      <x:c r="N462" s="25" t="n">
        <x:f>INDEX('Dated offers'!$K$7:$K$305,MATCH($Z462,'Dated offers'!$A$7:$A$305,0))</x:f>
        <x:v>0</x:v>
      </x:c>
      <x:c r="O462" s="25" t="n">
        <x:f>F462*M462</x:f>
        <x:v>232.82</x:v>
      </x:c>
      <x:c r="P462" s="25" t="n">
        <x:f>G462*M462</x:f>
        <x:v>232.82</x:v>
      </x:c>
      <x:c r="Q462" s="25" t="n">
        <x:f>K462*M462+N462</x:f>
        <x:v>232.82</x:v>
      </x:c>
      <x:c r="R462" s="18" t="n">
        <x:f>K462-G462</x:f>
        <x:v>0</x:v>
      </x:c>
      <x:c r="S462" s="18" t="n">
        <x:f>INDEX('Dated offers'!$H$7:$H$305,MATCH($Z462,'Dated offers'!$A$7:$A$305,0))</x:f>
        <x:v>39724</x:v>
      </x:c>
      <x:c r="T462" s="2" t="str">
        <x:f>IF(K462&lt;G462,"Order below requirement",IF(K462&lt;L462,"Below price tier",IF(ISNUMBER(S462),IF(K462&gt;S462,"Quantity exceeds snapshot","Within quantity snapshot"),"Stock not stated")))</x:f>
        <x:v>Within quantity snapshot</x:v>
      </x:c>
      <x:c r="U462" s="2" t="str">
        <x:f>INDEX('Dated offers'!$C$7:$C$305,MATCH($Z462,'Dated offers'!$A$7:$A$305,0))</x:f>
        <x:v>DigiKey</x:v>
      </x:c>
      <x:c r="V462" s="2" t="str">
        <x:f>INDEX('Dated offers'!$D$7:$D$305,MATCH($Z462,'Dated offers'!$A$7:$A$305,0))</x:f>
        <x:v>Not stated</x:v>
      </x:c>
      <x:c r="W462" s="24" t="n">
        <x:f>INDEX('Dated offers'!$E$7:$E$305,MATCH($Z462,'Dated offers'!$A$7:$A$305,0))</x:f>
        <x:v>46307.47807253472</x:v>
      </x:c>
      <x:c r="X462" s="2" t="b">
        <x:f>INDEX('Dated offers'!$N$7:$N$305,MATCH($Z462,'Dated offers'!$A$7:$A$305,0))</x:f>
        <x:v>0</x:v>
      </x:c>
      <x:c r="Y462" s="2" t="str">
        <x:f>INDEX('Dated offers'!$O$7:$O$305,MATCH($Z462,'Dated offers'!$A$7:$A$305,0))</x:f>
        <x:v>Unreserved inventory snapshot</x:v>
      </x:c>
      <x:c r="Z462" s="17" t="str">
        <x:v>OF0286</x:v>
      </x:c>
      <x:c r="AA462" s="2"/>
      <x:c r="AB462" s="2" t="str">
        <x:f>INDEX('Dated offers'!$Q$7:$Q$305,MATCH($Z462,'Dated offers'!$A$7:$A$305,0))</x:f>
        <x:v>https://www.digikey.com/en/products/detail/texas-instruments/TPS259474LRPWR/14123976</x:v>
      </x:c>
    </x:row>
    <x:row r="463" ht="24" customHeight="1">
      <x:c r="A463" s="2" t="str">
        <x:v>100 boards / nominal</x:v>
      </x:c>
      <x:c r="B463" s="17" t="str">
        <x:v>TPS3435CAKAGDDFR</x:v>
      </x:c>
      <x:c r="C463" s="18" t="n">
        <x:v>100</x:v>
      </x:c>
      <x:c r="D463" s="27" t="n">
        <x:v>0</x:v>
      </x:c>
      <x:c r="E463" s="18" t="n">
        <x:f>INDEX('Assembly BOM'!$C$7:$C$162,MATCH($B463,'Assembly BOM'!$A$7:$A$162,0))</x:f>
        <x:v>1</x:v>
      </x:c>
      <x:c r="F463" s="18" t="n">
        <x:f>C463*E463</x:f>
        <x:v>100</x:v>
      </x:c>
      <x:c r="G463" s="18" t="n">
        <x:f>ROUNDUP(F463*(1+D463),0)</x:f>
        <x:v>100</x:v>
      </x:c>
      <x:c r="H463" s="18" t="n">
        <x:f>INDEX('Dated offers'!$F$7:$F$305,MATCH($Z463,'Dated offers'!$A$7:$A$305,0))</x:f>
        <x:v>1</x:v>
      </x:c>
      <x:c r="I463" s="18" t="n">
        <x:f>INDEX('Dated offers'!$G$7:$G$305,MATCH($Z463,'Dated offers'!$A$7:$A$305,0))</x:f>
        <x:v>1</x:v>
      </x:c>
      <x:c r="J463" s="18" t="n">
        <x:f>CEILING(MAX(G463,H463),I463)</x:f>
        <x:v>100</x:v>
      </x:c>
      <x:c r="K463" s="18" t="n">
        <x:v>100</x:v>
      </x:c>
      <x:c r="L463" s="18" t="n">
        <x:f>INDEX('Dated offers'!$I$7:$I$305,MATCH($Z463,'Dated offers'!$A$7:$A$305,0))</x:f>
        <x:v>100</x:v>
      </x:c>
      <x:c r="M463" s="25" t="n">
        <x:f>INDEX('Dated offers'!$J$7:$J$305,MATCH($Z463,'Dated offers'!$A$7:$A$305,0))</x:f>
        <x:v>1.476</x:v>
      </x:c>
      <x:c r="N463" s="25" t="n">
        <x:f>INDEX('Dated offers'!$K$7:$K$305,MATCH($Z463,'Dated offers'!$A$7:$A$305,0))</x:f>
        <x:v>0</x:v>
      </x:c>
      <x:c r="O463" s="25" t="n">
        <x:f>F463*M463</x:f>
        <x:v>147.6</x:v>
      </x:c>
      <x:c r="P463" s="25" t="n">
        <x:f>G463*M463</x:f>
        <x:v>147.6</x:v>
      </x:c>
      <x:c r="Q463" s="25" t="n">
        <x:f>K463*M463+N463</x:f>
        <x:v>147.6</x:v>
      </x:c>
      <x:c r="R463" s="18" t="n">
        <x:f>K463-G463</x:f>
        <x:v>0</x:v>
      </x:c>
      <x:c r="S463" s="18" t="n">
        <x:f>INDEX('Dated offers'!$H$7:$H$305,MATCH($Z463,'Dated offers'!$A$7:$A$305,0))</x:f>
        <x:v>5443</x:v>
      </x:c>
      <x:c r="T463" s="2" t="str">
        <x:f>IF(K463&lt;G463,"Order below requirement",IF(K463&lt;L463,"Below price tier",IF(ISNUMBER(S463),IF(K463&gt;S463,"Quantity exceeds snapshot","Within quantity snapshot"),"Stock not stated")))</x:f>
        <x:v>Within quantity snapshot</x:v>
      </x:c>
      <x:c r="U463" s="2" t="str">
        <x:f>INDEX('Dated offers'!$C$7:$C$305,MATCH($Z463,'Dated offers'!$A$7:$A$305,0))</x:f>
        <x:v>DigiKey</x:v>
      </x:c>
      <x:c r="V463" s="2" t="str">
        <x:f>INDEX('Dated offers'!$D$7:$D$305,MATCH($Z463,'Dated offers'!$A$7:$A$305,0))</x:f>
        <x:v>Not stated</x:v>
      </x:c>
      <x:c r="W463" s="24" t="n">
        <x:f>INDEX('Dated offers'!$E$7:$E$305,MATCH($Z463,'Dated offers'!$A$7:$A$305,0))</x:f>
        <x:v>46307.47807273148</x:v>
      </x:c>
      <x:c r="X463" s="2" t="b">
        <x:f>INDEX('Dated offers'!$N$7:$N$305,MATCH($Z463,'Dated offers'!$A$7:$A$305,0))</x:f>
        <x:v>0</x:v>
      </x:c>
      <x:c r="Y463" s="2" t="str">
        <x:f>INDEX('Dated offers'!$O$7:$O$305,MATCH($Z463,'Dated offers'!$A$7:$A$305,0))</x:f>
        <x:v>Unreserved inventory snapshot</x:v>
      </x:c>
      <x:c r="Z463" s="17" t="str">
        <x:v>OF0287</x:v>
      </x:c>
      <x:c r="AA463" s="2"/>
      <x:c r="AB463" s="2" t="str">
        <x:f>INDEX('Dated offers'!$Q$7:$Q$305,MATCH($Z463,'Dated offers'!$A$7:$A$305,0))</x:f>
        <x:v>https://www.digikey.com/en/products/detail/texas-instruments/TPS3435CAKAGDDFR/17748491</x:v>
      </x:c>
    </x:row>
    <x:row r="464" ht="24" customHeight="1">
      <x:c r="A464" s="2" t="str">
        <x:v>100 boards / nominal</x:v>
      </x:c>
      <x:c r="B464" s="17" t="str">
        <x:v>TPS3700DDCR</x:v>
      </x:c>
      <x:c r="C464" s="18" t="n">
        <x:v>100</x:v>
      </x:c>
      <x:c r="D464" s="27" t="n">
        <x:v>0</x:v>
      </x:c>
      <x:c r="E464" s="18" t="n">
        <x:f>INDEX('Assembly BOM'!$C$7:$C$162,MATCH($B464,'Assembly BOM'!$A$7:$A$162,0))</x:f>
        <x:v>1</x:v>
      </x:c>
      <x:c r="F464" s="18" t="n">
        <x:f>C464*E464</x:f>
        <x:v>100</x:v>
      </x:c>
      <x:c r="G464" s="18" t="n">
        <x:f>ROUNDUP(F464*(1+D464),0)</x:f>
        <x:v>100</x:v>
      </x:c>
      <x:c r="H464" s="18" t="n">
        <x:f>INDEX('Dated offers'!$F$7:$F$305,MATCH($Z464,'Dated offers'!$A$7:$A$305,0))</x:f>
        <x:v>1</x:v>
      </x:c>
      <x:c r="I464" s="18" t="n">
        <x:f>INDEX('Dated offers'!$G$7:$G$305,MATCH($Z464,'Dated offers'!$A$7:$A$305,0))</x:f>
        <x:v>1</x:v>
      </x:c>
      <x:c r="J464" s="18" t="n">
        <x:f>CEILING(MAX(G464,H464),I464)</x:f>
        <x:v>100</x:v>
      </x:c>
      <x:c r="K464" s="18" t="n">
        <x:v>100</x:v>
      </x:c>
      <x:c r="L464" s="18" t="n">
        <x:f>INDEX('Dated offers'!$I$7:$I$305,MATCH($Z464,'Dated offers'!$A$7:$A$305,0))</x:f>
        <x:v>100</x:v>
      </x:c>
      <x:c r="M464" s="25" t="n">
        <x:f>INDEX('Dated offers'!$J$7:$J$305,MATCH($Z464,'Dated offers'!$A$7:$A$305,0))</x:f>
        <x:v>0.9039</x:v>
      </x:c>
      <x:c r="N464" s="25" t="n">
        <x:f>INDEX('Dated offers'!$K$7:$K$305,MATCH($Z464,'Dated offers'!$A$7:$A$305,0))</x:f>
        <x:v>0</x:v>
      </x:c>
      <x:c r="O464" s="25" t="n">
        <x:f>F464*M464</x:f>
        <x:v>90.39</x:v>
      </x:c>
      <x:c r="P464" s="25" t="n">
        <x:f>G464*M464</x:f>
        <x:v>90.39</x:v>
      </x:c>
      <x:c r="Q464" s="25" t="n">
        <x:f>K464*M464+N464</x:f>
        <x:v>90.39</x:v>
      </x:c>
      <x:c r="R464" s="18" t="n">
        <x:f>K464-G464</x:f>
        <x:v>0</x:v>
      </x:c>
      <x:c r="S464" s="18" t="n">
        <x:f>INDEX('Dated offers'!$H$7:$H$305,MATCH($Z464,'Dated offers'!$A$7:$A$305,0))</x:f>
        <x:v>13826</x:v>
      </x:c>
      <x:c r="T464" s="2" t="str">
        <x:f>IF(K464&lt;G464,"Order below requirement",IF(K464&lt;L464,"Below price tier",IF(ISNUMBER(S464),IF(K464&gt;S464,"Quantity exceeds snapshot","Within quantity snapshot"),"Stock not stated")))</x:f>
        <x:v>Within quantity snapshot</x:v>
      </x:c>
      <x:c r="U464" s="2" t="str">
        <x:f>INDEX('Dated offers'!$C$7:$C$305,MATCH($Z464,'Dated offers'!$A$7:$A$305,0))</x:f>
        <x:v>LCSC</x:v>
      </x:c>
      <x:c r="V464" s="2" t="str">
        <x:f>INDEX('Dated offers'!$D$7:$D$305,MATCH($Z464,'Dated offers'!$A$7:$A$305,0))</x:f>
        <x:v>C33002</x:v>
      </x:c>
      <x:c r="W464" s="24" t="n">
        <x:f>INDEX('Dated offers'!$E$7:$E$305,MATCH($Z464,'Dated offers'!$A$7:$A$305,0))</x:f>
        <x:v>46307.44749138889</x:v>
      </x:c>
      <x:c r="X464" s="2" t="b">
        <x:f>INDEX('Dated offers'!$N$7:$N$305,MATCH($Z464,'Dated offers'!$A$7:$A$305,0))</x:f>
        <x:v>0</x:v>
      </x:c>
      <x:c r="Y464" s="2" t="str">
        <x:f>INDEX('Dated offers'!$O$7:$O$305,MATCH($Z464,'Dated offers'!$A$7:$A$305,0))</x:f>
        <x:v>Unreserved inventory snapshot</x:v>
      </x:c>
      <x:c r="Z464" s="17" t="str">
        <x:v>OF0288</x:v>
      </x:c>
      <x:c r="AA464" s="2"/>
      <x:c r="AB464" s="2" t="str">
        <x:f>INDEX('Dated offers'!$Q$7:$Q$305,MATCH($Z464,'Dated offers'!$A$7:$A$305,0))</x:f>
        <x:v>https://www.lcsc.com/product-detail/C33002.html</x:v>
      </x:c>
    </x:row>
    <x:row r="465" ht="24" customHeight="1">
      <x:c r="A465" s="2" t="str">
        <x:v>100 boards / nominal</x:v>
      </x:c>
      <x:c r="B465" s="17" t="str">
        <x:v>TPS3808G01DBVR</x:v>
      </x:c>
      <x:c r="C465" s="18" t="n">
        <x:v>100</x:v>
      </x:c>
      <x:c r="D465" s="27" t="n">
        <x:v>0</x:v>
      </x:c>
      <x:c r="E465" s="18" t="n">
        <x:f>INDEX('Assembly BOM'!$C$7:$C$162,MATCH($B465,'Assembly BOM'!$A$7:$A$162,0))</x:f>
        <x:v>2</x:v>
      </x:c>
      <x:c r="F465" s="18" t="n">
        <x:f>C465*E465</x:f>
        <x:v>200</x:v>
      </x:c>
      <x:c r="G465" s="18" t="n">
        <x:f>ROUNDUP(F465*(1+D465),0)</x:f>
        <x:v>200</x:v>
      </x:c>
      <x:c r="H465" s="18" t="n">
        <x:f>INDEX('Dated offers'!$F$7:$F$305,MATCH($Z465,'Dated offers'!$A$7:$A$305,0))</x:f>
        <x:v>5</x:v>
      </x:c>
      <x:c r="I465" s="18" t="n">
        <x:f>INDEX('Dated offers'!$G$7:$G$305,MATCH($Z465,'Dated offers'!$A$7:$A$305,0))</x:f>
        <x:v>5</x:v>
      </x:c>
      <x:c r="J465" s="18" t="n">
        <x:f>CEILING(MAX(G465,H465),I465)</x:f>
        <x:v>200</x:v>
      </x:c>
      <x:c r="K465" s="18" t="n">
        <x:v>200</x:v>
      </x:c>
      <x:c r="L465" s="18" t="n">
        <x:f>INDEX('Dated offers'!$I$7:$I$305,MATCH($Z465,'Dated offers'!$A$7:$A$305,0))</x:f>
        <x:v>150</x:v>
      </x:c>
      <x:c r="M465" s="25" t="n">
        <x:f>INDEX('Dated offers'!$J$7:$J$305,MATCH($Z465,'Dated offers'!$A$7:$A$305,0))</x:f>
        <x:v>0.3103</x:v>
      </x:c>
      <x:c r="N465" s="25" t="n">
        <x:f>INDEX('Dated offers'!$K$7:$K$305,MATCH($Z465,'Dated offers'!$A$7:$A$305,0))</x:f>
        <x:v>0</x:v>
      </x:c>
      <x:c r="O465" s="25" t="n">
        <x:f>F465*M465</x:f>
        <x:v>62.06</x:v>
      </x:c>
      <x:c r="P465" s="25" t="n">
        <x:f>G465*M465</x:f>
        <x:v>62.06</x:v>
      </x:c>
      <x:c r="Q465" s="25" t="n">
        <x:f>K465*M465+N465</x:f>
        <x:v>62.06</x:v>
      </x:c>
      <x:c r="R465" s="18" t="n">
        <x:f>K465-G465</x:f>
        <x:v>0</x:v>
      </x:c>
      <x:c r="S465" s="18" t="n">
        <x:f>INDEX('Dated offers'!$H$7:$H$305,MATCH($Z465,'Dated offers'!$A$7:$A$305,0))</x:f>
        <x:v>15495</x:v>
      </x:c>
      <x:c r="T465" s="2" t="str">
        <x:f>IF(K465&lt;G465,"Order below requirement",IF(K465&lt;L465,"Below price tier",IF(ISNUMBER(S465),IF(K465&gt;S465,"Quantity exceeds snapshot","Within quantity snapshot"),"Stock not stated")))</x:f>
        <x:v>Within quantity snapshot</x:v>
      </x:c>
      <x:c r="U465" s="2" t="str">
        <x:f>INDEX('Dated offers'!$C$7:$C$305,MATCH($Z465,'Dated offers'!$A$7:$A$305,0))</x:f>
        <x:v>LCSC</x:v>
      </x:c>
      <x:c r="V465" s="2" t="str">
        <x:f>INDEX('Dated offers'!$D$7:$D$305,MATCH($Z465,'Dated offers'!$A$7:$A$305,0))</x:f>
        <x:v>C19653</x:v>
      </x:c>
      <x:c r="W465" s="24" t="n">
        <x:f>INDEX('Dated offers'!$E$7:$E$305,MATCH($Z465,'Dated offers'!$A$7:$A$305,0))</x:f>
        <x:v>46307.44749333333</x:v>
      </x:c>
      <x:c r="X465" s="2" t="b">
        <x:f>INDEX('Dated offers'!$N$7:$N$305,MATCH($Z465,'Dated offers'!$A$7:$A$305,0))</x:f>
        <x:v>0</x:v>
      </x:c>
      <x:c r="Y465" s="2" t="str">
        <x:f>INDEX('Dated offers'!$O$7:$O$305,MATCH($Z465,'Dated offers'!$A$7:$A$305,0))</x:f>
        <x:v>Unreserved inventory snapshot</x:v>
      </x:c>
      <x:c r="Z465" s="17" t="str">
        <x:v>OF0289</x:v>
      </x:c>
      <x:c r="AA465" s="2"/>
      <x:c r="AB465" s="2" t="str">
        <x:f>INDEX('Dated offers'!$Q$7:$Q$305,MATCH($Z465,'Dated offers'!$A$7:$A$305,0))</x:f>
        <x:v>https://www.lcsc.com/product-detail/C19653.html</x:v>
      </x:c>
    </x:row>
    <x:row r="466" ht="24" customHeight="1">
      <x:c r="A466" s="2" t="str">
        <x:v>100 boards / nominal</x:v>
      </x:c>
      <x:c r="B466" s="17" t="str">
        <x:v>TPS3808G33DBVR</x:v>
      </x:c>
      <x:c r="C466" s="18" t="n">
        <x:v>100</x:v>
      </x:c>
      <x:c r="D466" s="27" t="n">
        <x:v>0</x:v>
      </x:c>
      <x:c r="E466" s="18" t="n">
        <x:f>INDEX('Assembly BOM'!$C$7:$C$162,MATCH($B466,'Assembly BOM'!$A$7:$A$162,0))</x:f>
        <x:v>1</x:v>
      </x:c>
      <x:c r="F466" s="18" t="n">
        <x:f>C466*E466</x:f>
        <x:v>100</x:v>
      </x:c>
      <x:c r="G466" s="18" t="n">
        <x:f>ROUNDUP(F466*(1+D466),0)</x:f>
        <x:v>100</x:v>
      </x:c>
      <x:c r="H466" s="18" t="n">
        <x:f>INDEX('Dated offers'!$F$7:$F$305,MATCH($Z466,'Dated offers'!$A$7:$A$305,0))</x:f>
        <x:v>1</x:v>
      </x:c>
      <x:c r="I466" s="18" t="n">
        <x:f>INDEX('Dated offers'!$G$7:$G$305,MATCH($Z466,'Dated offers'!$A$7:$A$305,0))</x:f>
        <x:v>1</x:v>
      </x:c>
      <x:c r="J466" s="18" t="n">
        <x:f>CEILING(MAX(G466,H466),I466)</x:f>
        <x:v>100</x:v>
      </x:c>
      <x:c r="K466" s="18" t="n">
        <x:v>100</x:v>
      </x:c>
      <x:c r="L466" s="18" t="n">
        <x:f>INDEX('Dated offers'!$I$7:$I$305,MATCH($Z466,'Dated offers'!$A$7:$A$305,0))</x:f>
        <x:v>100</x:v>
      </x:c>
      <x:c r="M466" s="25" t="n">
        <x:f>INDEX('Dated offers'!$J$7:$J$305,MATCH($Z466,'Dated offers'!$A$7:$A$305,0))</x:f>
        <x:v>0.245</x:v>
      </x:c>
      <x:c r="N466" s="25" t="n">
        <x:f>INDEX('Dated offers'!$K$7:$K$305,MATCH($Z466,'Dated offers'!$A$7:$A$305,0))</x:f>
        <x:v>0</x:v>
      </x:c>
      <x:c r="O466" s="25" t="n">
        <x:f>F466*M466</x:f>
        <x:v>24.5</x:v>
      </x:c>
      <x:c r="P466" s="25" t="n">
        <x:f>G466*M466</x:f>
        <x:v>24.5</x:v>
      </x:c>
      <x:c r="Q466" s="25" t="n">
        <x:f>K466*M466+N466</x:f>
        <x:v>24.5</x:v>
      </x:c>
      <x:c r="R466" s="18" t="n">
        <x:f>K466-G466</x:f>
        <x:v>0</x:v>
      </x:c>
      <x:c r="S466" s="18" t="n">
        <x:f>INDEX('Dated offers'!$H$7:$H$305,MATCH($Z466,'Dated offers'!$A$7:$A$305,0))</x:f>
        <x:v>23019</x:v>
      </x:c>
      <x:c r="T466" s="2" t="str">
        <x:f>IF(K466&lt;G466,"Order below requirement",IF(K466&lt;L466,"Below price tier",IF(ISNUMBER(S466),IF(K466&gt;S466,"Quantity exceeds snapshot","Within quantity snapshot"),"Stock not stated")))</x:f>
        <x:v>Within quantity snapshot</x:v>
      </x:c>
      <x:c r="U466" s="2" t="str">
        <x:f>INDEX('Dated offers'!$C$7:$C$305,MATCH($Z466,'Dated offers'!$A$7:$A$305,0))</x:f>
        <x:v>LCSC</x:v>
      </x:c>
      <x:c r="V466" s="2" t="str">
        <x:f>INDEX('Dated offers'!$D$7:$D$305,MATCH($Z466,'Dated offers'!$A$7:$A$305,0))</x:f>
        <x:v>C43698</x:v>
      </x:c>
      <x:c r="W466" s="24" t="n">
        <x:f>INDEX('Dated offers'!$E$7:$E$305,MATCH($Z466,'Dated offers'!$A$7:$A$305,0))</x:f>
        <x:v>46307.44749550926</x:v>
      </x:c>
      <x:c r="X466" s="2" t="b">
        <x:f>INDEX('Dated offers'!$N$7:$N$305,MATCH($Z466,'Dated offers'!$A$7:$A$305,0))</x:f>
        <x:v>0</x:v>
      </x:c>
      <x:c r="Y466" s="2" t="str">
        <x:f>INDEX('Dated offers'!$O$7:$O$305,MATCH($Z466,'Dated offers'!$A$7:$A$305,0))</x:f>
        <x:v>Unreserved inventory snapshot</x:v>
      </x:c>
      <x:c r="Z466" s="17" t="str">
        <x:v>OF0290</x:v>
      </x:c>
      <x:c r="AA466" s="2"/>
      <x:c r="AB466" s="2" t="str">
        <x:f>INDEX('Dated offers'!$Q$7:$Q$305,MATCH($Z466,'Dated offers'!$A$7:$A$305,0))</x:f>
        <x:v>https://www.lcsc.com/product-detail/C43698.html</x:v>
      </x:c>
    </x:row>
    <x:row r="467" ht="24" customHeight="1">
      <x:c r="A467" s="2" t="str">
        <x:v>100 boards / nominal</x:v>
      </x:c>
      <x:c r="B467" s="17" t="str">
        <x:v>TPS389001DSER</x:v>
      </x:c>
      <x:c r="C467" s="18" t="n">
        <x:v>100</x:v>
      </x:c>
      <x:c r="D467" s="27" t="n">
        <x:v>0</x:v>
      </x:c>
      <x:c r="E467" s="18" t="n">
        <x:f>INDEX('Assembly BOM'!$C$7:$C$162,MATCH($B467,'Assembly BOM'!$A$7:$A$162,0))</x:f>
        <x:v>1</x:v>
      </x:c>
      <x:c r="F467" s="18" t="n">
        <x:f>C467*E467</x:f>
        <x:v>100</x:v>
      </x:c>
      <x:c r="G467" s="18" t="n">
        <x:f>ROUNDUP(F467*(1+D467),0)</x:f>
        <x:v>100</x:v>
      </x:c>
      <x:c r="H467" s="18" t="n">
        <x:f>INDEX('Dated offers'!$F$7:$F$305,MATCH($Z467,'Dated offers'!$A$7:$A$305,0))</x:f>
        <x:v>1</x:v>
      </x:c>
      <x:c r="I467" s="18" t="n">
        <x:f>INDEX('Dated offers'!$G$7:$G$305,MATCH($Z467,'Dated offers'!$A$7:$A$305,0))</x:f>
        <x:v>1</x:v>
      </x:c>
      <x:c r="J467" s="18" t="n">
        <x:f>CEILING(MAX(G467,H467),I467)</x:f>
        <x:v>100</x:v>
      </x:c>
      <x:c r="K467" s="18" t="n">
        <x:v>100</x:v>
      </x:c>
      <x:c r="L467" s="18" t="n">
        <x:f>INDEX('Dated offers'!$I$7:$I$305,MATCH($Z467,'Dated offers'!$A$7:$A$305,0))</x:f>
        <x:v>100</x:v>
      </x:c>
      <x:c r="M467" s="25" t="n">
        <x:f>INDEX('Dated offers'!$J$7:$J$305,MATCH($Z467,'Dated offers'!$A$7:$A$305,0))</x:f>
        <x:v>1.1273</x:v>
      </x:c>
      <x:c r="N467" s="25" t="n">
        <x:f>INDEX('Dated offers'!$K$7:$K$305,MATCH($Z467,'Dated offers'!$A$7:$A$305,0))</x:f>
        <x:v>0</x:v>
      </x:c>
      <x:c r="O467" s="25" t="n">
        <x:f>F467*M467</x:f>
        <x:v>112.72999999999999</x:v>
      </x:c>
      <x:c r="P467" s="25" t="n">
        <x:f>G467*M467</x:f>
        <x:v>112.72999999999999</x:v>
      </x:c>
      <x:c r="Q467" s="25" t="n">
        <x:f>K467*M467+N467</x:f>
        <x:v>112.72999999999999</x:v>
      </x:c>
      <x:c r="R467" s="18" t="n">
        <x:f>K467-G467</x:f>
        <x:v>0</x:v>
      </x:c>
      <x:c r="S467" s="18" t="n">
        <x:f>INDEX('Dated offers'!$H$7:$H$305,MATCH($Z467,'Dated offers'!$A$7:$A$305,0))</x:f>
        <x:v>26260</x:v>
      </x:c>
      <x:c r="T467" s="2" t="str">
        <x:f>IF(K467&lt;G467,"Order below requirement",IF(K467&lt;L467,"Below price tier",IF(ISNUMBER(S467),IF(K467&gt;S467,"Quantity exceeds snapshot","Within quantity snapshot"),"Stock not stated")))</x:f>
        <x:v>Within quantity snapshot</x:v>
      </x:c>
      <x:c r="U467" s="2" t="str">
        <x:f>INDEX('Dated offers'!$C$7:$C$305,MATCH($Z467,'Dated offers'!$A$7:$A$305,0))</x:f>
        <x:v>DigiKey</x:v>
      </x:c>
      <x:c r="V467" s="2" t="str">
        <x:f>INDEX('Dated offers'!$D$7:$D$305,MATCH($Z467,'Dated offers'!$A$7:$A$305,0))</x:f>
        <x:v>Not stated</x:v>
      </x:c>
      <x:c r="W467" s="24" t="n">
        <x:f>INDEX('Dated offers'!$E$7:$E$305,MATCH($Z467,'Dated offers'!$A$7:$A$305,0))</x:f>
        <x:v>46307.47807253472</x:v>
      </x:c>
      <x:c r="X467" s="2" t="b">
        <x:f>INDEX('Dated offers'!$N$7:$N$305,MATCH($Z467,'Dated offers'!$A$7:$A$305,0))</x:f>
        <x:v>0</x:v>
      </x:c>
      <x:c r="Y467" s="2" t="str">
        <x:f>INDEX('Dated offers'!$O$7:$O$305,MATCH($Z467,'Dated offers'!$A$7:$A$305,0))</x:f>
        <x:v>Unreserved inventory snapshot</x:v>
      </x:c>
      <x:c r="Z467" s="17" t="str">
        <x:v>OF0291</x:v>
      </x:c>
      <x:c r="AA467" s="2"/>
      <x:c r="AB467" s="2" t="str">
        <x:f>INDEX('Dated offers'!$Q$7:$Q$305,MATCH($Z467,'Dated offers'!$A$7:$A$305,0))</x:f>
        <x:v>https://www.digikey.com/en/products/detail/texas-instruments/TPS389001DSER/6123505</x:v>
      </x:c>
    </x:row>
    <x:row r="468" ht="24" customHeight="1">
      <x:c r="A468" s="2" t="str">
        <x:v>100 boards / nominal</x:v>
      </x:c>
      <x:c r="B468" s="17" t="str">
        <x:v>TPS62912RPUR</x:v>
      </x:c>
      <x:c r="C468" s="18" t="n">
        <x:v>100</x:v>
      </x:c>
      <x:c r="D468" s="27" t="n">
        <x:v>0</x:v>
      </x:c>
      <x:c r="E468" s="18" t="n">
        <x:f>INDEX('Assembly BOM'!$C$7:$C$162,MATCH($B468,'Assembly BOM'!$A$7:$A$162,0))</x:f>
        <x:v>3</x:v>
      </x:c>
      <x:c r="F468" s="18" t="n">
        <x:f>C468*E468</x:f>
        <x:v>300</x:v>
      </x:c>
      <x:c r="G468" s="18" t="n">
        <x:f>ROUNDUP(F468*(1+D468),0)</x:f>
        <x:v>300</x:v>
      </x:c>
      <x:c r="H468" s="18" t="n">
        <x:f>INDEX('Dated offers'!$F$7:$F$305,MATCH($Z468,'Dated offers'!$A$7:$A$305,0))</x:f>
        <x:v>1</x:v>
      </x:c>
      <x:c r="I468" s="18" t="n">
        <x:f>INDEX('Dated offers'!$G$7:$G$305,MATCH($Z468,'Dated offers'!$A$7:$A$305,0))</x:f>
        <x:v>1</x:v>
      </x:c>
      <x:c r="J468" s="18" t="n">
        <x:f>CEILING(MAX(G468,H468),I468)</x:f>
        <x:v>300</x:v>
      </x:c>
      <x:c r="K468" s="18" t="n">
        <x:v>300</x:v>
      </x:c>
      <x:c r="L468" s="18" t="n">
        <x:f>INDEX('Dated offers'!$I$7:$I$305,MATCH($Z468,'Dated offers'!$A$7:$A$305,0))</x:f>
        <x:v>100</x:v>
      </x:c>
      <x:c r="M468" s="25" t="n">
        <x:f>INDEX('Dated offers'!$J$7:$J$305,MATCH($Z468,'Dated offers'!$A$7:$A$305,0))</x:f>
        <x:v>2.9714</x:v>
      </x:c>
      <x:c r="N468" s="25" t="n">
        <x:f>INDEX('Dated offers'!$K$7:$K$305,MATCH($Z468,'Dated offers'!$A$7:$A$305,0))</x:f>
        <x:v>0</x:v>
      </x:c>
      <x:c r="O468" s="25" t="n">
        <x:f>F468*M468</x:f>
        <x:v>891.42</x:v>
      </x:c>
      <x:c r="P468" s="25" t="n">
        <x:f>G468*M468</x:f>
        <x:v>891.42</x:v>
      </x:c>
      <x:c r="Q468" s="25" t="n">
        <x:f>K468*M468+N468</x:f>
        <x:v>891.42</x:v>
      </x:c>
      <x:c r="R468" s="18" t="n">
        <x:f>K468-G468</x:f>
        <x:v>0</x:v>
      </x:c>
      <x:c r="S468" s="18" t="n">
        <x:f>INDEX('Dated offers'!$H$7:$H$305,MATCH($Z468,'Dated offers'!$A$7:$A$305,0))</x:f>
        <x:v>902</x:v>
      </x:c>
      <x:c r="T468" s="2" t="str">
        <x:f>IF(K468&lt;G468,"Order below requirement",IF(K468&lt;L468,"Below price tier",IF(ISNUMBER(S468),IF(K468&gt;S468,"Quantity exceeds snapshot","Within quantity snapshot"),"Stock not stated")))</x:f>
        <x:v>Within quantity snapshot</x:v>
      </x:c>
      <x:c r="U468" s="2" t="str">
        <x:f>INDEX('Dated offers'!$C$7:$C$305,MATCH($Z468,'Dated offers'!$A$7:$A$305,0))</x:f>
        <x:v>LCSC</x:v>
      </x:c>
      <x:c r="V468" s="2" t="str">
        <x:f>INDEX('Dated offers'!$D$7:$D$305,MATCH($Z468,'Dated offers'!$A$7:$A$305,0))</x:f>
        <x:v>C3198056</x:v>
      </x:c>
      <x:c r="W468" s="24" t="n">
        <x:f>INDEX('Dated offers'!$E$7:$E$305,MATCH($Z468,'Dated offers'!$A$7:$A$305,0))</x:f>
        <x:v>46307.44749672454</x:v>
      </x:c>
      <x:c r="X468" s="2" t="b">
        <x:f>INDEX('Dated offers'!$N$7:$N$305,MATCH($Z468,'Dated offers'!$A$7:$A$305,0))</x:f>
        <x:v>0</x:v>
      </x:c>
      <x:c r="Y468" s="2" t="str">
        <x:f>INDEX('Dated offers'!$O$7:$O$305,MATCH($Z468,'Dated offers'!$A$7:$A$305,0))</x:f>
        <x:v>Unreserved inventory snapshot</x:v>
      </x:c>
      <x:c r="Z468" s="17" t="str">
        <x:v>OF0292</x:v>
      </x:c>
      <x:c r="AA468" s="2"/>
      <x:c r="AB468" s="2" t="str">
        <x:f>INDEX('Dated offers'!$Q$7:$Q$305,MATCH($Z468,'Dated offers'!$A$7:$A$305,0))</x:f>
        <x:v>https://www.lcsc.com/product-detail/C3198056.html</x:v>
      </x:c>
    </x:row>
    <x:row r="469" ht="24" customHeight="1">
      <x:c r="A469" s="2" t="str">
        <x:v>100 boards / nominal</x:v>
      </x:c>
      <x:c r="B469" s="17" t="str">
        <x:v>TPS7A2033PDBVR</x:v>
      </x:c>
      <x:c r="C469" s="18" t="n">
        <x:v>100</x:v>
      </x:c>
      <x:c r="D469" s="27" t="n">
        <x:v>0</x:v>
      </x:c>
      <x:c r="E469" s="18" t="n">
        <x:f>INDEX('Assembly BOM'!$C$7:$C$162,MATCH($B469,'Assembly BOM'!$A$7:$A$162,0))</x:f>
        <x:v>1</x:v>
      </x:c>
      <x:c r="F469" s="18" t="n">
        <x:f>C469*E469</x:f>
        <x:v>100</x:v>
      </x:c>
      <x:c r="G469" s="18" t="n">
        <x:f>ROUNDUP(F469*(1+D469),0)</x:f>
        <x:v>100</x:v>
      </x:c>
      <x:c r="H469" s="18" t="n">
        <x:f>INDEX('Dated offers'!$F$7:$F$305,MATCH($Z469,'Dated offers'!$A$7:$A$305,0))</x:f>
        <x:v>5</x:v>
      </x:c>
      <x:c r="I469" s="18" t="n">
        <x:f>INDEX('Dated offers'!$G$7:$G$305,MATCH($Z469,'Dated offers'!$A$7:$A$305,0))</x:f>
        <x:v>5</x:v>
      </x:c>
      <x:c r="J469" s="18" t="n">
        <x:f>CEILING(MAX(G469,H469),I469)</x:f>
        <x:v>100</x:v>
      </x:c>
      <x:c r="K469" s="18" t="n">
        <x:v>100</x:v>
      </x:c>
      <x:c r="L469" s="18" t="n">
        <x:f>INDEX('Dated offers'!$I$7:$I$305,MATCH($Z469,'Dated offers'!$A$7:$A$305,0))</x:f>
        <x:v>50</x:v>
      </x:c>
      <x:c r="M469" s="25" t="n">
        <x:f>INDEX('Dated offers'!$J$7:$J$305,MATCH($Z469,'Dated offers'!$A$7:$A$305,0))</x:f>
        <x:v>0.1679</x:v>
      </x:c>
      <x:c r="N469" s="25" t="n">
        <x:f>INDEX('Dated offers'!$K$7:$K$305,MATCH($Z469,'Dated offers'!$A$7:$A$305,0))</x:f>
        <x:v>0</x:v>
      </x:c>
      <x:c r="O469" s="25" t="n">
        <x:f>F469*M469</x:f>
        <x:v>16.79</x:v>
      </x:c>
      <x:c r="P469" s="25" t="n">
        <x:f>G469*M469</x:f>
        <x:v>16.79</x:v>
      </x:c>
      <x:c r="Q469" s="25" t="n">
        <x:f>K469*M469+N469</x:f>
        <x:v>16.79</x:v>
      </x:c>
      <x:c r="R469" s="18" t="n">
        <x:f>K469-G469</x:f>
        <x:v>0</x:v>
      </x:c>
      <x:c r="S469" s="18" t="n">
        <x:f>INDEX('Dated offers'!$H$7:$H$305,MATCH($Z469,'Dated offers'!$A$7:$A$305,0))</x:f>
        <x:v>179995</x:v>
      </x:c>
      <x:c r="T469" s="2" t="str">
        <x:f>IF(K469&lt;G469,"Order below requirement",IF(K469&lt;L469,"Below price tier",IF(ISNUMBER(S469),IF(K469&gt;S469,"Quantity exceeds snapshot","Within quantity snapshot"),"Stock not stated")))</x:f>
        <x:v>Within quantity snapshot</x:v>
      </x:c>
      <x:c r="U469" s="2" t="str">
        <x:f>INDEX('Dated offers'!$C$7:$C$305,MATCH($Z469,'Dated offers'!$A$7:$A$305,0))</x:f>
        <x:v>LCSC</x:v>
      </x:c>
      <x:c r="V469" s="2" t="str">
        <x:f>INDEX('Dated offers'!$D$7:$D$305,MATCH($Z469,'Dated offers'!$A$7:$A$305,0))</x:f>
        <x:v>C2862740</x:v>
      </x:c>
      <x:c r="W469" s="24" t="n">
        <x:f>INDEX('Dated offers'!$E$7:$E$305,MATCH($Z469,'Dated offers'!$A$7:$A$305,0))</x:f>
        <x:v>46307.44749840278</x:v>
      </x:c>
      <x:c r="X469" s="2" t="b">
        <x:f>INDEX('Dated offers'!$N$7:$N$305,MATCH($Z469,'Dated offers'!$A$7:$A$305,0))</x:f>
        <x:v>0</x:v>
      </x:c>
      <x:c r="Y469" s="2" t="str">
        <x:f>INDEX('Dated offers'!$O$7:$O$305,MATCH($Z469,'Dated offers'!$A$7:$A$305,0))</x:f>
        <x:v>Unreserved inventory snapshot</x:v>
      </x:c>
      <x:c r="Z469" s="17" t="str">
        <x:v>OF0293</x:v>
      </x:c>
      <x:c r="AA469" s="2"/>
      <x:c r="AB469" s="2" t="str">
        <x:f>INDEX('Dated offers'!$Q$7:$Q$305,MATCH($Z469,'Dated offers'!$A$7:$A$305,0))</x:f>
        <x:v>https://www.lcsc.com/product-detail/C2862740.html</x:v>
      </x:c>
    </x:row>
    <x:row r="470" ht="24" customHeight="1">
      <x:c r="A470" s="2" t="str">
        <x:v>100 boards / nominal</x:v>
      </x:c>
      <x:c r="B470" s="17" t="str">
        <x:v>TVS0500DRVR</x:v>
      </x:c>
      <x:c r="C470" s="18" t="n">
        <x:v>100</x:v>
      </x:c>
      <x:c r="D470" s="27" t="n">
        <x:v>0</x:v>
      </x:c>
      <x:c r="E470" s="18" t="n">
        <x:f>INDEX('Assembly BOM'!$C$7:$C$162,MATCH($B470,'Assembly BOM'!$A$7:$A$162,0))</x:f>
        <x:v>1</x:v>
      </x:c>
      <x:c r="F470" s="18" t="n">
        <x:f>C470*E470</x:f>
        <x:v>100</x:v>
      </x:c>
      <x:c r="G470" s="18" t="n">
        <x:f>ROUNDUP(F470*(1+D470),0)</x:f>
        <x:v>100</x:v>
      </x:c>
      <x:c r="H470" s="18" t="n">
        <x:f>INDEX('Dated offers'!$F$7:$F$305,MATCH($Z470,'Dated offers'!$A$7:$A$305,0))</x:f>
        <x:v>1</x:v>
      </x:c>
      <x:c r="I470" s="18" t="n">
        <x:f>INDEX('Dated offers'!$G$7:$G$305,MATCH($Z470,'Dated offers'!$A$7:$A$305,0))</x:f>
        <x:v>1</x:v>
      </x:c>
      <x:c r="J470" s="18" t="n">
        <x:f>CEILING(MAX(G470,H470),I470)</x:f>
        <x:v>100</x:v>
      </x:c>
      <x:c r="K470" s="18" t="n">
        <x:v>100</x:v>
      </x:c>
      <x:c r="L470" s="18" t="n">
        <x:f>INDEX('Dated offers'!$I$7:$I$305,MATCH($Z470,'Dated offers'!$A$7:$A$305,0))</x:f>
        <x:v>100</x:v>
      </x:c>
      <x:c r="M470" s="25" t="n">
        <x:f>INDEX('Dated offers'!$J$7:$J$305,MATCH($Z470,'Dated offers'!$A$7:$A$305,0))</x:f>
        <x:v>0.4493</x:v>
      </x:c>
      <x:c r="N470" s="25" t="n">
        <x:f>INDEX('Dated offers'!$K$7:$K$305,MATCH($Z470,'Dated offers'!$A$7:$A$305,0))</x:f>
        <x:v>0</x:v>
      </x:c>
      <x:c r="O470" s="25" t="n">
        <x:f>F470*M470</x:f>
        <x:v>44.93</x:v>
      </x:c>
      <x:c r="P470" s="25" t="n">
        <x:f>G470*M470</x:f>
        <x:v>44.93</x:v>
      </x:c>
      <x:c r="Q470" s="25" t="n">
        <x:f>K470*M470+N470</x:f>
        <x:v>44.93</x:v>
      </x:c>
      <x:c r="R470" s="18" t="n">
        <x:f>K470-G470</x:f>
        <x:v>0</x:v>
      </x:c>
      <x:c r="S470" s="18" t="n">
        <x:f>INDEX('Dated offers'!$H$7:$H$305,MATCH($Z470,'Dated offers'!$A$7:$A$305,0))</x:f>
        <x:v>37002</x:v>
      </x:c>
      <x:c r="T470" s="2" t="str">
        <x:f>IF(K470&lt;G470,"Order below requirement",IF(K470&lt;L470,"Below price tier",IF(ISNUMBER(S470),IF(K470&gt;S470,"Quantity exceeds snapshot","Within quantity snapshot"),"Stock not stated")))</x:f>
        <x:v>Within quantity snapshot</x:v>
      </x:c>
      <x:c r="U470" s="2" t="str">
        <x:f>INDEX('Dated offers'!$C$7:$C$305,MATCH($Z470,'Dated offers'!$A$7:$A$305,0))</x:f>
        <x:v>DigiKey</x:v>
      </x:c>
      <x:c r="V470" s="2" t="str">
        <x:f>INDEX('Dated offers'!$D$7:$D$305,MATCH($Z470,'Dated offers'!$A$7:$A$305,0))</x:f>
        <x:v>Not stated</x:v>
      </x:c>
      <x:c r="W470" s="24" t="n">
        <x:f>INDEX('Dated offers'!$E$7:$E$305,MATCH($Z470,'Dated offers'!$A$7:$A$305,0))</x:f>
        <x:v>46307.4780725463</x:v>
      </x:c>
      <x:c r="X470" s="2" t="b">
        <x:f>INDEX('Dated offers'!$N$7:$N$305,MATCH($Z470,'Dated offers'!$A$7:$A$305,0))</x:f>
        <x:v>0</x:v>
      </x:c>
      <x:c r="Y470" s="2" t="str">
        <x:f>INDEX('Dated offers'!$O$7:$O$305,MATCH($Z470,'Dated offers'!$A$7:$A$305,0))</x:f>
        <x:v>Unreserved inventory snapshot</x:v>
      </x:c>
      <x:c r="Z470" s="17" t="str">
        <x:v>OF0294</x:v>
      </x:c>
      <x:c r="AA470" s="2"/>
      <x:c r="AB470" s="2" t="str">
        <x:f>INDEX('Dated offers'!$Q$7:$Q$305,MATCH($Z470,'Dated offers'!$A$7:$A$305,0))</x:f>
        <x:v>https://www.digikey.com/en/products/detail/texas-instruments/TVS0500DRVR/8538263</x:v>
      </x:c>
    </x:row>
    <x:row r="471" ht="24" customHeight="1">
      <x:c r="A471" s="2" t="str">
        <x:v>100 boards / nominal</x:v>
      </x:c>
      <x:c r="B471" s="17" t="str">
        <x:v>TYPE-C-31-M-12</x:v>
      </x:c>
      <x:c r="C471" s="18" t="n">
        <x:v>100</x:v>
      </x:c>
      <x:c r="D471" s="27" t="n">
        <x:v>0</x:v>
      </x:c>
      <x:c r="E471" s="18" t="n">
        <x:f>INDEX('Assembly BOM'!$C$7:$C$162,MATCH($B471,'Assembly BOM'!$A$7:$A$162,0))</x:f>
        <x:v>1</x:v>
      </x:c>
      <x:c r="F471" s="18" t="n">
        <x:f>C471*E471</x:f>
        <x:v>100</x:v>
      </x:c>
      <x:c r="G471" s="18" t="n">
        <x:f>ROUNDUP(F471*(1+D471),0)</x:f>
        <x:v>100</x:v>
      </x:c>
      <x:c r="H471" s="18" t="n">
        <x:f>INDEX('Dated offers'!$F$7:$F$305,MATCH($Z471,'Dated offers'!$A$7:$A$305,0))</x:f>
        <x:v>5</x:v>
      </x:c>
      <x:c r="I471" s="18" t="n">
        <x:f>INDEX('Dated offers'!$G$7:$G$305,MATCH($Z471,'Dated offers'!$A$7:$A$305,0))</x:f>
        <x:v>5</x:v>
      </x:c>
      <x:c r="J471" s="18" t="n">
        <x:f>CEILING(MAX(G471,H471),I471)</x:f>
        <x:v>100</x:v>
      </x:c>
      <x:c r="K471" s="18" t="n">
        <x:v>100</x:v>
      </x:c>
      <x:c r="L471" s="18" t="n">
        <x:f>INDEX('Dated offers'!$I$7:$I$305,MATCH($Z471,'Dated offers'!$A$7:$A$305,0))</x:f>
        <x:v>50</x:v>
      </x:c>
      <x:c r="M471" s="25" t="n">
        <x:f>INDEX('Dated offers'!$J$7:$J$305,MATCH($Z471,'Dated offers'!$A$7:$A$305,0))</x:f>
        <x:v>0.1483</x:v>
      </x:c>
      <x:c r="N471" s="25" t="n">
        <x:f>INDEX('Dated offers'!$K$7:$K$305,MATCH($Z471,'Dated offers'!$A$7:$A$305,0))</x:f>
        <x:v>0</x:v>
      </x:c>
      <x:c r="O471" s="25" t="n">
        <x:f>F471*M471</x:f>
        <x:v>14.829999999999998</x:v>
      </x:c>
      <x:c r="P471" s="25" t="n">
        <x:f>G471*M471</x:f>
        <x:v>14.829999999999998</x:v>
      </x:c>
      <x:c r="Q471" s="25" t="n">
        <x:f>K471*M471+N471</x:f>
        <x:v>14.829999999999998</x:v>
      </x:c>
      <x:c r="R471" s="18" t="n">
        <x:f>K471-G471</x:f>
        <x:v>0</x:v>
      </x:c>
      <x:c r="S471" s="18" t="n">
        <x:f>INDEX('Dated offers'!$H$7:$H$305,MATCH($Z471,'Dated offers'!$A$7:$A$305,0))</x:f>
        <x:v>380675</x:v>
      </x:c>
      <x:c r="T471" s="2" t="str">
        <x:f>IF(K471&lt;G471,"Order below requirement",IF(K471&lt;L471,"Below price tier",IF(ISNUMBER(S471),IF(K471&gt;S471,"Quantity exceeds snapshot","Within quantity snapshot"),"Stock not stated")))</x:f>
        <x:v>Within quantity snapshot</x:v>
      </x:c>
      <x:c r="U471" s="2" t="str">
        <x:f>INDEX('Dated offers'!$C$7:$C$305,MATCH($Z471,'Dated offers'!$A$7:$A$305,0))</x:f>
        <x:v>LCSC</x:v>
      </x:c>
      <x:c r="V471" s="2" t="str">
        <x:f>INDEX('Dated offers'!$D$7:$D$305,MATCH($Z471,'Dated offers'!$A$7:$A$305,0))</x:f>
        <x:v>C165948</x:v>
      </x:c>
      <x:c r="W471" s="24" t="n">
        <x:f>INDEX('Dated offers'!$E$7:$E$305,MATCH($Z471,'Dated offers'!$A$7:$A$305,0))</x:f>
        <x:v>46307.44750119213</x:v>
      </x:c>
      <x:c r="X471" s="2" t="b">
        <x:f>INDEX('Dated offers'!$N$7:$N$305,MATCH($Z471,'Dated offers'!$A$7:$A$305,0))</x:f>
        <x:v>0</x:v>
      </x:c>
      <x:c r="Y471" s="2" t="str">
        <x:f>INDEX('Dated offers'!$O$7:$O$305,MATCH($Z471,'Dated offers'!$A$7:$A$305,0))</x:f>
        <x:v>Unreserved inventory snapshot</x:v>
      </x:c>
      <x:c r="Z471" s="17" t="str">
        <x:v>OF0295</x:v>
      </x:c>
      <x:c r="AA471" s="2"/>
      <x:c r="AB471" s="2" t="str">
        <x:f>INDEX('Dated offers'!$Q$7:$Q$305,MATCH($Z471,'Dated offers'!$A$7:$A$305,0))</x:f>
        <x:v>https://www.lcsc.com/product-detail/C165948.html</x:v>
      </x:c>
    </x:row>
    <x:row r="472" ht="24" customHeight="1">
      <x:c r="A472" s="2" t="str">
        <x:v>100 boards / nominal</x:v>
      </x:c>
      <x:c r="B472" s="17" t="str">
        <x:v>U.FL-R-SMT-1(80)</x:v>
      </x:c>
      <x:c r="C472" s="18" t="n">
        <x:v>100</x:v>
      </x:c>
      <x:c r="D472" s="27" t="n">
        <x:v>0</x:v>
      </x:c>
      <x:c r="E472" s="18" t="n">
        <x:f>INDEX('Assembly BOM'!$C$7:$C$162,MATCH($B472,'Assembly BOM'!$A$7:$A$162,0))</x:f>
        <x:v>1</x:v>
      </x:c>
      <x:c r="F472" s="18" t="n">
        <x:f>C472*E472</x:f>
        <x:v>100</x:v>
      </x:c>
      <x:c r="G472" s="18" t="n">
        <x:f>ROUNDUP(F472*(1+D472),0)</x:f>
        <x:v>100</x:v>
      </x:c>
      <x:c r="H472" s="18" t="n">
        <x:f>INDEX('Dated offers'!$F$7:$F$305,MATCH($Z472,'Dated offers'!$A$7:$A$305,0))</x:f>
        <x:v>5</x:v>
      </x:c>
      <x:c r="I472" s="18" t="n">
        <x:f>INDEX('Dated offers'!$G$7:$G$305,MATCH($Z472,'Dated offers'!$A$7:$A$305,0))</x:f>
        <x:v>5</x:v>
      </x:c>
      <x:c r="J472" s="18" t="n">
        <x:f>CEILING(MAX(G472,H472),I472)</x:f>
        <x:v>100</x:v>
      </x:c>
      <x:c r="K472" s="18" t="n">
        <x:v>100</x:v>
      </x:c>
      <x:c r="L472" s="18" t="n">
        <x:f>INDEX('Dated offers'!$I$7:$I$305,MATCH($Z472,'Dated offers'!$A$7:$A$305,0))</x:f>
        <x:v>50</x:v>
      </x:c>
      <x:c r="M472" s="25" t="n">
        <x:f>INDEX('Dated offers'!$J$7:$J$305,MATCH($Z472,'Dated offers'!$A$7:$A$305,0))</x:f>
        <x:v>0.0931</x:v>
      </x:c>
      <x:c r="N472" s="25" t="n">
        <x:f>INDEX('Dated offers'!$K$7:$K$305,MATCH($Z472,'Dated offers'!$A$7:$A$305,0))</x:f>
        <x:v>0</x:v>
      </x:c>
      <x:c r="O472" s="25" t="n">
        <x:f>F472*M472</x:f>
        <x:v>9.31</x:v>
      </x:c>
      <x:c r="P472" s="25" t="n">
        <x:f>G472*M472</x:f>
        <x:v>9.31</x:v>
      </x:c>
      <x:c r="Q472" s="25" t="n">
        <x:f>K472*M472+N472</x:f>
        <x:v>9.31</x:v>
      </x:c>
      <x:c r="R472" s="18" t="n">
        <x:f>K472-G472</x:f>
        <x:v>0</x:v>
      </x:c>
      <x:c r="S472" s="18" t="n">
        <x:f>INDEX('Dated offers'!$H$7:$H$305,MATCH($Z472,'Dated offers'!$A$7:$A$305,0))</x:f>
        <x:v>92510</x:v>
      </x:c>
      <x:c r="T472" s="2" t="str">
        <x:f>IF(K472&lt;G472,"Order below requirement",IF(K472&lt;L472,"Below price tier",IF(ISNUMBER(S472),IF(K472&gt;S472,"Quantity exceeds snapshot","Within quantity snapshot"),"Stock not stated")))</x:f>
        <x:v>Within quantity snapshot</x:v>
      </x:c>
      <x:c r="U472" s="2" t="str">
        <x:f>INDEX('Dated offers'!$C$7:$C$305,MATCH($Z472,'Dated offers'!$A$7:$A$305,0))</x:f>
        <x:v>LCSC</x:v>
      </x:c>
      <x:c r="V472" s="2" t="str">
        <x:f>INDEX('Dated offers'!$D$7:$D$305,MATCH($Z472,'Dated offers'!$A$7:$A$305,0))</x:f>
        <x:v>C88374</x:v>
      </x:c>
      <x:c r="W472" s="24" t="n">
        <x:f>INDEX('Dated offers'!$E$7:$E$305,MATCH($Z472,'Dated offers'!$A$7:$A$305,0))</x:f>
        <x:v>46307.44750297454</x:v>
      </x:c>
      <x:c r="X472" s="2" t="b">
        <x:f>INDEX('Dated offers'!$N$7:$N$305,MATCH($Z472,'Dated offers'!$A$7:$A$305,0))</x:f>
        <x:v>0</x:v>
      </x:c>
      <x:c r="Y472" s="2" t="str">
        <x:f>INDEX('Dated offers'!$O$7:$O$305,MATCH($Z472,'Dated offers'!$A$7:$A$305,0))</x:f>
        <x:v>Unreserved inventory snapshot</x:v>
      </x:c>
      <x:c r="Z472" s="17" t="str">
        <x:v>OF0296</x:v>
      </x:c>
      <x:c r="AA472" s="2"/>
      <x:c r="AB472" s="2" t="str">
        <x:f>INDEX('Dated offers'!$Q$7:$Q$305,MATCH($Z472,'Dated offers'!$A$7:$A$305,0))</x:f>
        <x:v>https://www.lcsc.com/product-detail/C88374.html</x:v>
      </x:c>
    </x:row>
    <x:row r="473" ht="24" customHeight="1">
      <x:c r="A473" s="2" t="str">
        <x:v>100 boards / nominal</x:v>
      </x:c>
      <x:c r="B473" s="17" t="str">
        <x:v>UHW2A330MPD</x:v>
      </x:c>
      <x:c r="C473" s="18" t="n">
        <x:v>100</x:v>
      </x:c>
      <x:c r="D473" s="27" t="n">
        <x:v>0</x:v>
      </x:c>
      <x:c r="E473" s="18" t="n">
        <x:f>INDEX('Assembly BOM'!$C$7:$C$162,MATCH($B473,'Assembly BOM'!$A$7:$A$162,0))</x:f>
        <x:v>1</x:v>
      </x:c>
      <x:c r="F473" s="18" t="n">
        <x:f>C473*E473</x:f>
        <x:v>100</x:v>
      </x:c>
      <x:c r="G473" s="18" t="n">
        <x:f>ROUNDUP(F473*(1+D473),0)</x:f>
        <x:v>100</x:v>
      </x:c>
      <x:c r="H473" s="18" t="n">
        <x:f>INDEX('Dated offers'!$F$7:$F$305,MATCH($Z473,'Dated offers'!$A$7:$A$305,0))</x:f>
        <x:v>1</x:v>
      </x:c>
      <x:c r="I473" s="18" t="n">
        <x:f>INDEX('Dated offers'!$G$7:$G$305,MATCH($Z473,'Dated offers'!$A$7:$A$305,0))</x:f>
        <x:v>1</x:v>
      </x:c>
      <x:c r="J473" s="18" t="n">
        <x:f>CEILING(MAX(G473,H473),I473)</x:f>
        <x:v>100</x:v>
      </x:c>
      <x:c r="K473" s="18" t="n">
        <x:v>100</x:v>
      </x:c>
      <x:c r="L473" s="18" t="n">
        <x:f>INDEX('Dated offers'!$I$7:$I$305,MATCH($Z473,'Dated offers'!$A$7:$A$305,0))</x:f>
        <x:v>100</x:v>
      </x:c>
      <x:c r="M473" s="25" t="n">
        <x:f>INDEX('Dated offers'!$J$7:$J$305,MATCH($Z473,'Dated offers'!$A$7:$A$305,0))</x:f>
        <x:v>0.5136</x:v>
      </x:c>
      <x:c r="N473" s="25" t="n">
        <x:f>INDEX('Dated offers'!$K$7:$K$305,MATCH($Z473,'Dated offers'!$A$7:$A$305,0))</x:f>
        <x:v>0</x:v>
      </x:c>
      <x:c r="O473" s="25" t="n">
        <x:f>F473*M473</x:f>
        <x:v>51.35999999999999</x:v>
      </x:c>
      <x:c r="P473" s="25" t="n">
        <x:f>G473*M473</x:f>
        <x:v>51.35999999999999</x:v>
      </x:c>
      <x:c r="Q473" s="25" t="n">
        <x:f>K473*M473+N473</x:f>
        <x:v>51.35999999999999</x:v>
      </x:c>
      <x:c r="R473" s="18" t="n">
        <x:f>K473-G473</x:f>
        <x:v>0</x:v>
      </x:c>
      <x:c r="S473" s="18" t="n">
        <x:f>INDEX('Dated offers'!$H$7:$H$305,MATCH($Z473,'Dated offers'!$A$7:$A$305,0))</x:f>
        <x:v>1506</x:v>
      </x:c>
      <x:c r="T473" s="2" t="str">
        <x:f>IF(K473&lt;G473,"Order below requirement",IF(K473&lt;L473,"Below price tier",IF(ISNUMBER(S473),IF(K473&gt;S473,"Quantity exceeds snapshot","Within quantity snapshot"),"Stock not stated")))</x:f>
        <x:v>Within quantity snapshot</x:v>
      </x:c>
      <x:c r="U473" s="2" t="str">
        <x:f>INDEX('Dated offers'!$C$7:$C$305,MATCH($Z473,'Dated offers'!$A$7:$A$305,0))</x:f>
        <x:v>DigiKey</x:v>
      </x:c>
      <x:c r="V473" s="2" t="str">
        <x:f>INDEX('Dated offers'!$D$7:$D$305,MATCH($Z473,'Dated offers'!$A$7:$A$305,0))</x:f>
        <x:v>Not stated</x:v>
      </x:c>
      <x:c r="W473" s="24" t="n">
        <x:f>INDEX('Dated offers'!$E$7:$E$305,MATCH($Z473,'Dated offers'!$A$7:$A$305,0))</x:f>
        <x:v>46307.4780725463</x:v>
      </x:c>
      <x:c r="X473" s="2" t="b">
        <x:f>INDEX('Dated offers'!$N$7:$N$305,MATCH($Z473,'Dated offers'!$A$7:$A$305,0))</x:f>
        <x:v>0</x:v>
      </x:c>
      <x:c r="Y473" s="2" t="str">
        <x:f>INDEX('Dated offers'!$O$7:$O$305,MATCH($Z473,'Dated offers'!$A$7:$A$305,0))</x:f>
        <x:v>Unreserved inventory snapshot</x:v>
      </x:c>
      <x:c r="Z473" s="17" t="str">
        <x:v>OF0297</x:v>
      </x:c>
      <x:c r="AA473" s="2"/>
      <x:c r="AB473" s="2" t="str">
        <x:f>INDEX('Dated offers'!$Q$7:$Q$305,MATCH($Z473,'Dated offers'!$A$7:$A$305,0))</x:f>
        <x:v>https://www.digikey.com/en/products/detail/nichicon/UHW2A330MPD/21317756</x:v>
      </x:c>
    </x:row>
    <x:row r="474" ht="24" customHeight="1">
      <x:c r="A474" s="2" t="str">
        <x:v>100 boards / nominal</x:v>
      </x:c>
      <x:c r="B474" s="17" t="str">
        <x:v>USBLC6-2P6</x:v>
      </x:c>
      <x:c r="C474" s="18" t="n">
        <x:v>100</x:v>
      </x:c>
      <x:c r="D474" s="27" t="n">
        <x:v>0</x:v>
      </x:c>
      <x:c r="E474" s="18" t="n">
        <x:f>INDEX('Assembly BOM'!$C$7:$C$162,MATCH($B474,'Assembly BOM'!$A$7:$A$162,0))</x:f>
        <x:v>1</x:v>
      </x:c>
      <x:c r="F474" s="18" t="n">
        <x:f>C474*E474</x:f>
        <x:v>100</x:v>
      </x:c>
      <x:c r="G474" s="18" t="n">
        <x:f>ROUNDUP(F474*(1+D474),0)</x:f>
        <x:v>100</x:v>
      </x:c>
      <x:c r="H474" s="18" t="n">
        <x:f>INDEX('Dated offers'!$F$7:$F$305,MATCH($Z474,'Dated offers'!$A$7:$A$305,0))</x:f>
        <x:v>1</x:v>
      </x:c>
      <x:c r="I474" s="18" t="n">
        <x:f>INDEX('Dated offers'!$G$7:$G$305,MATCH($Z474,'Dated offers'!$A$7:$A$305,0))</x:f>
        <x:v>1</x:v>
      </x:c>
      <x:c r="J474" s="18" t="n">
        <x:f>CEILING(MAX(G474,H474),I474)</x:f>
        <x:v>100</x:v>
      </x:c>
      <x:c r="K474" s="18" t="n">
        <x:v>100</x:v>
      </x:c>
      <x:c r="L474" s="18" t="n">
        <x:f>INDEX('Dated offers'!$I$7:$I$305,MATCH($Z474,'Dated offers'!$A$7:$A$305,0))</x:f>
        <x:v>100</x:v>
      </x:c>
      <x:c r="M474" s="25" t="n">
        <x:f>INDEX('Dated offers'!$J$7:$J$305,MATCH($Z474,'Dated offers'!$A$7:$A$305,0))</x:f>
        <x:v>0.2552</x:v>
      </x:c>
      <x:c r="N474" s="25" t="n">
        <x:f>INDEX('Dated offers'!$K$7:$K$305,MATCH($Z474,'Dated offers'!$A$7:$A$305,0))</x:f>
        <x:v>0</x:v>
      </x:c>
      <x:c r="O474" s="25" t="n">
        <x:f>F474*M474</x:f>
        <x:v>25.52</x:v>
      </x:c>
      <x:c r="P474" s="25" t="n">
        <x:f>G474*M474</x:f>
        <x:v>25.52</x:v>
      </x:c>
      <x:c r="Q474" s="25" t="n">
        <x:f>K474*M474+N474</x:f>
        <x:v>25.52</x:v>
      </x:c>
      <x:c r="R474" s="18" t="n">
        <x:f>K474-G474</x:f>
        <x:v>0</x:v>
      </x:c>
      <x:c r="S474" s="18" t="n">
        <x:f>INDEX('Dated offers'!$H$7:$H$305,MATCH($Z474,'Dated offers'!$A$7:$A$305,0))</x:f>
        <x:v>86297</x:v>
      </x:c>
      <x:c r="T474" s="2" t="str">
        <x:f>IF(K474&lt;G474,"Order below requirement",IF(K474&lt;L474,"Below price tier",IF(ISNUMBER(S474),IF(K474&gt;S474,"Quantity exceeds snapshot","Within quantity snapshot"),"Stock not stated")))</x:f>
        <x:v>Within quantity snapshot</x:v>
      </x:c>
      <x:c r="U474" s="2" t="str">
        <x:f>INDEX('Dated offers'!$C$7:$C$305,MATCH($Z474,'Dated offers'!$A$7:$A$305,0))</x:f>
        <x:v>DigiKey</x:v>
      </x:c>
      <x:c r="V474" s="2" t="str">
        <x:f>INDEX('Dated offers'!$D$7:$D$305,MATCH($Z474,'Dated offers'!$A$7:$A$305,0))</x:f>
        <x:v>Not stated</x:v>
      </x:c>
      <x:c r="W474" s="24" t="n">
        <x:f>INDEX('Dated offers'!$E$7:$E$305,MATCH($Z474,'Dated offers'!$A$7:$A$305,0))</x:f>
        <x:v>46307.47807273148</x:v>
      </x:c>
      <x:c r="X474" s="2" t="b">
        <x:f>INDEX('Dated offers'!$N$7:$N$305,MATCH($Z474,'Dated offers'!$A$7:$A$305,0))</x:f>
        <x:v>0</x:v>
      </x:c>
      <x:c r="Y474" s="2" t="str">
        <x:f>INDEX('Dated offers'!$O$7:$O$305,MATCH($Z474,'Dated offers'!$A$7:$A$305,0))</x:f>
        <x:v>Unreserved inventory snapshot</x:v>
      </x:c>
      <x:c r="Z474" s="17" t="str">
        <x:v>OF0298</x:v>
      </x:c>
      <x:c r="AA474" s="2"/>
      <x:c r="AB474" s="2" t="str">
        <x:f>INDEX('Dated offers'!$Q$7:$Q$305,MATCH($Z474,'Dated offers'!$A$7:$A$305,0))</x:f>
        <x:v>https://www.digikey.com/en/products/detail/stmicroelectronics/USBLC6-2P6/1007464</x:v>
      </x:c>
    </x:row>
    <x:row r="475" ht="24" customHeight="1">
      <x:c r="A475" s="2" t="str">
        <x:v>100 boards / 2% planning</x:v>
      </x:c>
      <x:c r="B475" s="17" t="str">
        <x:v>0451002.MRL</x:v>
      </x:c>
      <x:c r="C475" s="18" t="n">
        <x:v>100</x:v>
      </x:c>
      <x:c r="D475" s="27" t="n">
        <x:v>0.02</x:v>
      </x:c>
      <x:c r="E475" s="18" t="n">
        <x:f>INDEX('Assembly BOM'!$C$7:$C$162,MATCH($B475,'Assembly BOM'!$A$7:$A$162,0))</x:f>
        <x:v>1</x:v>
      </x:c>
      <x:c r="F475" s="18" t="n">
        <x:f>C475*E475</x:f>
        <x:v>100</x:v>
      </x:c>
      <x:c r="G475" s="18" t="n">
        <x:f>ROUNDUP(F475*(1+D475),0)</x:f>
        <x:v>102</x:v>
      </x:c>
      <x:c r="H475" s="18" t="n">
        <x:f>INDEX('Dated offers'!$F$7:$F$305,MATCH($Z475,'Dated offers'!$A$7:$A$305,0))</x:f>
        <x:v>5</x:v>
      </x:c>
      <x:c r="I475" s="18" t="n">
        <x:f>INDEX('Dated offers'!$G$7:$G$305,MATCH($Z475,'Dated offers'!$A$7:$A$305,0))</x:f>
        <x:v>5</x:v>
      </x:c>
      <x:c r="J475" s="18" t="n">
        <x:f>CEILING(MAX(G475,H475),I475)</x:f>
        <x:v>105</x:v>
      </x:c>
      <x:c r="K475" s="18" t="n">
        <x:v>105</x:v>
      </x:c>
      <x:c r="L475" s="18" t="n">
        <x:f>INDEX('Dated offers'!$I$7:$I$305,MATCH($Z475,'Dated offers'!$A$7:$A$305,0))</x:f>
        <x:v>50</x:v>
      </x:c>
      <x:c r="M475" s="25" t="n">
        <x:f>INDEX('Dated offers'!$J$7:$J$305,MATCH($Z475,'Dated offers'!$A$7:$A$305,0))</x:f>
        <x:v>0.2717</x:v>
      </x:c>
      <x:c r="N475" s="25" t="n">
        <x:f>INDEX('Dated offers'!$K$7:$K$305,MATCH($Z475,'Dated offers'!$A$7:$A$305,0))</x:f>
        <x:v>0</x:v>
      </x:c>
      <x:c r="O475" s="25" t="n">
        <x:f>F475*M475</x:f>
        <x:v>27.169999999999998</x:v>
      </x:c>
      <x:c r="P475" s="25" t="n">
        <x:f>G475*M475</x:f>
        <x:v>27.7134</x:v>
      </x:c>
      <x:c r="Q475" s="25" t="n">
        <x:f>K475*M475+N475</x:f>
        <x:v>28.5285</x:v>
      </x:c>
      <x:c r="R475" s="18" t="n">
        <x:f>K475-G475</x:f>
        <x:v>3</x:v>
      </x:c>
      <x:c r="S475" s="18" t="n">
        <x:f>INDEX('Dated offers'!$H$7:$H$305,MATCH($Z475,'Dated offers'!$A$7:$A$305,0))</x:f>
        <x:v>24355</x:v>
      </x:c>
      <x:c r="T475" s="2" t="str">
        <x:f>IF(K475&lt;G475,"Order below requirement",IF(K475&lt;L475,"Below price tier",IF(ISNUMBER(S475),IF(K475&gt;S475,"Quantity exceeds snapshot","Within quantity snapshot"),"Stock not stated")))</x:f>
        <x:v>Within quantity snapshot</x:v>
      </x:c>
      <x:c r="U475" s="2" t="str">
        <x:f>INDEX('Dated offers'!$C$7:$C$305,MATCH($Z475,'Dated offers'!$A$7:$A$305,0))</x:f>
        <x:v>LCSC</x:v>
      </x:c>
      <x:c r="V475" s="2" t="str">
        <x:f>INDEX('Dated offers'!$D$7:$D$305,MATCH($Z475,'Dated offers'!$A$7:$A$305,0))</x:f>
        <x:v>C99547</x:v>
      </x:c>
      <x:c r="W475" s="24" t="n">
        <x:f>INDEX('Dated offers'!$E$7:$E$305,MATCH($Z475,'Dated offers'!$A$7:$A$305,0))</x:f>
        <x:v>46307.44739201389</x:v>
      </x:c>
      <x:c r="X475" s="2" t="b">
        <x:f>INDEX('Dated offers'!$N$7:$N$305,MATCH($Z475,'Dated offers'!$A$7:$A$305,0))</x:f>
        <x:v>0</x:v>
      </x:c>
      <x:c r="Y475" s="2" t="str">
        <x:f>INDEX('Dated offers'!$O$7:$O$305,MATCH($Z475,'Dated offers'!$A$7:$A$305,0))</x:f>
        <x:v>Unreserved inventory snapshot</x:v>
      </x:c>
      <x:c r="Z475" s="17" t="str">
        <x:v>OF0159</x:v>
      </x:c>
      <x:c r="AA475" s="2"/>
      <x:c r="AB475" s="2" t="str">
        <x:f>INDEX('Dated offers'!$Q$7:$Q$305,MATCH($Z475,'Dated offers'!$A$7:$A$305,0))</x:f>
        <x:v>https://www.lcsc.com/product-detail/C99547.html</x:v>
      </x:c>
    </x:row>
    <x:row r="476" ht="24" customHeight="1">
      <x:c r="A476" s="2" t="str">
        <x:v>100 boards / 2% planning</x:v>
      </x:c>
      <x:c r="B476" s="17" t="str">
        <x:v>123A-42B02</x:v>
      </x:c>
      <x:c r="C476" s="18" t="n">
        <x:v>100</x:v>
      </x:c>
      <x:c r="D476" s="27" t="n">
        <x:v>0.02</x:v>
      </x:c>
      <x:c r="E476" s="18" t="n">
        <x:f>INDEX('Assembly BOM'!$C$7:$C$162,MATCH($B476,'Assembly BOM'!$A$7:$A$162,0))</x:f>
        <x:v>1</x:v>
      </x:c>
      <x:c r="F476" s="18" t="n">
        <x:f>C476*E476</x:f>
        <x:v>100</x:v>
      </x:c>
      <x:c r="G476" s="18" t="n">
        <x:f>ROUNDUP(F476*(1+D476),0)</x:f>
        <x:v>102</x:v>
      </x:c>
      <x:c r="H476" s="18" t="n">
        <x:f>INDEX('Dated offers'!$F$7:$F$305,MATCH($Z476,'Dated offers'!$A$7:$A$305,0))</x:f>
        <x:v>1</x:v>
      </x:c>
      <x:c r="I476" s="18" t="n">
        <x:f>INDEX('Dated offers'!$G$7:$G$305,MATCH($Z476,'Dated offers'!$A$7:$A$305,0))</x:f>
        <x:v>1</x:v>
      </x:c>
      <x:c r="J476" s="18" t="n">
        <x:f>CEILING(MAX(G476,H476),I476)</x:f>
        <x:v>102</x:v>
      </x:c>
      <x:c r="K476" s="18" t="n">
        <x:v>102</x:v>
      </x:c>
      <x:c r="L476" s="18" t="n">
        <x:f>INDEX('Dated offers'!$I$7:$I$305,MATCH($Z476,'Dated offers'!$A$7:$A$305,0))</x:f>
        <x:v>100</x:v>
      </x:c>
      <x:c r="M476" s="25" t="n">
        <x:f>INDEX('Dated offers'!$J$7:$J$305,MATCH($Z476,'Dated offers'!$A$7:$A$305,0))</x:f>
        <x:v>3.717</x:v>
      </x:c>
      <x:c r="N476" s="25" t="n">
        <x:f>INDEX('Dated offers'!$K$7:$K$305,MATCH($Z476,'Dated offers'!$A$7:$A$305,0))</x:f>
        <x:v>0</x:v>
      </x:c>
      <x:c r="O476" s="25" t="n">
        <x:f>F476*M476</x:f>
        <x:v>371.7</x:v>
      </x:c>
      <x:c r="P476" s="25" t="n">
        <x:f>G476*M476</x:f>
        <x:v>379.134</x:v>
      </x:c>
      <x:c r="Q476" s="25" t="n">
        <x:f>K476*M476+N476</x:f>
        <x:v>379.134</x:v>
      </x:c>
      <x:c r="R476" s="18" t="n">
        <x:f>K476-G476</x:f>
        <x:v>0</x:v>
      </x:c>
      <x:c r="S476" s="18" t="n">
        <x:f>INDEX('Dated offers'!$H$7:$H$305,MATCH($Z476,'Dated offers'!$A$7:$A$305,0))</x:f>
        <x:v>244</x:v>
      </x:c>
      <x:c r="T476" s="2" t="str">
        <x:f>IF(K476&lt;G476,"Order below requirement",IF(K476&lt;L476,"Below price tier",IF(ISNUMBER(S476),IF(K476&gt;S476,"Quantity exceeds snapshot","Within quantity snapshot"),"Stock not stated")))</x:f>
        <x:v>Within quantity snapshot</x:v>
      </x:c>
      <x:c r="U476" s="2" t="str">
        <x:f>INDEX('Dated offers'!$C$7:$C$305,MATCH($Z476,'Dated offers'!$A$7:$A$305,0))</x:f>
        <x:v>DigiKey</x:v>
      </x:c>
      <x:c r="V476" s="2" t="str">
        <x:f>INDEX('Dated offers'!$D$7:$D$305,MATCH($Z476,'Dated offers'!$A$7:$A$305,0))</x:f>
        <x:v>Not stated</x:v>
      </x:c>
      <x:c r="W476" s="24" t="n">
        <x:f>INDEX('Dated offers'!$E$7:$E$305,MATCH($Z476,'Dated offers'!$A$7:$A$305,0))</x:f>
        <x:v>46307.4780725</x:v>
      </x:c>
      <x:c r="X476" s="2" t="b">
        <x:f>INDEX('Dated offers'!$N$7:$N$305,MATCH($Z476,'Dated offers'!$A$7:$A$305,0))</x:f>
        <x:v>0</x:v>
      </x:c>
      <x:c r="Y476" s="2" t="str">
        <x:f>INDEX('Dated offers'!$O$7:$O$305,MATCH($Z476,'Dated offers'!$A$7:$A$305,0))</x:f>
        <x:v>Unreserved inventory snapshot</x:v>
      </x:c>
      <x:c r="Z476" s="17" t="str">
        <x:v>OF0160</x:v>
      </x:c>
      <x:c r="AA476" s="2"/>
      <x:c r="AB476" s="2" t="str">
        <x:f>INDEX('Dated offers'!$Q$7:$Q$305,MATCH($Z476,'Dated offers'!$A$7:$A$305,0))</x:f>
        <x:v>https://www.digikey.com/en/products/detail/attend-technology/123A-42B02/26236331</x:v>
      </x:c>
    </x:row>
    <x:row r="477" ht="24" customHeight="1">
      <x:c r="A477" s="2" t="str">
        <x:v>100 boards / 2% planning</x:v>
      </x:c>
      <x:c r="B477" s="17" t="str">
        <x:v>25SVPK82M</x:v>
      </x:c>
      <x:c r="C477" s="18" t="n">
        <x:v>100</x:v>
      </x:c>
      <x:c r="D477" s="27" t="n">
        <x:v>0.02</x:v>
      </x:c>
      <x:c r="E477" s="18" t="n">
        <x:f>INDEX('Assembly BOM'!$C$7:$C$162,MATCH($B477,'Assembly BOM'!$A$7:$A$162,0))</x:f>
        <x:v>1</x:v>
      </x:c>
      <x:c r="F477" s="18" t="n">
        <x:f>C477*E477</x:f>
        <x:v>100</x:v>
      </x:c>
      <x:c r="G477" s="18" t="n">
        <x:f>ROUNDUP(F477*(1+D477),0)</x:f>
        <x:v>102</x:v>
      </x:c>
      <x:c r="H477" s="18" t="n">
        <x:f>INDEX('Dated offers'!$F$7:$F$305,MATCH($Z477,'Dated offers'!$A$7:$A$305,0))</x:f>
        <x:v>1</x:v>
      </x:c>
      <x:c r="I477" s="18" t="n">
        <x:f>INDEX('Dated offers'!$G$7:$G$305,MATCH($Z477,'Dated offers'!$A$7:$A$305,0))</x:f>
        <x:v>1</x:v>
      </x:c>
      <x:c r="J477" s="18" t="n">
        <x:f>CEILING(MAX(G477,H477),I477)</x:f>
        <x:v>102</x:v>
      </x:c>
      <x:c r="K477" s="18" t="n">
        <x:v>102</x:v>
      </x:c>
      <x:c r="L477" s="18" t="n">
        <x:f>INDEX('Dated offers'!$I$7:$I$305,MATCH($Z477,'Dated offers'!$A$7:$A$305,0))</x:f>
        <x:v>100</x:v>
      </x:c>
      <x:c r="M477" s="25" t="n">
        <x:f>INDEX('Dated offers'!$J$7:$J$305,MATCH($Z477,'Dated offers'!$A$7:$A$305,0))</x:f>
        <x:v>0.8876</x:v>
      </x:c>
      <x:c r="N477" s="25" t="n">
        <x:f>INDEX('Dated offers'!$K$7:$K$305,MATCH($Z477,'Dated offers'!$A$7:$A$305,0))</x:f>
        <x:v>0</x:v>
      </x:c>
      <x:c r="O477" s="25" t="n">
        <x:f>F477*M477</x:f>
        <x:v>88.75999999999999</x:v>
      </x:c>
      <x:c r="P477" s="25" t="n">
        <x:f>G477*M477</x:f>
        <x:v>90.53519999999999</x:v>
      </x:c>
      <x:c r="Q477" s="25" t="n">
        <x:f>K477*M477+N477</x:f>
        <x:v>90.53519999999999</x:v>
      </x:c>
      <x:c r="R477" s="18" t="n">
        <x:f>K477-G477</x:f>
        <x:v>0</x:v>
      </x:c>
      <x:c r="S477" s="18" t="n">
        <x:f>INDEX('Dated offers'!$H$7:$H$305,MATCH($Z477,'Dated offers'!$A$7:$A$305,0))</x:f>
        <x:v>581</x:v>
      </x:c>
      <x:c r="T477" s="2" t="str">
        <x:f>IF(K477&lt;G477,"Order below requirement",IF(K477&lt;L477,"Below price tier",IF(ISNUMBER(S477),IF(K477&gt;S477,"Quantity exceeds snapshot","Within quantity snapshot"),"Stock not stated")))</x:f>
        <x:v>Within quantity snapshot</x:v>
      </x:c>
      <x:c r="U477" s="2" t="str">
        <x:f>INDEX('Dated offers'!$C$7:$C$305,MATCH($Z477,'Dated offers'!$A$7:$A$305,0))</x:f>
        <x:v>DigiKey</x:v>
      </x:c>
      <x:c r="V477" s="2" t="str">
        <x:f>INDEX('Dated offers'!$D$7:$D$305,MATCH($Z477,'Dated offers'!$A$7:$A$305,0))</x:f>
        <x:v>Not stated</x:v>
      </x:c>
      <x:c r="W477" s="24" t="n">
        <x:f>INDEX('Dated offers'!$E$7:$E$305,MATCH($Z477,'Dated offers'!$A$7:$A$305,0))</x:f>
        <x:v>46307.47807271991</x:v>
      </x:c>
      <x:c r="X477" s="2" t="b">
        <x:f>INDEX('Dated offers'!$N$7:$N$305,MATCH($Z477,'Dated offers'!$A$7:$A$305,0))</x:f>
        <x:v>0</x:v>
      </x:c>
      <x:c r="Y477" s="2" t="str">
        <x:f>INDEX('Dated offers'!$O$7:$O$305,MATCH($Z477,'Dated offers'!$A$7:$A$305,0))</x:f>
        <x:v>Unreserved inventory snapshot</x:v>
      </x:c>
      <x:c r="Z477" s="17" t="str">
        <x:v>OF0161</x:v>
      </x:c>
      <x:c r="AA477" s="2"/>
      <x:c r="AB477" s="2" t="str">
        <x:f>INDEX('Dated offers'!$Q$7:$Q$305,MATCH($Z477,'Dated offers'!$A$7:$A$305,0))</x:f>
        <x:v>https://www.digikey.com/en/products/detail/panasonic-industry/25SVPK82M/7564851</x:v>
      </x:c>
    </x:row>
    <x:row r="478" ht="24" customHeight="1">
      <x:c r="A478" s="2" t="str">
        <x:v>100 boards / 2% planning</x:v>
      </x:c>
      <x:c r="B478" s="21" t="str">
        <x:v>885012206026</x:v>
      </x:c>
      <x:c r="C478" s="18" t="n">
        <x:v>100</x:v>
      </x:c>
      <x:c r="D478" s="27" t="n">
        <x:v>0.02</x:v>
      </x:c>
      <x:c r="E478" s="18" t="n">
        <x:f>INDEX('Assembly BOM'!$C$7:$C$162,MATCH($B478,'Assembly BOM'!$A$7:$A$162,0))</x:f>
        <x:v>3</x:v>
      </x:c>
      <x:c r="F478" s="18" t="n">
        <x:f>C478*E478</x:f>
        <x:v>300</x:v>
      </x:c>
      <x:c r="G478" s="18" t="n">
        <x:f>ROUNDUP(F478*(1+D478),0)</x:f>
        <x:v>306</x:v>
      </x:c>
      <x:c r="H478" s="18" t="n">
        <x:f>INDEX('Dated offers'!$F$7:$F$305,MATCH($Z478,'Dated offers'!$A$7:$A$305,0))</x:f>
        <x:v>1</x:v>
      </x:c>
      <x:c r="I478" s="18" t="n">
        <x:f>INDEX('Dated offers'!$G$7:$G$305,MATCH($Z478,'Dated offers'!$A$7:$A$305,0))</x:f>
        <x:v>1</x:v>
      </x:c>
      <x:c r="J478" s="18" t="n">
        <x:f>CEILING(MAX(G478,H478),I478)</x:f>
        <x:v>306</x:v>
      </x:c>
      <x:c r="K478" s="18" t="n">
        <x:v>306</x:v>
      </x:c>
      <x:c r="L478" s="18" t="n">
        <x:f>INDEX('Dated offers'!$I$7:$I$305,MATCH($Z478,'Dated offers'!$A$7:$A$305,0))</x:f>
        <x:v>100</x:v>
      </x:c>
      <x:c r="M478" s="25" t="n">
        <x:f>INDEX('Dated offers'!$J$7:$J$305,MATCH($Z478,'Dated offers'!$A$7:$A$305,0))</x:f>
        <x:v>0.0501</x:v>
      </x:c>
      <x:c r="N478" s="25" t="n">
        <x:f>INDEX('Dated offers'!$K$7:$K$305,MATCH($Z478,'Dated offers'!$A$7:$A$305,0))</x:f>
        <x:v>0</x:v>
      </x:c>
      <x:c r="O478" s="25" t="n">
        <x:f>F478*M478</x:f>
        <x:v>15.03</x:v>
      </x:c>
      <x:c r="P478" s="25" t="n">
        <x:f>G478*M478</x:f>
        <x:v>15.3306</x:v>
      </x:c>
      <x:c r="Q478" s="25" t="n">
        <x:f>K478*M478+N478</x:f>
        <x:v>15.3306</x:v>
      </x:c>
      <x:c r="R478" s="18" t="n">
        <x:f>K478-G478</x:f>
        <x:v>0</x:v>
      </x:c>
      <x:c r="S478" s="18" t="n">
        <x:f>INDEX('Dated offers'!$H$7:$H$305,MATCH($Z478,'Dated offers'!$A$7:$A$305,0))</x:f>
        <x:v>34767</x:v>
      </x:c>
      <x:c r="T478" s="2" t="str">
        <x:f>IF(K478&lt;G478,"Order below requirement",IF(K478&lt;L478,"Below price tier",IF(ISNUMBER(S478),IF(K478&gt;S478,"Quantity exceeds snapshot","Within quantity snapshot"),"Stock not stated")))</x:f>
        <x:v>Within quantity snapshot</x:v>
      </x:c>
      <x:c r="U478" s="2" t="str">
        <x:f>INDEX('Dated offers'!$C$7:$C$305,MATCH($Z478,'Dated offers'!$A$7:$A$305,0))</x:f>
        <x:v>DigiKey</x:v>
      </x:c>
      <x:c r="V478" s="2" t="str">
        <x:f>INDEX('Dated offers'!$D$7:$D$305,MATCH($Z478,'Dated offers'!$A$7:$A$305,0))</x:f>
        <x:v>Not stated</x:v>
      </x:c>
      <x:c r="W478" s="24" t="n">
        <x:f>INDEX('Dated offers'!$E$7:$E$305,MATCH($Z478,'Dated offers'!$A$7:$A$305,0))</x:f>
        <x:v>46307.47807252315</x:v>
      </x:c>
      <x:c r="X478" s="2" t="b">
        <x:f>INDEX('Dated offers'!$N$7:$N$305,MATCH($Z478,'Dated offers'!$A$7:$A$305,0))</x:f>
        <x:v>0</x:v>
      </x:c>
      <x:c r="Y478" s="2" t="str">
        <x:f>INDEX('Dated offers'!$O$7:$O$305,MATCH($Z478,'Dated offers'!$A$7:$A$305,0))</x:f>
        <x:v>Unreserved inventory snapshot</x:v>
      </x:c>
      <x:c r="Z478" s="17" t="str">
        <x:v>OF0162</x:v>
      </x:c>
      <x:c r="AA478" s="2"/>
      <x:c r="AB478" s="2" t="str">
        <x:f>INDEX('Dated offers'!$Q$7:$Q$305,MATCH($Z478,'Dated offers'!$A$7:$A$305,0))</x:f>
        <x:v>https://www.digikey.com/en/products/detail/w%C3%BCrth-elektronik/885012206026/5453800</x:v>
      </x:c>
    </x:row>
    <x:row r="479" ht="24" customHeight="1">
      <x:c r="A479" s="2" t="str">
        <x:v>100 boards / 2% planning</x:v>
      </x:c>
      <x:c r="B479" s="21" t="str">
        <x:v>885012207026</x:v>
      </x:c>
      <x:c r="C479" s="18" t="n">
        <x:v>100</x:v>
      </x:c>
      <x:c r="D479" s="27" t="n">
        <x:v>0.02</x:v>
      </x:c>
      <x:c r="E479" s="18" t="n">
        <x:f>INDEX('Assembly BOM'!$C$7:$C$162,MATCH($B479,'Assembly BOM'!$A$7:$A$162,0))</x:f>
        <x:v>3</x:v>
      </x:c>
      <x:c r="F479" s="18" t="n">
        <x:f>C479*E479</x:f>
        <x:v>300</x:v>
      </x:c>
      <x:c r="G479" s="18" t="n">
        <x:f>ROUNDUP(F479*(1+D479),0)</x:f>
        <x:v>306</x:v>
      </x:c>
      <x:c r="H479" s="18" t="n">
        <x:f>INDEX('Dated offers'!$F$7:$F$305,MATCH($Z479,'Dated offers'!$A$7:$A$305,0))</x:f>
        <x:v>1</x:v>
      </x:c>
      <x:c r="I479" s="18" t="n">
        <x:f>INDEX('Dated offers'!$G$7:$G$305,MATCH($Z479,'Dated offers'!$A$7:$A$305,0))</x:f>
        <x:v>1</x:v>
      </x:c>
      <x:c r="J479" s="18" t="n">
        <x:f>CEILING(MAX(G479,H479),I479)</x:f>
        <x:v>306</x:v>
      </x:c>
      <x:c r="K479" s="18" t="n">
        <x:v>306</x:v>
      </x:c>
      <x:c r="L479" s="18" t="n">
        <x:f>INDEX('Dated offers'!$I$7:$I$305,MATCH($Z479,'Dated offers'!$A$7:$A$305,0))</x:f>
        <x:v>100</x:v>
      </x:c>
      <x:c r="M479" s="25" t="n">
        <x:f>INDEX('Dated offers'!$J$7:$J$305,MATCH($Z479,'Dated offers'!$A$7:$A$305,0))</x:f>
        <x:v>0.1482</x:v>
      </x:c>
      <x:c r="N479" s="25" t="n">
        <x:f>INDEX('Dated offers'!$K$7:$K$305,MATCH($Z479,'Dated offers'!$A$7:$A$305,0))</x:f>
        <x:v>0</x:v>
      </x:c>
      <x:c r="O479" s="25" t="n">
        <x:f>F479*M479</x:f>
        <x:v>44.46</x:v>
      </x:c>
      <x:c r="P479" s="25" t="n">
        <x:f>G479*M479</x:f>
        <x:v>45.349199999999996</x:v>
      </x:c>
      <x:c r="Q479" s="25" t="n">
        <x:f>K479*M479+N479</x:f>
        <x:v>45.349199999999996</x:v>
      </x:c>
      <x:c r="R479" s="18" t="n">
        <x:f>K479-G479</x:f>
        <x:v>0</x:v>
      </x:c>
      <x:c r="S479" s="18" t="n">
        <x:f>INDEX('Dated offers'!$H$7:$H$305,MATCH($Z479,'Dated offers'!$A$7:$A$305,0))</x:f>
        <x:v>3676</x:v>
      </x:c>
      <x:c r="T479" s="2" t="str">
        <x:f>IF(K479&lt;G479,"Order below requirement",IF(K479&lt;L479,"Below price tier",IF(ISNUMBER(S479),IF(K479&gt;S479,"Quantity exceeds snapshot","Within quantity snapshot"),"Stock not stated")))</x:f>
        <x:v>Within quantity snapshot</x:v>
      </x:c>
      <x:c r="U479" s="2" t="str">
        <x:f>INDEX('Dated offers'!$C$7:$C$305,MATCH($Z479,'Dated offers'!$A$7:$A$305,0))</x:f>
        <x:v>DigiKey</x:v>
      </x:c>
      <x:c r="V479" s="2" t="str">
        <x:f>INDEX('Dated offers'!$D$7:$D$305,MATCH($Z479,'Dated offers'!$A$7:$A$305,0))</x:f>
        <x:v>Exact 885012207026 Cut Tape</x:v>
      </x:c>
      <x:c r="W479" s="24" t="n">
        <x:f>INDEX('Dated offers'!$E$7:$E$305,MATCH($Z479,'Dated offers'!$A$7:$A$305,0))</x:f>
        <x:v>46307.7145725</x:v>
      </x:c>
      <x:c r="X479" s="2" t="b">
        <x:f>INDEX('Dated offers'!$N$7:$N$305,MATCH($Z479,'Dated offers'!$A$7:$A$305,0))</x:f>
        <x:v>0</x:v>
      </x:c>
      <x:c r="Y479" s="2" t="str">
        <x:f>INDEX('Dated offers'!$O$7:$O$305,MATCH($Z479,'Dated offers'!$A$7:$A$305,0))</x:f>
        <x:v>Unreserved inventory snapshot</x:v>
      </x:c>
      <x:c r="Z479" s="17" t="str">
        <x:v>OF0163</x:v>
      </x:c>
      <x:c r="AA479" s="2"/>
      <x:c r="AB479" s="2" t="str">
        <x:f>INDEX('Dated offers'!$Q$7:$Q$305,MATCH($Z479,'Dated offers'!$A$7:$A$305,0))</x:f>
        <x:v>https://www.digikey.com/en/products/detail/w%C3%BCrth-elektronik/885012207026/5454285</x:v>
      </x:c>
    </x:row>
    <x:row r="480" ht="24" customHeight="1">
      <x:c r="A480" s="2" t="str">
        <x:v>100 boards / 2% planning</x:v>
      </x:c>
      <x:c r="B480" s="17" t="str">
        <x:v>9774025243R</x:v>
      </x:c>
      <x:c r="C480" s="18" t="n">
        <x:v>100</x:v>
      </x:c>
      <x:c r="D480" s="27" t="n">
        <x:v>0.02</x:v>
      </x:c>
      <x:c r="E480" s="18" t="n">
        <x:f>INDEX('Assembly BOM'!$C$7:$C$162,MATCH($B480,'Assembly BOM'!$A$7:$A$162,0))</x:f>
        <x:v>1</x:v>
      </x:c>
      <x:c r="F480" s="18" t="n">
        <x:f>C480*E480</x:f>
        <x:v>100</x:v>
      </x:c>
      <x:c r="G480" s="18" t="n">
        <x:f>ROUNDUP(F480*(1+D480),0)</x:f>
        <x:v>102</x:v>
      </x:c>
      <x:c r="H480" s="18" t="n">
        <x:f>INDEX('Dated offers'!$F$7:$F$305,MATCH($Z480,'Dated offers'!$A$7:$A$305,0))</x:f>
        <x:v>1</x:v>
      </x:c>
      <x:c r="I480" s="18" t="n">
        <x:f>INDEX('Dated offers'!$G$7:$G$305,MATCH($Z480,'Dated offers'!$A$7:$A$305,0))</x:f>
        <x:v>1</x:v>
      </x:c>
      <x:c r="J480" s="18" t="n">
        <x:f>CEILING(MAX(G480,H480),I480)</x:f>
        <x:v>102</x:v>
      </x:c>
      <x:c r="K480" s="18" t="n">
        <x:v>102</x:v>
      </x:c>
      <x:c r="L480" s="18" t="n">
        <x:f>INDEX('Dated offers'!$I$7:$I$305,MATCH($Z480,'Dated offers'!$A$7:$A$305,0))</x:f>
        <x:v>100</x:v>
      </x:c>
      <x:c r="M480" s="25" t="n">
        <x:f>INDEX('Dated offers'!$J$7:$J$305,MATCH($Z480,'Dated offers'!$A$7:$A$305,0))</x:f>
        <x:v>0.895</x:v>
      </x:c>
      <x:c r="N480" s="25" t="n">
        <x:f>INDEX('Dated offers'!$K$7:$K$305,MATCH($Z480,'Dated offers'!$A$7:$A$305,0))</x:f>
        <x:v>0</x:v>
      </x:c>
      <x:c r="O480" s="25" t="n">
        <x:f>F480*M480</x:f>
        <x:v>89.5</x:v>
      </x:c>
      <x:c r="P480" s="25" t="n">
        <x:f>G480*M480</x:f>
        <x:v>91.29</x:v>
      </x:c>
      <x:c r="Q480" s="25" t="n">
        <x:f>K480*M480+N480</x:f>
        <x:v>91.29</x:v>
      </x:c>
      <x:c r="R480" s="18" t="n">
        <x:f>K480-G480</x:f>
        <x:v>0</x:v>
      </x:c>
      <x:c r="S480" s="18" t="n">
        <x:f>INDEX('Dated offers'!$H$7:$H$305,MATCH($Z480,'Dated offers'!$A$7:$A$305,0))</x:f>
        <x:v>106480</x:v>
      </x:c>
      <x:c r="T480" s="2" t="str">
        <x:f>IF(K480&lt;G480,"Order below requirement",IF(K480&lt;L480,"Below price tier",IF(ISNUMBER(S480),IF(K480&gt;S480,"Quantity exceeds snapshot","Within quantity snapshot"),"Stock not stated")))</x:f>
        <x:v>Within quantity snapshot</x:v>
      </x:c>
      <x:c r="U480" s="2" t="str">
        <x:f>INDEX('Dated offers'!$C$7:$C$305,MATCH($Z480,'Dated offers'!$A$7:$A$305,0))</x:f>
        <x:v>DigiKey</x:v>
      </x:c>
      <x:c r="V480" s="2" t="str">
        <x:f>INDEX('Dated offers'!$D$7:$D$305,MATCH($Z480,'Dated offers'!$A$7:$A$305,0))</x:f>
        <x:v>Not stated</x:v>
      </x:c>
      <x:c r="W480" s="24" t="n">
        <x:f>INDEX('Dated offers'!$E$7:$E$305,MATCH($Z480,'Dated offers'!$A$7:$A$305,0))</x:f>
        <x:v>46307.47807258102</x:v>
      </x:c>
      <x:c r="X480" s="2" t="b">
        <x:f>INDEX('Dated offers'!$N$7:$N$305,MATCH($Z480,'Dated offers'!$A$7:$A$305,0))</x:f>
        <x:v>0</x:v>
      </x:c>
      <x:c r="Y480" s="2" t="str">
        <x:f>INDEX('Dated offers'!$O$7:$O$305,MATCH($Z480,'Dated offers'!$A$7:$A$305,0))</x:f>
        <x:v>Unreserved inventory snapshot</x:v>
      </x:c>
      <x:c r="Z480" s="17" t="str">
        <x:v>OF0164</x:v>
      </x:c>
      <x:c r="AA480" s="2"/>
      <x:c r="AB480" s="2" t="str">
        <x:f>INDEX('Dated offers'!$Q$7:$Q$305,MATCH($Z480,'Dated offers'!$A$7:$A$305,0))</x:f>
        <x:v>https://www.digikey.com/en/products/detail/w%C3%BCrth-elektronik/9774025243R/5320622</x:v>
      </x:c>
    </x:row>
    <x:row r="481" ht="24" customHeight="1">
      <x:c r="A481" s="2" t="str">
        <x:v>100 boards / 2% planning</x:v>
      </x:c>
      <x:c r="B481" s="17" t="str">
        <x:v>ABM8-25.000MHZ-D1X-T</x:v>
      </x:c>
      <x:c r="C481" s="18" t="n">
        <x:v>100</x:v>
      </x:c>
      <x:c r="D481" s="27" t="n">
        <x:v>0.02</x:v>
      </x:c>
      <x:c r="E481" s="18" t="n">
        <x:f>INDEX('Assembly BOM'!$C$7:$C$162,MATCH($B481,'Assembly BOM'!$A$7:$A$162,0))</x:f>
        <x:v>1</x:v>
      </x:c>
      <x:c r="F481" s="18" t="n">
        <x:f>C481*E481</x:f>
        <x:v>100</x:v>
      </x:c>
      <x:c r="G481" s="18" t="n">
        <x:f>ROUNDUP(F481*(1+D481),0)</x:f>
        <x:v>102</x:v>
      </x:c>
      <x:c r="H481" s="18" t="n">
        <x:f>INDEX('Dated offers'!$F$7:$F$305,MATCH($Z481,'Dated offers'!$A$7:$A$305,0))</x:f>
        <x:v>1</x:v>
      </x:c>
      <x:c r="I481" s="18" t="n">
        <x:f>INDEX('Dated offers'!$G$7:$G$305,MATCH($Z481,'Dated offers'!$A$7:$A$305,0))</x:f>
        <x:v>1</x:v>
      </x:c>
      <x:c r="J481" s="18" t="n">
        <x:f>CEILING(MAX(G481,H481),I481)</x:f>
        <x:v>102</x:v>
      </x:c>
      <x:c r="K481" s="18" t="n">
        <x:v>102</x:v>
      </x:c>
      <x:c r="L481" s="18" t="n">
        <x:f>INDEX('Dated offers'!$I$7:$I$305,MATCH($Z481,'Dated offers'!$A$7:$A$305,0))</x:f>
        <x:v>100</x:v>
      </x:c>
      <x:c r="M481" s="25" t="n">
        <x:f>INDEX('Dated offers'!$J$7:$J$305,MATCH($Z481,'Dated offers'!$A$7:$A$305,0))</x:f>
        <x:v>0.348</x:v>
      </x:c>
      <x:c r="N481" s="25" t="n">
        <x:f>INDEX('Dated offers'!$K$7:$K$305,MATCH($Z481,'Dated offers'!$A$7:$A$305,0))</x:f>
        <x:v>0</x:v>
      </x:c>
      <x:c r="O481" s="25" t="n">
        <x:f>F481*M481</x:f>
        <x:v>34.8</x:v>
      </x:c>
      <x:c r="P481" s="25" t="n">
        <x:f>G481*M481</x:f>
        <x:v>35.495999999999995</x:v>
      </x:c>
      <x:c r="Q481" s="25" t="n">
        <x:f>K481*M481+N481</x:f>
        <x:v>35.495999999999995</x:v>
      </x:c>
      <x:c r="R481" s="18" t="n">
        <x:f>K481-G481</x:f>
        <x:v>0</x:v>
      </x:c>
      <x:c r="S481" s="18" t="n">
        <x:f>INDEX('Dated offers'!$H$7:$H$305,MATCH($Z481,'Dated offers'!$A$7:$A$305,0))</x:f>
        <x:v>338</x:v>
      </x:c>
      <x:c r="T481" s="2" t="str">
        <x:f>IF(K481&lt;G481,"Order below requirement",IF(K481&lt;L481,"Below price tier",IF(ISNUMBER(S481),IF(K481&gt;S481,"Quantity exceeds snapshot","Within quantity snapshot"),"Stock not stated")))</x:f>
        <x:v>Within quantity snapshot</x:v>
      </x:c>
      <x:c r="U481" s="2" t="str">
        <x:f>INDEX('Dated offers'!$C$7:$C$305,MATCH($Z481,'Dated offers'!$A$7:$A$305,0))</x:f>
        <x:v>DigiKey</x:v>
      </x:c>
      <x:c r="V481" s="2" t="str">
        <x:f>INDEX('Dated offers'!$D$7:$D$305,MATCH($Z481,'Dated offers'!$A$7:$A$305,0))</x:f>
        <x:v>Not stated</x:v>
      </x:c>
      <x:c r="W481" s="24" t="n">
        <x:f>INDEX('Dated offers'!$E$7:$E$305,MATCH($Z481,'Dated offers'!$A$7:$A$305,0))</x:f>
        <x:v>46307.478072592596</x:v>
      </x:c>
      <x:c r="X481" s="2" t="b">
        <x:f>INDEX('Dated offers'!$N$7:$N$305,MATCH($Z481,'Dated offers'!$A$7:$A$305,0))</x:f>
        <x:v>0</x:v>
      </x:c>
      <x:c r="Y481" s="2" t="str">
        <x:f>INDEX('Dated offers'!$O$7:$O$305,MATCH($Z481,'Dated offers'!$A$7:$A$305,0))</x:f>
        <x:v>Unreserved inventory snapshot</x:v>
      </x:c>
      <x:c r="Z481" s="17" t="str">
        <x:v>OF0165</x:v>
      </x:c>
      <x:c r="AA481" s="2"/>
      <x:c r="AB481" s="2" t="str">
        <x:f>INDEX('Dated offers'!$Q$7:$Q$305,MATCH($Z481,'Dated offers'!$A$7:$A$305,0))</x:f>
        <x:v>https://www.digikey.com/en/products/detail/abracon-llc/ABM8-25-000MHZ-D1X-T/9997887</x:v>
      </x:c>
    </x:row>
    <x:row r="482" ht="24" customHeight="1">
      <x:c r="A482" s="2" t="str">
        <x:v>100 boards / 2% planning</x:v>
      </x:c>
      <x:c r="B482" s="17" t="str">
        <x:v>ABM8-40.000MHZ-10-D1G-T</x:v>
      </x:c>
      <x:c r="C482" s="18" t="n">
        <x:v>100</x:v>
      </x:c>
      <x:c r="D482" s="27" t="n">
        <x:v>0.02</x:v>
      </x:c>
      <x:c r="E482" s="18" t="n">
        <x:f>INDEX('Assembly BOM'!$C$7:$C$162,MATCH($B482,'Assembly BOM'!$A$7:$A$162,0))</x:f>
        <x:v>1</x:v>
      </x:c>
      <x:c r="F482" s="18" t="n">
        <x:f>C482*E482</x:f>
        <x:v>100</x:v>
      </x:c>
      <x:c r="G482" s="18" t="n">
        <x:f>ROUNDUP(F482*(1+D482),0)</x:f>
        <x:v>102</x:v>
      </x:c>
      <x:c r="H482" s="18" t="n">
        <x:f>INDEX('Dated offers'!$F$7:$F$305,MATCH($Z482,'Dated offers'!$A$7:$A$305,0))</x:f>
        <x:v>1</x:v>
      </x:c>
      <x:c r="I482" s="18" t="n">
        <x:f>INDEX('Dated offers'!$G$7:$G$305,MATCH($Z482,'Dated offers'!$A$7:$A$305,0))</x:f>
        <x:v>1</x:v>
      </x:c>
      <x:c r="J482" s="18" t="n">
        <x:f>CEILING(MAX(G482,H482),I482)</x:f>
        <x:v>102</x:v>
      </x:c>
      <x:c r="K482" s="18" t="n">
        <x:v>102</x:v>
      </x:c>
      <x:c r="L482" s="18" t="n">
        <x:f>INDEX('Dated offers'!$I$7:$I$305,MATCH($Z482,'Dated offers'!$A$7:$A$305,0))</x:f>
        <x:v>100</x:v>
      </x:c>
      <x:c r="M482" s="25" t="n">
        <x:f>INDEX('Dated offers'!$J$7:$J$305,MATCH($Z482,'Dated offers'!$A$7:$A$305,0))</x:f>
        <x:v>0.372</x:v>
      </x:c>
      <x:c r="N482" s="25" t="n">
        <x:f>INDEX('Dated offers'!$K$7:$K$305,MATCH($Z482,'Dated offers'!$A$7:$A$305,0))</x:f>
        <x:v>0</x:v>
      </x:c>
      <x:c r="O482" s="25" t="n">
        <x:f>F482*M482</x:f>
        <x:v>37.2</x:v>
      </x:c>
      <x:c r="P482" s="25" t="n">
        <x:f>G482*M482</x:f>
        <x:v>37.944</x:v>
      </x:c>
      <x:c r="Q482" s="25" t="n">
        <x:f>K482*M482+N482</x:f>
        <x:v>37.944</x:v>
      </x:c>
      <x:c r="R482" s="18" t="n">
        <x:f>K482-G482</x:f>
        <x:v>0</x:v>
      </x:c>
      <x:c r="S482" s="18" t="n">
        <x:f>INDEX('Dated offers'!$H$7:$H$305,MATCH($Z482,'Dated offers'!$A$7:$A$305,0))</x:f>
        <x:v>1001</x:v>
      </x:c>
      <x:c r="T482" s="2" t="str">
        <x:f>IF(K482&lt;G482,"Order below requirement",IF(K482&lt;L482,"Below price tier",IF(ISNUMBER(S482),IF(K482&gt;S482,"Quantity exceeds snapshot","Within quantity snapshot"),"Stock not stated")))</x:f>
        <x:v>Within quantity snapshot</x:v>
      </x:c>
      <x:c r="U482" s="2" t="str">
        <x:f>INDEX('Dated offers'!$C$7:$C$305,MATCH($Z482,'Dated offers'!$A$7:$A$305,0))</x:f>
        <x:v>DigiKey</x:v>
      </x:c>
      <x:c r="V482" s="2" t="str">
        <x:f>INDEX('Dated offers'!$D$7:$D$305,MATCH($Z482,'Dated offers'!$A$7:$A$305,0))</x:f>
        <x:v>Not stated</x:v>
      </x:c>
      <x:c r="W482" s="24" t="n">
        <x:f>INDEX('Dated offers'!$E$7:$E$305,MATCH($Z482,'Dated offers'!$A$7:$A$305,0))</x:f>
        <x:v>46307.478072592596</x:v>
      </x:c>
      <x:c r="X482" s="2" t="b">
        <x:f>INDEX('Dated offers'!$N$7:$N$305,MATCH($Z482,'Dated offers'!$A$7:$A$305,0))</x:f>
        <x:v>0</x:v>
      </x:c>
      <x:c r="Y482" s="2" t="str">
        <x:f>INDEX('Dated offers'!$O$7:$O$305,MATCH($Z482,'Dated offers'!$A$7:$A$305,0))</x:f>
        <x:v>Unreserved inventory snapshot</x:v>
      </x:c>
      <x:c r="Z482" s="17" t="str">
        <x:v>OF0166</x:v>
      </x:c>
      <x:c r="AA482" s="2"/>
      <x:c r="AB482" s="2" t="str">
        <x:f>INDEX('Dated offers'!$Q$7:$Q$305,MATCH($Z482,'Dated offers'!$A$7:$A$305,0))</x:f>
        <x:v>https://www.digikey.com/en/products/detail/abracon-llc/ABM8-40-000MHZ-10-D1G-T/9997905</x:v>
      </x:c>
    </x:row>
    <x:row r="483" ht="24" customHeight="1">
      <x:c r="A483" s="2" t="str">
        <x:v>100 boards / 2% planning</x:v>
      </x:c>
      <x:c r="B483" s="17" t="str">
        <x:v>AC01000004708JA100</x:v>
      </x:c>
      <x:c r="C483" s="18" t="n">
        <x:v>100</x:v>
      </x:c>
      <x:c r="D483" s="27" t="n">
        <x:v>0.02</x:v>
      </x:c>
      <x:c r="E483" s="18" t="n">
        <x:f>INDEX('Assembly BOM'!$C$7:$C$162,MATCH($B483,'Assembly BOM'!$A$7:$A$162,0))</x:f>
        <x:v>1</x:v>
      </x:c>
      <x:c r="F483" s="18" t="n">
        <x:f>C483*E483</x:f>
        <x:v>100</x:v>
      </x:c>
      <x:c r="G483" s="18" t="n">
        <x:f>ROUNDUP(F483*(1+D483),0)</x:f>
        <x:v>102</x:v>
      </x:c>
      <x:c r="H483" s="18" t="n">
        <x:f>INDEX('Dated offers'!$F$7:$F$305,MATCH($Z483,'Dated offers'!$A$7:$A$305,0))</x:f>
        <x:v>1</x:v>
      </x:c>
      <x:c r="I483" s="18" t="n">
        <x:f>INDEX('Dated offers'!$G$7:$G$305,MATCH($Z483,'Dated offers'!$A$7:$A$305,0))</x:f>
        <x:v>1</x:v>
      </x:c>
      <x:c r="J483" s="18" t="n">
        <x:f>CEILING(MAX(G483,H483),I483)</x:f>
        <x:v>102</x:v>
      </x:c>
      <x:c r="K483" s="18" t="n">
        <x:v>102</x:v>
      </x:c>
      <x:c r="L483" s="18" t="n">
        <x:f>INDEX('Dated offers'!$I$7:$I$305,MATCH($Z483,'Dated offers'!$A$7:$A$305,0))</x:f>
        <x:v>100</x:v>
      </x:c>
      <x:c r="M483" s="25" t="n">
        <x:f>INDEX('Dated offers'!$J$7:$J$305,MATCH($Z483,'Dated offers'!$A$7:$A$305,0))</x:f>
        <x:v>0.4531</x:v>
      </x:c>
      <x:c r="N483" s="25" t="n">
        <x:f>INDEX('Dated offers'!$K$7:$K$305,MATCH($Z483,'Dated offers'!$A$7:$A$305,0))</x:f>
        <x:v>0</x:v>
      </x:c>
      <x:c r="O483" s="25" t="n">
        <x:f>F483*M483</x:f>
        <x:v>45.31</x:v>
      </x:c>
      <x:c r="P483" s="25" t="n">
        <x:f>G483*M483</x:f>
        <x:v>46.2162</x:v>
      </x:c>
      <x:c r="Q483" s="25" t="n">
        <x:f>K483*M483+N483</x:f>
        <x:v>46.2162</x:v>
      </x:c>
      <x:c r="R483" s="18" t="n">
        <x:f>K483-G483</x:f>
        <x:v>0</x:v>
      </x:c>
      <x:c r="S483" s="18" t="n">
        <x:f>INDEX('Dated offers'!$H$7:$H$305,MATCH($Z483,'Dated offers'!$A$7:$A$305,0))</x:f>
        <x:v>384</x:v>
      </x:c>
      <x:c r="T483" s="2" t="str">
        <x:f>IF(K483&lt;G483,"Order below requirement",IF(K483&lt;L483,"Below price tier",IF(ISNUMBER(S483),IF(K483&gt;S483,"Quantity exceeds snapshot","Within quantity snapshot"),"Stock not stated")))</x:f>
        <x:v>Within quantity snapshot</x:v>
      </x:c>
      <x:c r="U483" s="2" t="str">
        <x:f>INDEX('Dated offers'!$C$7:$C$305,MATCH($Z483,'Dated offers'!$A$7:$A$305,0))</x:f>
        <x:v>DigiKey</x:v>
      </x:c>
      <x:c r="V483" s="2" t="str">
        <x:f>INDEX('Dated offers'!$D$7:$D$305,MATCH($Z483,'Dated offers'!$A$7:$A$305,0))</x:f>
        <x:v>Not stated</x:v>
      </x:c>
      <x:c r="W483" s="24" t="n">
        <x:f>INDEX('Dated offers'!$E$7:$E$305,MATCH($Z483,'Dated offers'!$A$7:$A$305,0))</x:f>
        <x:v>46307.47807255787</x:v>
      </x:c>
      <x:c r="X483" s="2" t="b">
        <x:f>INDEX('Dated offers'!$N$7:$N$305,MATCH($Z483,'Dated offers'!$A$7:$A$305,0))</x:f>
        <x:v>0</x:v>
      </x:c>
      <x:c r="Y483" s="2" t="str">
        <x:f>INDEX('Dated offers'!$O$7:$O$305,MATCH($Z483,'Dated offers'!$A$7:$A$305,0))</x:f>
        <x:v>Unreserved inventory snapshot</x:v>
      </x:c>
      <x:c r="Z483" s="17" t="str">
        <x:v>OF0167</x:v>
      </x:c>
      <x:c r="AA483" s="2"/>
      <x:c r="AB483" s="2" t="str">
        <x:f>INDEX('Dated offers'!$Q$7:$Q$305,MATCH($Z483,'Dated offers'!$A$7:$A$305,0))</x:f>
        <x:v>https://www.digikey.com/en/products/detail/vishay/AC01000004708JA100/596586</x:v>
      </x:c>
    </x:row>
    <x:row r="484" ht="24" customHeight="1">
      <x:c r="A484" s="2" t="str">
        <x:v>100 boards / 2% planning</x:v>
      </x:c>
      <x:c r="B484" s="17" t="str">
        <x:v>AT93C46DN-SH-T</x:v>
      </x:c>
      <x:c r="C484" s="18" t="n">
        <x:v>100</x:v>
      </x:c>
      <x:c r="D484" s="27" t="n">
        <x:v>0.02</x:v>
      </x:c>
      <x:c r="E484" s="18" t="n">
        <x:f>INDEX('Assembly BOM'!$C$7:$C$162,MATCH($B484,'Assembly BOM'!$A$7:$A$162,0))</x:f>
        <x:v>1</x:v>
      </x:c>
      <x:c r="F484" s="18" t="n">
        <x:f>C484*E484</x:f>
        <x:v>100</x:v>
      </x:c>
      <x:c r="G484" s="18" t="n">
        <x:f>ROUNDUP(F484*(1+D484),0)</x:f>
        <x:v>102</x:v>
      </x:c>
      <x:c r="H484" s="18" t="n">
        <x:f>INDEX('Dated offers'!$F$7:$F$305,MATCH($Z484,'Dated offers'!$A$7:$A$305,0))</x:f>
        <x:v>1</x:v>
      </x:c>
      <x:c r="I484" s="18" t="n">
        <x:f>INDEX('Dated offers'!$G$7:$G$305,MATCH($Z484,'Dated offers'!$A$7:$A$305,0))</x:f>
        <x:v>1</x:v>
      </x:c>
      <x:c r="J484" s="18" t="n">
        <x:f>CEILING(MAX(G484,H484),I484)</x:f>
        <x:v>102</x:v>
      </x:c>
      <x:c r="K484" s="18" t="n">
        <x:v>102</x:v>
      </x:c>
      <x:c r="L484" s="18" t="n">
        <x:f>INDEX('Dated offers'!$I$7:$I$305,MATCH($Z484,'Dated offers'!$A$7:$A$305,0))</x:f>
        <x:v>1</x:v>
      </x:c>
      <x:c r="M484" s="25" t="n">
        <x:f>INDEX('Dated offers'!$J$7:$J$305,MATCH($Z484,'Dated offers'!$A$7:$A$305,0))</x:f>
        <x:v>0.28</x:v>
      </x:c>
      <x:c r="N484" s="25" t="n">
        <x:f>INDEX('Dated offers'!$K$7:$K$305,MATCH($Z484,'Dated offers'!$A$7:$A$305,0))</x:f>
        <x:v>0</x:v>
      </x:c>
      <x:c r="O484" s="25" t="n">
        <x:f>F484*M484</x:f>
        <x:v>28.000000000000004</x:v>
      </x:c>
      <x:c r="P484" s="25" t="n">
        <x:f>G484*M484</x:f>
        <x:v>28.560000000000002</x:v>
      </x:c>
      <x:c r="Q484" s="25" t="n">
        <x:f>K484*M484+N484</x:f>
        <x:v>28.560000000000002</x:v>
      </x:c>
      <x:c r="R484" s="18" t="n">
        <x:f>K484-G484</x:f>
        <x:v>0</x:v>
      </x:c>
      <x:c r="S484" s="18" t="n">
        <x:f>INDEX('Dated offers'!$H$7:$H$305,MATCH($Z484,'Dated offers'!$A$7:$A$305,0))</x:f>
        <x:v>24535</x:v>
      </x:c>
      <x:c r="T484" s="2" t="str">
        <x:f>IF(K484&lt;G484,"Order below requirement",IF(K484&lt;L484,"Below price tier",IF(ISNUMBER(S484),IF(K484&gt;S484,"Quantity exceeds snapshot","Within quantity snapshot"),"Stock not stated")))</x:f>
        <x:v>Within quantity snapshot</x:v>
      </x:c>
      <x:c r="U484" s="2" t="str">
        <x:f>INDEX('Dated offers'!$C$7:$C$305,MATCH($Z484,'Dated offers'!$A$7:$A$305,0))</x:f>
        <x:v>DigiKey</x:v>
      </x:c>
      <x:c r="V484" s="2" t="str">
        <x:f>INDEX('Dated offers'!$D$7:$D$305,MATCH($Z484,'Dated offers'!$A$7:$A$305,0))</x:f>
        <x:v>Not stated</x:v>
      </x:c>
      <x:c r="W484" s="24" t="n">
        <x:f>INDEX('Dated offers'!$E$7:$E$305,MATCH($Z484,'Dated offers'!$A$7:$A$305,0))</x:f>
        <x:v>46307.478072708334</x:v>
      </x:c>
      <x:c r="X484" s="2" t="b">
        <x:f>INDEX('Dated offers'!$N$7:$N$305,MATCH($Z484,'Dated offers'!$A$7:$A$305,0))</x:f>
        <x:v>0</x:v>
      </x:c>
      <x:c r="Y484" s="2" t="str">
        <x:f>INDEX('Dated offers'!$O$7:$O$305,MATCH($Z484,'Dated offers'!$A$7:$A$305,0))</x:f>
        <x:v>Unreserved inventory snapshot</x:v>
      </x:c>
      <x:c r="Z484" s="17" t="str">
        <x:v>OF0010</x:v>
      </x:c>
      <x:c r="AA484" s="2"/>
      <x:c r="AB484" s="2" t="str">
        <x:f>INDEX('Dated offers'!$Q$7:$Q$305,MATCH($Z484,'Dated offers'!$A$7:$A$305,0))</x:f>
        <x:v>https://www.digikey.com/en/products/detail/microchip-technology/AT93C46DN-SH-T/1566800</x:v>
      </x:c>
    </x:row>
    <x:row r="485" ht="24" customHeight="1">
      <x:c r="A485" s="2" t="str">
        <x:v>100 boards / 2% planning</x:v>
      </x:c>
      <x:c r="B485" s="17" t="str">
        <x:v>B2B-XH-A(LF)(SN)</x:v>
      </x:c>
      <x:c r="C485" s="18" t="n">
        <x:v>100</x:v>
      </x:c>
      <x:c r="D485" s="27" t="n">
        <x:v>0.02</x:v>
      </x:c>
      <x:c r="E485" s="18" t="n">
        <x:f>INDEX('Assembly BOM'!$C$7:$C$162,MATCH($B485,'Assembly BOM'!$A$7:$A$162,0))</x:f>
        <x:v>1</x:v>
      </x:c>
      <x:c r="F485" s="18" t="n">
        <x:f>C485*E485</x:f>
        <x:v>100</x:v>
      </x:c>
      <x:c r="G485" s="18" t="n">
        <x:f>ROUNDUP(F485*(1+D485),0)</x:f>
        <x:v>102</x:v>
      </x:c>
      <x:c r="H485" s="18" t="n">
        <x:f>INDEX('Dated offers'!$F$7:$F$305,MATCH($Z485,'Dated offers'!$A$7:$A$305,0))</x:f>
        <x:v>20</x:v>
      </x:c>
      <x:c r="I485" s="18" t="n">
        <x:f>INDEX('Dated offers'!$G$7:$G$305,MATCH($Z485,'Dated offers'!$A$7:$A$305,0))</x:f>
        <x:v>20</x:v>
      </x:c>
      <x:c r="J485" s="18" t="n">
        <x:f>CEILING(MAX(G485,H485),I485)</x:f>
        <x:v>120</x:v>
      </x:c>
      <x:c r="K485" s="18" t="n">
        <x:v>120</x:v>
      </x:c>
      <x:c r="L485" s="18" t="n">
        <x:f>INDEX('Dated offers'!$I$7:$I$305,MATCH($Z485,'Dated offers'!$A$7:$A$305,0))</x:f>
        <x:v>20</x:v>
      </x:c>
      <x:c r="M485" s="25" t="n">
        <x:f>INDEX('Dated offers'!$J$7:$J$305,MATCH($Z485,'Dated offers'!$A$7:$A$305,0))</x:f>
        <x:v>0.0409</x:v>
      </x:c>
      <x:c r="N485" s="25" t="n">
        <x:f>INDEX('Dated offers'!$K$7:$K$305,MATCH($Z485,'Dated offers'!$A$7:$A$305,0))</x:f>
        <x:v>0</x:v>
      </x:c>
      <x:c r="O485" s="25" t="n">
        <x:f>F485*M485</x:f>
        <x:v>4.09</x:v>
      </x:c>
      <x:c r="P485" s="25" t="n">
        <x:f>G485*M485</x:f>
        <x:v>4.1718</x:v>
      </x:c>
      <x:c r="Q485" s="25" t="n">
        <x:f>K485*M485+N485</x:f>
        <x:v>4.9079999999999995</x:v>
      </x:c>
      <x:c r="R485" s="18" t="n">
        <x:f>K485-G485</x:f>
        <x:v>18</x:v>
      </x:c>
      <x:c r="S485" s="18" t="n">
        <x:f>INDEX('Dated offers'!$H$7:$H$305,MATCH($Z485,'Dated offers'!$A$7:$A$305,0))</x:f>
        <x:v>238920</x:v>
      </x:c>
      <x:c r="T485" s="2" t="str">
        <x:f>IF(K485&lt;G485,"Order below requirement",IF(K485&lt;L485,"Below price tier",IF(ISNUMBER(S485),IF(K485&gt;S485,"Quantity exceeds snapshot","Within quantity snapshot"),"Stock not stated")))</x:f>
        <x:v>Within quantity snapshot</x:v>
      </x:c>
      <x:c r="U485" s="2" t="str">
        <x:f>INDEX('Dated offers'!$C$7:$C$305,MATCH($Z485,'Dated offers'!$A$7:$A$305,0))</x:f>
        <x:v>LCSC</x:v>
      </x:c>
      <x:c r="V485" s="2" t="str">
        <x:f>INDEX('Dated offers'!$D$7:$D$305,MATCH($Z485,'Dated offers'!$A$7:$A$305,0))</x:f>
        <x:v>C158012</x:v>
      </x:c>
      <x:c r="W485" s="24" t="n">
        <x:f>INDEX('Dated offers'!$E$7:$E$305,MATCH($Z485,'Dated offers'!$A$7:$A$305,0))</x:f>
        <x:v>46307.447395428244</x:v>
      </x:c>
      <x:c r="X485" s="2" t="b">
        <x:f>INDEX('Dated offers'!$N$7:$N$305,MATCH($Z485,'Dated offers'!$A$7:$A$305,0))</x:f>
        <x:v>0</x:v>
      </x:c>
      <x:c r="Y485" s="2" t="str">
        <x:f>INDEX('Dated offers'!$O$7:$O$305,MATCH($Z485,'Dated offers'!$A$7:$A$305,0))</x:f>
        <x:v>Unreserved inventory snapshot</x:v>
      </x:c>
      <x:c r="Z485" s="17" t="str">
        <x:v>OF0011</x:v>
      </x:c>
      <x:c r="AA485" s="2"/>
      <x:c r="AB485" s="2" t="str">
        <x:f>INDEX('Dated offers'!$Q$7:$Q$305,MATCH($Z485,'Dated offers'!$A$7:$A$305,0))</x:f>
        <x:v>https://www.lcsc.com/product-detail/C158012.html</x:v>
      </x:c>
    </x:row>
    <x:row r="486" ht="24" customHeight="1">
      <x:c r="A486" s="2" t="str">
        <x:v>100 boards / 2% planning</x:v>
      </x:c>
      <x:c r="B486" s="17" t="str">
        <x:v>B3U-1000P</x:v>
      </x:c>
      <x:c r="C486" s="18" t="n">
        <x:v>100</x:v>
      </x:c>
      <x:c r="D486" s="27" t="n">
        <x:v>0.02</x:v>
      </x:c>
      <x:c r="E486" s="18" t="n">
        <x:f>INDEX('Assembly BOM'!$C$7:$C$162,MATCH($B486,'Assembly BOM'!$A$7:$A$162,0))</x:f>
        <x:v>2</x:v>
      </x:c>
      <x:c r="F486" s="18" t="n">
        <x:f>C486*E486</x:f>
        <x:v>200</x:v>
      </x:c>
      <x:c r="G486" s="18" t="n">
        <x:f>ROUNDUP(F486*(1+D486),0)</x:f>
        <x:v>204</x:v>
      </x:c>
      <x:c r="H486" s="18" t="n">
        <x:f>INDEX('Dated offers'!$F$7:$F$305,MATCH($Z486,'Dated offers'!$A$7:$A$305,0))</x:f>
        <x:v>5</x:v>
      </x:c>
      <x:c r="I486" s="18" t="n">
        <x:f>INDEX('Dated offers'!$G$7:$G$305,MATCH($Z486,'Dated offers'!$A$7:$A$305,0))</x:f>
        <x:v>5</x:v>
      </x:c>
      <x:c r="J486" s="18" t="n">
        <x:f>CEILING(MAX(G486,H486),I486)</x:f>
        <x:v>205</x:v>
      </x:c>
      <x:c r="K486" s="18" t="n">
        <x:v>205</x:v>
      </x:c>
      <x:c r="L486" s="18" t="n">
        <x:f>INDEX('Dated offers'!$I$7:$I$305,MATCH($Z486,'Dated offers'!$A$7:$A$305,0))</x:f>
        <x:v>150</x:v>
      </x:c>
      <x:c r="M486" s="25" t="n">
        <x:f>INDEX('Dated offers'!$J$7:$J$305,MATCH($Z486,'Dated offers'!$A$7:$A$305,0))</x:f>
        <x:v>0.1282</x:v>
      </x:c>
      <x:c r="N486" s="25" t="n">
        <x:f>INDEX('Dated offers'!$K$7:$K$305,MATCH($Z486,'Dated offers'!$A$7:$A$305,0))</x:f>
        <x:v>0</x:v>
      </x:c>
      <x:c r="O486" s="25" t="n">
        <x:f>F486*M486</x:f>
        <x:v>25.64</x:v>
      </x:c>
      <x:c r="P486" s="25" t="n">
        <x:f>G486*M486</x:f>
        <x:v>26.152800000000003</x:v>
      </x:c>
      <x:c r="Q486" s="25" t="n">
        <x:f>K486*M486+N486</x:f>
        <x:v>26.281000000000002</x:v>
      </x:c>
      <x:c r="R486" s="18" t="n">
        <x:f>K486-G486</x:f>
        <x:v>1</x:v>
      </x:c>
      <x:c r="S486" s="18" t="n">
        <x:f>INDEX('Dated offers'!$H$7:$H$305,MATCH($Z486,'Dated offers'!$A$7:$A$305,0))</x:f>
        <x:v>120135</x:v>
      </x:c>
      <x:c r="T486" s="2" t="str">
        <x:f>IF(K486&lt;G486,"Order below requirement",IF(K486&lt;L486,"Below price tier",IF(ISNUMBER(S486),IF(K486&gt;S486,"Quantity exceeds snapshot","Within quantity snapshot"),"Stock not stated")))</x:f>
        <x:v>Within quantity snapshot</x:v>
      </x:c>
      <x:c r="U486" s="2" t="str">
        <x:f>INDEX('Dated offers'!$C$7:$C$305,MATCH($Z486,'Dated offers'!$A$7:$A$305,0))</x:f>
        <x:v>LCSC</x:v>
      </x:c>
      <x:c r="V486" s="2" t="str">
        <x:f>INDEX('Dated offers'!$D$7:$D$305,MATCH($Z486,'Dated offers'!$A$7:$A$305,0))</x:f>
        <x:v>C231329</x:v>
      </x:c>
      <x:c r="W486" s="24" t="n">
        <x:f>INDEX('Dated offers'!$E$7:$E$305,MATCH($Z486,'Dated offers'!$A$7:$A$305,0))</x:f>
        <x:v>46307.44739550926</x:v>
      </x:c>
      <x:c r="X486" s="2" t="b">
        <x:f>INDEX('Dated offers'!$N$7:$N$305,MATCH($Z486,'Dated offers'!$A$7:$A$305,0))</x:f>
        <x:v>0</x:v>
      </x:c>
      <x:c r="Y486" s="2" t="str">
        <x:f>INDEX('Dated offers'!$O$7:$O$305,MATCH($Z486,'Dated offers'!$A$7:$A$305,0))</x:f>
        <x:v>Unreserved inventory snapshot</x:v>
      </x:c>
      <x:c r="Z486" s="17" t="str">
        <x:v>OF0168</x:v>
      </x:c>
      <x:c r="AA486" s="2"/>
      <x:c r="AB486" s="2" t="str">
        <x:f>INDEX('Dated offers'!$Q$7:$Q$305,MATCH($Z486,'Dated offers'!$A$7:$A$305,0))</x:f>
        <x:v>https://www.lcsc.com/product-detail/C231329.html</x:v>
      </x:c>
    </x:row>
    <x:row r="487" ht="24" customHeight="1">
      <x:c r="A487" s="2" t="str">
        <x:v>100 boards / 2% planning</x:v>
      </x:c>
      <x:c r="B487" s="17" t="str">
        <x:v>BLM18PG330SN1D</x:v>
      </x:c>
      <x:c r="C487" s="18" t="n">
        <x:v>100</x:v>
      </x:c>
      <x:c r="D487" s="27" t="n">
        <x:v>0.02</x:v>
      </x:c>
      <x:c r="E487" s="18" t="n">
        <x:f>INDEX('Assembly BOM'!$C$7:$C$162,MATCH($B487,'Assembly BOM'!$A$7:$A$162,0))</x:f>
        <x:v>1</x:v>
      </x:c>
      <x:c r="F487" s="18" t="n">
        <x:f>C487*E487</x:f>
        <x:v>100</x:v>
      </x:c>
      <x:c r="G487" s="18" t="n">
        <x:f>ROUNDUP(F487*(1+D487),0)</x:f>
        <x:v>102</x:v>
      </x:c>
      <x:c r="H487" s="18" t="n">
        <x:f>INDEX('Dated offers'!$F$7:$F$305,MATCH($Z487,'Dated offers'!$A$7:$A$305,0))</x:f>
        <x:v>1</x:v>
      </x:c>
      <x:c r="I487" s="18" t="n">
        <x:f>INDEX('Dated offers'!$G$7:$G$305,MATCH($Z487,'Dated offers'!$A$7:$A$305,0))</x:f>
        <x:v>1</x:v>
      </x:c>
      <x:c r="J487" s="18" t="n">
        <x:f>CEILING(MAX(G487,H487),I487)</x:f>
        <x:v>102</x:v>
      </x:c>
      <x:c r="K487" s="18" t="n">
        <x:v>102</x:v>
      </x:c>
      <x:c r="L487" s="18" t="n">
        <x:f>INDEX('Dated offers'!$I$7:$I$305,MATCH($Z487,'Dated offers'!$A$7:$A$305,0))</x:f>
        <x:v>100</x:v>
      </x:c>
      <x:c r="M487" s="25" t="n">
        <x:f>INDEX('Dated offers'!$J$7:$J$305,MATCH($Z487,'Dated offers'!$A$7:$A$305,0))</x:f>
        <x:v>0.0457</x:v>
      </x:c>
      <x:c r="N487" s="25" t="n">
        <x:f>INDEX('Dated offers'!$K$7:$K$305,MATCH($Z487,'Dated offers'!$A$7:$A$305,0))</x:f>
        <x:v>0</x:v>
      </x:c>
      <x:c r="O487" s="25" t="n">
        <x:f>F487*M487</x:f>
        <x:v>4.569999999999999</x:v>
      </x:c>
      <x:c r="P487" s="25" t="n">
        <x:f>G487*M487</x:f>
        <x:v>4.6613999999999995</x:v>
      </x:c>
      <x:c r="Q487" s="25" t="n">
        <x:f>K487*M487+N487</x:f>
        <x:v>4.6613999999999995</x:v>
      </x:c>
      <x:c r="R487" s="18" t="n">
        <x:f>K487-G487</x:f>
        <x:v>0</x:v>
      </x:c>
      <x:c r="S487" s="18" t="n">
        <x:f>INDEX('Dated offers'!$H$7:$H$305,MATCH($Z487,'Dated offers'!$A$7:$A$305,0))</x:f>
        <x:v>329009</x:v>
      </x:c>
      <x:c r="T487" s="2" t="str">
        <x:f>IF(K487&lt;G487,"Order below requirement",IF(K487&lt;L487,"Below price tier",IF(ISNUMBER(S487),IF(K487&gt;S487,"Quantity exceeds snapshot","Within quantity snapshot"),"Stock not stated")))</x:f>
        <x:v>Within quantity snapshot</x:v>
      </x:c>
      <x:c r="U487" s="2" t="str">
        <x:f>INDEX('Dated offers'!$C$7:$C$305,MATCH($Z487,'Dated offers'!$A$7:$A$305,0))</x:f>
        <x:v>DigiKey</x:v>
      </x:c>
      <x:c r="V487" s="2" t="str">
        <x:f>INDEX('Dated offers'!$D$7:$D$305,MATCH($Z487,'Dated offers'!$A$7:$A$305,0))</x:f>
        <x:v>Not stated</x:v>
      </x:c>
      <x:c r="W487" s="24" t="n">
        <x:f>INDEX('Dated offers'!$E$7:$E$305,MATCH($Z487,'Dated offers'!$A$7:$A$305,0))</x:f>
        <x:v>46307.47807266204</x:v>
      </x:c>
      <x:c r="X487" s="2" t="b">
        <x:f>INDEX('Dated offers'!$N$7:$N$305,MATCH($Z487,'Dated offers'!$A$7:$A$305,0))</x:f>
        <x:v>0</x:v>
      </x:c>
      <x:c r="Y487" s="2" t="str">
        <x:f>INDEX('Dated offers'!$O$7:$O$305,MATCH($Z487,'Dated offers'!$A$7:$A$305,0))</x:f>
        <x:v>Unreserved inventory snapshot</x:v>
      </x:c>
      <x:c r="Z487" s="17" t="str">
        <x:v>OF0169</x:v>
      </x:c>
      <x:c r="AA487" s="2"/>
      <x:c r="AB487" s="2" t="str">
        <x:f>INDEX('Dated offers'!$Q$7:$Q$305,MATCH($Z487,'Dated offers'!$A$7:$A$305,0))</x:f>
        <x:v>https://www.digikey.com/en/products/detail/murata-electronics/BLM18PG330SN1D/1948325</x:v>
      </x:c>
    </x:row>
    <x:row r="488" ht="24" customHeight="1">
      <x:c r="A488" s="2" t="str">
        <x:v>100 boards / 2% planning</x:v>
      </x:c>
      <x:c r="B488" s="17" t="str">
        <x:v>BZT52C6V2-7-F</x:v>
      </x:c>
      <x:c r="C488" s="18" t="n">
        <x:v>100</x:v>
      </x:c>
      <x:c r="D488" s="27" t="n">
        <x:v>0.02</x:v>
      </x:c>
      <x:c r="E488" s="18" t="n">
        <x:f>INDEX('Assembly BOM'!$C$7:$C$162,MATCH($B488,'Assembly BOM'!$A$7:$A$162,0))</x:f>
        <x:v>1</x:v>
      </x:c>
      <x:c r="F488" s="18" t="n">
        <x:f>C488*E488</x:f>
        <x:v>100</x:v>
      </x:c>
      <x:c r="G488" s="18" t="n">
        <x:f>ROUNDUP(F488*(1+D488),0)</x:f>
        <x:v>102</x:v>
      </x:c>
      <x:c r="H488" s="18" t="n">
        <x:f>INDEX('Dated offers'!$F$7:$F$305,MATCH($Z488,'Dated offers'!$A$7:$A$305,0))</x:f>
        <x:v>10</x:v>
      </x:c>
      <x:c r="I488" s="18" t="n">
        <x:f>INDEX('Dated offers'!$G$7:$G$305,MATCH($Z488,'Dated offers'!$A$7:$A$305,0))</x:f>
        <x:v>10</x:v>
      </x:c>
      <x:c r="J488" s="18" t="n">
        <x:f>CEILING(MAX(G488,H488),I488)</x:f>
        <x:v>110</x:v>
      </x:c>
      <x:c r="K488" s="18" t="n">
        <x:v>110</x:v>
      </x:c>
      <x:c r="L488" s="18" t="n">
        <x:f>INDEX('Dated offers'!$I$7:$I$305,MATCH($Z488,'Dated offers'!$A$7:$A$305,0))</x:f>
        <x:v>100</x:v>
      </x:c>
      <x:c r="M488" s="25" t="n">
        <x:f>INDEX('Dated offers'!$J$7:$J$305,MATCH($Z488,'Dated offers'!$A$7:$A$305,0))</x:f>
        <x:v>0.038</x:v>
      </x:c>
      <x:c r="N488" s="25" t="n">
        <x:f>INDEX('Dated offers'!$K$7:$K$305,MATCH($Z488,'Dated offers'!$A$7:$A$305,0))</x:f>
        <x:v>0</x:v>
      </x:c>
      <x:c r="O488" s="25" t="n">
        <x:f>F488*M488</x:f>
        <x:v>3.8</x:v>
      </x:c>
      <x:c r="P488" s="25" t="n">
        <x:f>G488*M488</x:f>
        <x:v>3.876</x:v>
      </x:c>
      <x:c r="Q488" s="25" t="n">
        <x:f>K488*M488+N488</x:f>
        <x:v>4.18</x:v>
      </x:c>
      <x:c r="R488" s="18" t="n">
        <x:f>K488-G488</x:f>
        <x:v>8</x:v>
      </x:c>
      <x:c r="S488" s="18" t="n">
        <x:f>INDEX('Dated offers'!$H$7:$H$305,MATCH($Z488,'Dated offers'!$A$7:$A$305,0))</x:f>
        <x:v>18480</x:v>
      </x:c>
      <x:c r="T488" s="2" t="str">
        <x:f>IF(K488&lt;G488,"Order below requirement",IF(K488&lt;L488,"Below price tier",IF(ISNUMBER(S488),IF(K488&gt;S488,"Quantity exceeds snapshot","Within quantity snapshot"),"Stock not stated")))</x:f>
        <x:v>Within quantity snapshot</x:v>
      </x:c>
      <x:c r="U488" s="2" t="str">
        <x:f>INDEX('Dated offers'!$C$7:$C$305,MATCH($Z488,'Dated offers'!$A$7:$A$305,0))</x:f>
        <x:v>LCSC</x:v>
      </x:c>
      <x:c r="V488" s="2" t="str">
        <x:f>INDEX('Dated offers'!$D$7:$D$305,MATCH($Z488,'Dated offers'!$A$7:$A$305,0))</x:f>
        <x:v>C397931</x:v>
      </x:c>
      <x:c r="W488" s="24" t="n">
        <x:f>INDEX('Dated offers'!$E$7:$E$305,MATCH($Z488,'Dated offers'!$A$7:$A$305,0))</x:f>
        <x:v>46307.44740135417</x:v>
      </x:c>
      <x:c r="X488" s="2" t="b">
        <x:f>INDEX('Dated offers'!$N$7:$N$305,MATCH($Z488,'Dated offers'!$A$7:$A$305,0))</x:f>
        <x:v>0</x:v>
      </x:c>
      <x:c r="Y488" s="2" t="str">
        <x:f>INDEX('Dated offers'!$O$7:$O$305,MATCH($Z488,'Dated offers'!$A$7:$A$305,0))</x:f>
        <x:v>Unreserved inventory snapshot</x:v>
      </x:c>
      <x:c r="Z488" s="17" t="str">
        <x:v>OF0170</x:v>
      </x:c>
      <x:c r="AA488" s="2"/>
      <x:c r="AB488" s="2" t="str">
        <x:f>INDEX('Dated offers'!$Q$7:$Q$305,MATCH($Z488,'Dated offers'!$A$7:$A$305,0))</x:f>
        <x:v>https://www.lcsc.com/product-detail/C397931.html</x:v>
      </x:c>
    </x:row>
    <x:row r="489" ht="24" customHeight="1">
      <x:c r="A489" s="2" t="str">
        <x:v>100 boards / 2% planning</x:v>
      </x:c>
      <x:c r="B489" s="17" t="str">
        <x:v>C0402C102K5RACTU</x:v>
      </x:c>
      <x:c r="C489" s="18" t="n">
        <x:v>100</x:v>
      </x:c>
      <x:c r="D489" s="27" t="n">
        <x:v>0.02</x:v>
      </x:c>
      <x:c r="E489" s="18" t="n">
        <x:f>INDEX('Assembly BOM'!$C$7:$C$162,MATCH($B489,'Assembly BOM'!$A$7:$A$162,0))</x:f>
        <x:v>2</x:v>
      </x:c>
      <x:c r="F489" s="18" t="n">
        <x:f>C489*E489</x:f>
        <x:v>200</x:v>
      </x:c>
      <x:c r="G489" s="18" t="n">
        <x:f>ROUNDUP(F489*(1+D489),0)</x:f>
        <x:v>204</x:v>
      </x:c>
      <x:c r="H489" s="18" t="n">
        <x:f>INDEX('Dated offers'!$F$7:$F$305,MATCH($Z489,'Dated offers'!$A$7:$A$305,0))</x:f>
        <x:v>1</x:v>
      </x:c>
      <x:c r="I489" s="18" t="n">
        <x:f>INDEX('Dated offers'!$G$7:$G$305,MATCH($Z489,'Dated offers'!$A$7:$A$305,0))</x:f>
        <x:v>1</x:v>
      </x:c>
      <x:c r="J489" s="18" t="n">
        <x:f>CEILING(MAX(G489,H489),I489)</x:f>
        <x:v>204</x:v>
      </x:c>
      <x:c r="K489" s="18" t="n">
        <x:v>204</x:v>
      </x:c>
      <x:c r="L489" s="18" t="n">
        <x:f>INDEX('Dated offers'!$I$7:$I$305,MATCH($Z489,'Dated offers'!$A$7:$A$305,0))</x:f>
        <x:v>100</x:v>
      </x:c>
      <x:c r="M489" s="25" t="n">
        <x:f>INDEX('Dated offers'!$J$7:$J$305,MATCH($Z489,'Dated offers'!$A$7:$A$305,0))</x:f>
        <x:v>0.0202</x:v>
      </x:c>
      <x:c r="N489" s="25" t="n">
        <x:f>INDEX('Dated offers'!$K$7:$K$305,MATCH($Z489,'Dated offers'!$A$7:$A$305,0))</x:f>
        <x:v>0</x:v>
      </x:c>
      <x:c r="O489" s="25" t="n">
        <x:f>F489*M489</x:f>
        <x:v>4.04</x:v>
      </x:c>
      <x:c r="P489" s="25" t="n">
        <x:f>G489*M489</x:f>
        <x:v>4.1208</x:v>
      </x:c>
      <x:c r="Q489" s="25" t="n">
        <x:f>K489*M489+N489</x:f>
        <x:v>4.1208</x:v>
      </x:c>
      <x:c r="R489" s="18" t="n">
        <x:f>K489-G489</x:f>
        <x:v>0</x:v>
      </x:c>
      <x:c r="S489" s="18" t="n">
        <x:f>INDEX('Dated offers'!$H$7:$H$305,MATCH($Z489,'Dated offers'!$A$7:$A$305,0))</x:f>
        <x:v>1816650</x:v>
      </x:c>
      <x:c r="T489" s="2" t="str">
        <x:f>IF(K489&lt;G489,"Order below requirement",IF(K489&lt;L489,"Below price tier",IF(ISNUMBER(S489),IF(K489&gt;S489,"Quantity exceeds snapshot","Within quantity snapshot"),"Stock not stated")))</x:f>
        <x:v>Within quantity snapshot</x:v>
      </x:c>
      <x:c r="U489" s="2" t="str">
        <x:f>INDEX('Dated offers'!$C$7:$C$305,MATCH($Z489,'Dated offers'!$A$7:$A$305,0))</x:f>
        <x:v>DigiKey</x:v>
      </x:c>
      <x:c r="V489" s="2" t="str">
        <x:f>INDEX('Dated offers'!$D$7:$D$305,MATCH($Z489,'Dated offers'!$A$7:$A$305,0))</x:f>
        <x:v>Not stated</x:v>
      </x:c>
      <x:c r="W489" s="24" t="n">
        <x:f>INDEX('Dated offers'!$E$7:$E$305,MATCH($Z489,'Dated offers'!$A$7:$A$305,0))</x:f>
        <x:v>46307.47807269676</x:v>
      </x:c>
      <x:c r="X489" s="2" t="b">
        <x:f>INDEX('Dated offers'!$N$7:$N$305,MATCH($Z489,'Dated offers'!$A$7:$A$305,0))</x:f>
        <x:v>0</x:v>
      </x:c>
      <x:c r="Y489" s="2" t="str">
        <x:f>INDEX('Dated offers'!$O$7:$O$305,MATCH($Z489,'Dated offers'!$A$7:$A$305,0))</x:f>
        <x:v>Unreserved inventory snapshot</x:v>
      </x:c>
      <x:c r="Z489" s="17" t="str">
        <x:v>OF0171</x:v>
      </x:c>
      <x:c r="AA489" s="2"/>
      <x:c r="AB489" s="2" t="str">
        <x:f>INDEX('Dated offers'!$Q$7:$Q$305,MATCH($Z489,'Dated offers'!$A$7:$A$305,0))</x:f>
        <x:v>https://www.digikey.com/en/products/detail/kemet/C0402C102K5RACTU/411034</x:v>
      </x:c>
    </x:row>
    <x:row r="490" ht="24" customHeight="1">
      <x:c r="A490" s="2" t="str">
        <x:v>100 boards / 2% planning</x:v>
      </x:c>
      <x:c r="B490" s="17" t="str">
        <x:v>C0402C220J5GACTU</x:v>
      </x:c>
      <x:c r="C490" s="18" t="n">
        <x:v>100</x:v>
      </x:c>
      <x:c r="D490" s="27" t="n">
        <x:v>0.02</x:v>
      </x:c>
      <x:c r="E490" s="18" t="n">
        <x:f>INDEX('Assembly BOM'!$C$7:$C$162,MATCH($B490,'Assembly BOM'!$A$7:$A$162,0))</x:f>
        <x:v>1</x:v>
      </x:c>
      <x:c r="F490" s="18" t="n">
        <x:f>C490*E490</x:f>
        <x:v>100</x:v>
      </x:c>
      <x:c r="G490" s="18" t="n">
        <x:f>ROUNDUP(F490*(1+D490),0)</x:f>
        <x:v>102</x:v>
      </x:c>
      <x:c r="H490" s="18" t="n">
        <x:f>INDEX('Dated offers'!$F$7:$F$305,MATCH($Z490,'Dated offers'!$A$7:$A$305,0))</x:f>
        <x:v>1</x:v>
      </x:c>
      <x:c r="I490" s="18" t="n">
        <x:f>INDEX('Dated offers'!$G$7:$G$305,MATCH($Z490,'Dated offers'!$A$7:$A$305,0))</x:f>
        <x:v>1</x:v>
      </x:c>
      <x:c r="J490" s="18" t="n">
        <x:f>CEILING(MAX(G490,H490),I490)</x:f>
        <x:v>102</x:v>
      </x:c>
      <x:c r="K490" s="18" t="n">
        <x:v>102</x:v>
      </x:c>
      <x:c r="L490" s="18" t="n">
        <x:f>INDEX('Dated offers'!$I$7:$I$305,MATCH($Z490,'Dated offers'!$A$7:$A$305,0))</x:f>
        <x:v>100</x:v>
      </x:c>
      <x:c r="M490" s="25" t="n">
        <x:f>INDEX('Dated offers'!$J$7:$J$305,MATCH($Z490,'Dated offers'!$A$7:$A$305,0))</x:f>
        <x:v>0.0234</x:v>
      </x:c>
      <x:c r="N490" s="25" t="n">
        <x:f>INDEX('Dated offers'!$K$7:$K$305,MATCH($Z490,'Dated offers'!$A$7:$A$305,0))</x:f>
        <x:v>0</x:v>
      </x:c>
      <x:c r="O490" s="25" t="n">
        <x:f>F490*M490</x:f>
        <x:v>2.34</x:v>
      </x:c>
      <x:c r="P490" s="25" t="n">
        <x:f>G490*M490</x:f>
        <x:v>2.3868</x:v>
      </x:c>
      <x:c r="Q490" s="25" t="n">
        <x:f>K490*M490+N490</x:f>
        <x:v>2.3868</x:v>
      </x:c>
      <x:c r="R490" s="18" t="n">
        <x:f>K490-G490</x:f>
        <x:v>0</x:v>
      </x:c>
      <x:c r="S490" s="18" t="n">
        <x:f>INDEX('Dated offers'!$H$7:$H$305,MATCH($Z490,'Dated offers'!$A$7:$A$305,0))</x:f>
        <x:v>489655</x:v>
      </x:c>
      <x:c r="T490" s="2" t="str">
        <x:f>IF(K490&lt;G490,"Order below requirement",IF(K490&lt;L490,"Below price tier",IF(ISNUMBER(S490),IF(K490&gt;S490,"Quantity exceeds snapshot","Within quantity snapshot"),"Stock not stated")))</x:f>
        <x:v>Within quantity snapshot</x:v>
      </x:c>
      <x:c r="U490" s="2" t="str">
        <x:f>INDEX('Dated offers'!$C$7:$C$305,MATCH($Z490,'Dated offers'!$A$7:$A$305,0))</x:f>
        <x:v>DigiKey</x:v>
      </x:c>
      <x:c r="V490" s="2" t="str">
        <x:f>INDEX('Dated offers'!$D$7:$D$305,MATCH($Z490,'Dated offers'!$A$7:$A$305,0))</x:f>
        <x:v>Not stated</x:v>
      </x:c>
      <x:c r="W490" s="24" t="n">
        <x:f>INDEX('Dated offers'!$E$7:$E$305,MATCH($Z490,'Dated offers'!$A$7:$A$305,0))</x:f>
        <x:v>46307.47807266204</x:v>
      </x:c>
      <x:c r="X490" s="2" t="b">
        <x:f>INDEX('Dated offers'!$N$7:$N$305,MATCH($Z490,'Dated offers'!$A$7:$A$305,0))</x:f>
        <x:v>0</x:v>
      </x:c>
      <x:c r="Y490" s="2" t="str">
        <x:f>INDEX('Dated offers'!$O$7:$O$305,MATCH($Z490,'Dated offers'!$A$7:$A$305,0))</x:f>
        <x:v>Unreserved inventory snapshot</x:v>
      </x:c>
      <x:c r="Z490" s="17" t="str">
        <x:v>OF0172</x:v>
      </x:c>
      <x:c r="AA490" s="2"/>
      <x:c r="AB490" s="2" t="str">
        <x:f>INDEX('Dated offers'!$Q$7:$Q$305,MATCH($Z490,'Dated offers'!$A$7:$A$305,0))</x:f>
        <x:v>https://www.digikey.com/en/products/detail/kemet/C0402C220J5GACTU/411017</x:v>
      </x:c>
    </x:row>
    <x:row r="491" ht="24" customHeight="1">
      <x:c r="A491" s="2" t="str">
        <x:v>100 boards / 2% planning</x:v>
      </x:c>
      <x:c r="B491" s="17" t="str">
        <x:v>C0402C222K5RACTU</x:v>
      </x:c>
      <x:c r="C491" s="18" t="n">
        <x:v>100</x:v>
      </x:c>
      <x:c r="D491" s="27" t="n">
        <x:v>0.02</x:v>
      </x:c>
      <x:c r="E491" s="18" t="n">
        <x:f>INDEX('Assembly BOM'!$C$7:$C$162,MATCH($B491,'Assembly BOM'!$A$7:$A$162,0))</x:f>
        <x:v>1</x:v>
      </x:c>
      <x:c r="F491" s="18" t="n">
        <x:f>C491*E491</x:f>
        <x:v>100</x:v>
      </x:c>
      <x:c r="G491" s="18" t="n">
        <x:f>ROUNDUP(F491*(1+D491),0)</x:f>
        <x:v>102</x:v>
      </x:c>
      <x:c r="H491" s="18" t="n">
        <x:f>INDEX('Dated offers'!$F$7:$F$305,MATCH($Z491,'Dated offers'!$A$7:$A$305,0))</x:f>
        <x:v>1</x:v>
      </x:c>
      <x:c r="I491" s="18" t="n">
        <x:f>INDEX('Dated offers'!$G$7:$G$305,MATCH($Z491,'Dated offers'!$A$7:$A$305,0))</x:f>
        <x:v>1</x:v>
      </x:c>
      <x:c r="J491" s="18" t="n">
        <x:f>CEILING(MAX(G491,H491),I491)</x:f>
        <x:v>102</x:v>
      </x:c>
      <x:c r="K491" s="18" t="n">
        <x:v>102</x:v>
      </x:c>
      <x:c r="L491" s="18" t="n">
        <x:f>INDEX('Dated offers'!$I$7:$I$305,MATCH($Z491,'Dated offers'!$A$7:$A$305,0))</x:f>
        <x:v>100</x:v>
      </x:c>
      <x:c r="M491" s="25" t="n">
        <x:f>INDEX('Dated offers'!$J$7:$J$305,MATCH($Z491,'Dated offers'!$A$7:$A$305,0))</x:f>
        <x:v>0.0223</x:v>
      </x:c>
      <x:c r="N491" s="25" t="n">
        <x:f>INDEX('Dated offers'!$K$7:$K$305,MATCH($Z491,'Dated offers'!$A$7:$A$305,0))</x:f>
        <x:v>0</x:v>
      </x:c>
      <x:c r="O491" s="25" t="n">
        <x:f>F491*M491</x:f>
        <x:v>2.23</x:v>
      </x:c>
      <x:c r="P491" s="25" t="n">
        <x:f>G491*M491</x:f>
        <x:v>2.2746</x:v>
      </x:c>
      <x:c r="Q491" s="25" t="n">
        <x:f>K491*M491+N491</x:f>
        <x:v>2.2746</x:v>
      </x:c>
      <x:c r="R491" s="18" t="n">
        <x:f>K491-G491</x:f>
        <x:v>0</x:v>
      </x:c>
      <x:c r="S491" s="18" t="n">
        <x:f>INDEX('Dated offers'!$H$7:$H$305,MATCH($Z491,'Dated offers'!$A$7:$A$305,0))</x:f>
        <x:v>100284</x:v>
      </x:c>
      <x:c r="T491" s="2" t="str">
        <x:f>IF(K491&lt;G491,"Order below requirement",IF(K491&lt;L491,"Below price tier",IF(ISNUMBER(S491),IF(K491&gt;S491,"Quantity exceeds snapshot","Within quantity snapshot"),"Stock not stated")))</x:f>
        <x:v>Within quantity snapshot</x:v>
      </x:c>
      <x:c r="U491" s="2" t="str">
        <x:f>INDEX('Dated offers'!$C$7:$C$305,MATCH($Z491,'Dated offers'!$A$7:$A$305,0))</x:f>
        <x:v>DigiKey</x:v>
      </x:c>
      <x:c r="V491" s="2" t="str">
        <x:f>INDEX('Dated offers'!$D$7:$D$305,MATCH($Z491,'Dated offers'!$A$7:$A$305,0))</x:f>
        <x:v>Not stated</x:v>
      </x:c>
      <x:c r="W491" s="24" t="n">
        <x:f>INDEX('Dated offers'!$E$7:$E$305,MATCH($Z491,'Dated offers'!$A$7:$A$305,0))</x:f>
        <x:v>46307.47807262732</x:v>
      </x:c>
      <x:c r="X491" s="2" t="b">
        <x:f>INDEX('Dated offers'!$N$7:$N$305,MATCH($Z491,'Dated offers'!$A$7:$A$305,0))</x:f>
        <x:v>0</x:v>
      </x:c>
      <x:c r="Y491" s="2" t="str">
        <x:f>INDEX('Dated offers'!$O$7:$O$305,MATCH($Z491,'Dated offers'!$A$7:$A$305,0))</x:f>
        <x:v>Unreserved inventory snapshot</x:v>
      </x:c>
      <x:c r="Z491" s="17" t="str">
        <x:v>OF0173</x:v>
      </x:c>
      <x:c r="AA491" s="2"/>
      <x:c r="AB491" s="2" t="str">
        <x:f>INDEX('Dated offers'!$Q$7:$Q$305,MATCH($Z491,'Dated offers'!$A$7:$A$305,0))</x:f>
        <x:v>https://www.digikey.com/en/products/detail/kemet/C0402C222K5RACTU/501970</x:v>
      </x:c>
    </x:row>
    <x:row r="492" ht="24" customHeight="1">
      <x:c r="A492" s="2" t="str">
        <x:v>100 boards / 2% planning</x:v>
      </x:c>
      <x:c r="B492" s="17" t="str">
        <x:v>C0402C330J5GACTU</x:v>
      </x:c>
      <x:c r="C492" s="18" t="n">
        <x:v>100</x:v>
      </x:c>
      <x:c r="D492" s="27" t="n">
        <x:v>0.02</x:v>
      </x:c>
      <x:c r="E492" s="18" t="n">
        <x:f>INDEX('Assembly BOM'!$C$7:$C$162,MATCH($B492,'Assembly BOM'!$A$7:$A$162,0))</x:f>
        <x:v>1</x:v>
      </x:c>
      <x:c r="F492" s="18" t="n">
        <x:f>C492*E492</x:f>
        <x:v>100</x:v>
      </x:c>
      <x:c r="G492" s="18" t="n">
        <x:f>ROUNDUP(F492*(1+D492),0)</x:f>
        <x:v>102</x:v>
      </x:c>
      <x:c r="H492" s="18" t="n">
        <x:f>INDEX('Dated offers'!$F$7:$F$305,MATCH($Z492,'Dated offers'!$A$7:$A$305,0))</x:f>
        <x:v>1</x:v>
      </x:c>
      <x:c r="I492" s="18" t="n">
        <x:f>INDEX('Dated offers'!$G$7:$G$305,MATCH($Z492,'Dated offers'!$A$7:$A$305,0))</x:f>
        <x:v>1</x:v>
      </x:c>
      <x:c r="J492" s="18" t="n">
        <x:f>CEILING(MAX(G492,H492),I492)</x:f>
        <x:v>102</x:v>
      </x:c>
      <x:c r="K492" s="18" t="n">
        <x:v>102</x:v>
      </x:c>
      <x:c r="L492" s="18" t="n">
        <x:f>INDEX('Dated offers'!$I$7:$I$305,MATCH($Z492,'Dated offers'!$A$7:$A$305,0))</x:f>
        <x:v>100</x:v>
      </x:c>
      <x:c r="M492" s="25" t="n">
        <x:f>INDEX('Dated offers'!$J$7:$J$305,MATCH($Z492,'Dated offers'!$A$7:$A$305,0))</x:f>
        <x:v>0.0234</x:v>
      </x:c>
      <x:c r="N492" s="25" t="n">
        <x:f>INDEX('Dated offers'!$K$7:$K$305,MATCH($Z492,'Dated offers'!$A$7:$A$305,0))</x:f>
        <x:v>0</x:v>
      </x:c>
      <x:c r="O492" s="25" t="n">
        <x:f>F492*M492</x:f>
        <x:v>2.34</x:v>
      </x:c>
      <x:c r="P492" s="25" t="n">
        <x:f>G492*M492</x:f>
        <x:v>2.3868</x:v>
      </x:c>
      <x:c r="Q492" s="25" t="n">
        <x:f>K492*M492+N492</x:f>
        <x:v>2.3868</x:v>
      </x:c>
      <x:c r="R492" s="18" t="n">
        <x:f>K492-G492</x:f>
        <x:v>0</x:v>
      </x:c>
      <x:c r="S492" s="18" t="n">
        <x:f>INDEX('Dated offers'!$H$7:$H$305,MATCH($Z492,'Dated offers'!$A$7:$A$305,0))</x:f>
        <x:v>277240</x:v>
      </x:c>
      <x:c r="T492" s="2" t="str">
        <x:f>IF(K492&lt;G492,"Order below requirement",IF(K492&lt;L492,"Below price tier",IF(ISNUMBER(S492),IF(K492&gt;S492,"Quantity exceeds snapshot","Within quantity snapshot"),"Stock not stated")))</x:f>
        <x:v>Within quantity snapshot</x:v>
      </x:c>
      <x:c r="U492" s="2" t="str">
        <x:f>INDEX('Dated offers'!$C$7:$C$305,MATCH($Z492,'Dated offers'!$A$7:$A$305,0))</x:f>
        <x:v>DigiKey</x:v>
      </x:c>
      <x:c r="V492" s="2" t="str">
        <x:f>INDEX('Dated offers'!$D$7:$D$305,MATCH($Z492,'Dated offers'!$A$7:$A$305,0))</x:f>
        <x:v>Not stated</x:v>
      </x:c>
      <x:c r="W492" s="24" t="n">
        <x:f>INDEX('Dated offers'!$E$7:$E$305,MATCH($Z492,'Dated offers'!$A$7:$A$305,0))</x:f>
        <x:v>46307.47807262732</x:v>
      </x:c>
      <x:c r="X492" s="2" t="b">
        <x:f>INDEX('Dated offers'!$N$7:$N$305,MATCH($Z492,'Dated offers'!$A$7:$A$305,0))</x:f>
        <x:v>0</x:v>
      </x:c>
      <x:c r="Y492" s="2" t="str">
        <x:f>INDEX('Dated offers'!$O$7:$O$305,MATCH($Z492,'Dated offers'!$A$7:$A$305,0))</x:f>
        <x:v>Unreserved inventory snapshot</x:v>
      </x:c>
      <x:c r="Z492" s="17" t="str">
        <x:v>OF0174</x:v>
      </x:c>
      <x:c r="AA492" s="2"/>
      <x:c r="AB492" s="2" t="str">
        <x:f>INDEX('Dated offers'!$Q$7:$Q$305,MATCH($Z492,'Dated offers'!$A$7:$A$305,0))</x:f>
        <x:v>https://www.digikey.com/en/products/detail/kemet/C0402C330J5GACTU/411019</x:v>
      </x:c>
    </x:row>
    <x:row r="493" ht="24" customHeight="1">
      <x:c r="A493" s="2" t="str">
        <x:v>100 boards / 2% planning</x:v>
      </x:c>
      <x:c r="B493" s="17" t="str">
        <x:v>C0402C332K5RACTU</x:v>
      </x:c>
      <x:c r="C493" s="18" t="n">
        <x:v>100</x:v>
      </x:c>
      <x:c r="D493" s="27" t="n">
        <x:v>0.02</x:v>
      </x:c>
      <x:c r="E493" s="18" t="n">
        <x:f>INDEX('Assembly BOM'!$C$7:$C$162,MATCH($B493,'Assembly BOM'!$A$7:$A$162,0))</x:f>
        <x:v>1</x:v>
      </x:c>
      <x:c r="F493" s="18" t="n">
        <x:f>C493*E493</x:f>
        <x:v>100</x:v>
      </x:c>
      <x:c r="G493" s="18" t="n">
        <x:f>ROUNDUP(F493*(1+D493),0)</x:f>
        <x:v>102</x:v>
      </x:c>
      <x:c r="H493" s="18" t="n">
        <x:f>INDEX('Dated offers'!$F$7:$F$305,MATCH($Z493,'Dated offers'!$A$7:$A$305,0))</x:f>
        <x:v>1</x:v>
      </x:c>
      <x:c r="I493" s="18" t="n">
        <x:f>INDEX('Dated offers'!$G$7:$G$305,MATCH($Z493,'Dated offers'!$A$7:$A$305,0))</x:f>
        <x:v>1</x:v>
      </x:c>
      <x:c r="J493" s="18" t="n">
        <x:f>CEILING(MAX(G493,H493),I493)</x:f>
        <x:v>102</x:v>
      </x:c>
      <x:c r="K493" s="18" t="n">
        <x:v>102</x:v>
      </x:c>
      <x:c r="L493" s="18" t="n">
        <x:f>INDEX('Dated offers'!$I$7:$I$305,MATCH($Z493,'Dated offers'!$A$7:$A$305,0))</x:f>
        <x:v>100</x:v>
      </x:c>
      <x:c r="M493" s="25" t="n">
        <x:f>INDEX('Dated offers'!$J$7:$J$305,MATCH($Z493,'Dated offers'!$A$7:$A$305,0))</x:f>
        <x:v>0.0275</x:v>
      </x:c>
      <x:c r="N493" s="25" t="n">
        <x:f>INDEX('Dated offers'!$K$7:$K$305,MATCH($Z493,'Dated offers'!$A$7:$A$305,0))</x:f>
        <x:v>0</x:v>
      </x:c>
      <x:c r="O493" s="25" t="n">
        <x:f>F493*M493</x:f>
        <x:v>2.75</x:v>
      </x:c>
      <x:c r="P493" s="25" t="n">
        <x:f>G493*M493</x:f>
        <x:v>2.805</x:v>
      </x:c>
      <x:c r="Q493" s="25" t="n">
        <x:f>K493*M493+N493</x:f>
        <x:v>2.805</x:v>
      </x:c>
      <x:c r="R493" s="18" t="n">
        <x:f>K493-G493</x:f>
        <x:v>0</x:v>
      </x:c>
      <x:c r="S493" s="18" t="n">
        <x:f>INDEX('Dated offers'!$H$7:$H$305,MATCH($Z493,'Dated offers'!$A$7:$A$305,0))</x:f>
        <x:v>225921</x:v>
      </x:c>
      <x:c r="T493" s="2" t="str">
        <x:f>IF(K493&lt;G493,"Order below requirement",IF(K493&lt;L493,"Below price tier",IF(ISNUMBER(S493),IF(K493&gt;S493,"Quantity exceeds snapshot","Within quantity snapshot"),"Stock not stated")))</x:f>
        <x:v>Within quantity snapshot</x:v>
      </x:c>
      <x:c r="U493" s="2" t="str">
        <x:f>INDEX('Dated offers'!$C$7:$C$305,MATCH($Z493,'Dated offers'!$A$7:$A$305,0))</x:f>
        <x:v>DigiKey</x:v>
      </x:c>
      <x:c r="V493" s="2" t="str">
        <x:f>INDEX('Dated offers'!$D$7:$D$305,MATCH($Z493,'Dated offers'!$A$7:$A$305,0))</x:f>
        <x:v>Not stated</x:v>
      </x:c>
      <x:c r="W493" s="24" t="n">
        <x:f>INDEX('Dated offers'!$E$7:$E$305,MATCH($Z493,'Dated offers'!$A$7:$A$305,0))</x:f>
        <x:v>46307.47807262732</x:v>
      </x:c>
      <x:c r="X493" s="2" t="b">
        <x:f>INDEX('Dated offers'!$N$7:$N$305,MATCH($Z493,'Dated offers'!$A$7:$A$305,0))</x:f>
        <x:v>0</x:v>
      </x:c>
      <x:c r="Y493" s="2" t="str">
        <x:f>INDEX('Dated offers'!$O$7:$O$305,MATCH($Z493,'Dated offers'!$A$7:$A$305,0))</x:f>
        <x:v>Unreserved inventory snapshot</x:v>
      </x:c>
      <x:c r="Z493" s="17" t="str">
        <x:v>OF0175</x:v>
      </x:c>
      <x:c r="AA493" s="2"/>
      <x:c r="AB493" s="2" t="str">
        <x:f>INDEX('Dated offers'!$Q$7:$Q$305,MATCH($Z493,'Dated offers'!$A$7:$A$305,0))</x:f>
        <x:v>https://www.digikey.com/en/products/detail/kemet/C0402C332K5RACTU/501999</x:v>
      </x:c>
    </x:row>
    <x:row r="494" ht="24" customHeight="1">
      <x:c r="A494" s="2" t="str">
        <x:v>100 boards / 2% planning</x:v>
      </x:c>
      <x:c r="B494" s="17" t="str">
        <x:v>C0402C391J5GACTU</x:v>
      </x:c>
      <x:c r="C494" s="18" t="n">
        <x:v>100</x:v>
      </x:c>
      <x:c r="D494" s="27" t="n">
        <x:v>0.02</x:v>
      </x:c>
      <x:c r="E494" s="18" t="n">
        <x:f>INDEX('Assembly BOM'!$C$7:$C$162,MATCH($B494,'Assembly BOM'!$A$7:$A$162,0))</x:f>
        <x:v>1</x:v>
      </x:c>
      <x:c r="F494" s="18" t="n">
        <x:f>C494*E494</x:f>
        <x:v>100</x:v>
      </x:c>
      <x:c r="G494" s="18" t="n">
        <x:f>ROUNDUP(F494*(1+D494),0)</x:f>
        <x:v>102</x:v>
      </x:c>
      <x:c r="H494" s="18" t="n">
        <x:f>INDEX('Dated offers'!$F$7:$F$305,MATCH($Z494,'Dated offers'!$A$7:$A$305,0))</x:f>
        <x:v>1</x:v>
      </x:c>
      <x:c r="I494" s="18" t="n">
        <x:f>INDEX('Dated offers'!$G$7:$G$305,MATCH($Z494,'Dated offers'!$A$7:$A$305,0))</x:f>
        <x:v>1</x:v>
      </x:c>
      <x:c r="J494" s="18" t="n">
        <x:f>CEILING(MAX(G494,H494),I494)</x:f>
        <x:v>102</x:v>
      </x:c>
      <x:c r="K494" s="18" t="n">
        <x:v>102</x:v>
      </x:c>
      <x:c r="L494" s="18" t="n">
        <x:f>INDEX('Dated offers'!$I$7:$I$305,MATCH($Z494,'Dated offers'!$A$7:$A$305,0))</x:f>
        <x:v>100</x:v>
      </x:c>
      <x:c r="M494" s="25" t="n">
        <x:f>INDEX('Dated offers'!$J$7:$J$305,MATCH($Z494,'Dated offers'!$A$7:$A$305,0))</x:f>
        <x:v>0.2202</x:v>
      </x:c>
      <x:c r="N494" s="25" t="n">
        <x:f>INDEX('Dated offers'!$K$7:$K$305,MATCH($Z494,'Dated offers'!$A$7:$A$305,0))</x:f>
        <x:v>0</x:v>
      </x:c>
      <x:c r="O494" s="25" t="n">
        <x:f>F494*M494</x:f>
        <x:v>22.02</x:v>
      </x:c>
      <x:c r="P494" s="25" t="n">
        <x:f>G494*M494</x:f>
        <x:v>22.4604</x:v>
      </x:c>
      <x:c r="Q494" s="25" t="n">
        <x:f>K494*M494+N494</x:f>
        <x:v>22.4604</x:v>
      </x:c>
      <x:c r="R494" s="18" t="n">
        <x:f>K494-G494</x:f>
        <x:v>0</x:v>
      </x:c>
      <x:c r="S494" s="18" t="n">
        <x:f>INDEX('Dated offers'!$H$7:$H$305,MATCH($Z494,'Dated offers'!$A$7:$A$305,0))</x:f>
        <x:v>32647</x:v>
      </x:c>
      <x:c r="T494" s="2" t="str">
        <x:f>IF(K494&lt;G494,"Order below requirement",IF(K494&lt;L494,"Below price tier",IF(ISNUMBER(S494),IF(K494&gt;S494,"Quantity exceeds snapshot","Within quantity snapshot"),"Stock not stated")))</x:f>
        <x:v>Within quantity snapshot</x:v>
      </x:c>
      <x:c r="U494" s="2" t="str">
        <x:f>INDEX('Dated offers'!$C$7:$C$305,MATCH($Z494,'Dated offers'!$A$7:$A$305,0))</x:f>
        <x:v>DigiKey</x:v>
      </x:c>
      <x:c r="V494" s="2" t="str">
        <x:f>INDEX('Dated offers'!$D$7:$D$305,MATCH($Z494,'Dated offers'!$A$7:$A$305,0))</x:f>
        <x:v>Not stated</x:v>
      </x:c>
      <x:c r="W494" s="24" t="n">
        <x:f>INDEX('Dated offers'!$E$7:$E$305,MATCH($Z494,'Dated offers'!$A$7:$A$305,0))</x:f>
        <x:v>46307.47807262732</x:v>
      </x:c>
      <x:c r="X494" s="2" t="b">
        <x:f>INDEX('Dated offers'!$N$7:$N$305,MATCH($Z494,'Dated offers'!$A$7:$A$305,0))</x:f>
        <x:v>0</x:v>
      </x:c>
      <x:c r="Y494" s="2" t="str">
        <x:f>INDEX('Dated offers'!$O$7:$O$305,MATCH($Z494,'Dated offers'!$A$7:$A$305,0))</x:f>
        <x:v>Unreserved inventory snapshot</x:v>
      </x:c>
      <x:c r="Z494" s="17" t="str">
        <x:v>OF0176</x:v>
      </x:c>
      <x:c r="AA494" s="2"/>
      <x:c r="AB494" s="2" t="str">
        <x:f>INDEX('Dated offers'!$Q$7:$Q$305,MATCH($Z494,'Dated offers'!$A$7:$A$305,0))</x:f>
        <x:v>https://www.digikey.com/en/products/detail/kemet/C0402C391J5GACTU/2196662</x:v>
      </x:c>
    </x:row>
    <x:row r="495" ht="24" customHeight="1">
      <x:c r="A495" s="2" t="str">
        <x:v>100 boards / 2% planning</x:v>
      </x:c>
      <x:c r="B495" s="17" t="str">
        <x:v>C0603C224K4RACTU</x:v>
      </x:c>
      <x:c r="C495" s="18" t="n">
        <x:v>100</x:v>
      </x:c>
      <x:c r="D495" s="27" t="n">
        <x:v>0.02</x:v>
      </x:c>
      <x:c r="E495" s="18" t="n">
        <x:f>INDEX('Assembly BOM'!$C$7:$C$162,MATCH($B495,'Assembly BOM'!$A$7:$A$162,0))</x:f>
        <x:v>1</x:v>
      </x:c>
      <x:c r="F495" s="18" t="n">
        <x:f>C495*E495</x:f>
        <x:v>100</x:v>
      </x:c>
      <x:c r="G495" s="18" t="n">
        <x:f>ROUNDUP(F495*(1+D495),0)</x:f>
        <x:v>102</x:v>
      </x:c>
      <x:c r="H495" s="18" t="n">
        <x:f>INDEX('Dated offers'!$F$7:$F$305,MATCH($Z495,'Dated offers'!$A$7:$A$305,0))</x:f>
        <x:v>1</x:v>
      </x:c>
      <x:c r="I495" s="18" t="n">
        <x:f>INDEX('Dated offers'!$G$7:$G$305,MATCH($Z495,'Dated offers'!$A$7:$A$305,0))</x:f>
        <x:v>1</x:v>
      </x:c>
      <x:c r="J495" s="18" t="n">
        <x:f>CEILING(MAX(G495,H495),I495)</x:f>
        <x:v>102</x:v>
      </x:c>
      <x:c r="K495" s="18" t="n">
        <x:v>102</x:v>
      </x:c>
      <x:c r="L495" s="18" t="n">
        <x:f>INDEX('Dated offers'!$I$7:$I$305,MATCH($Z495,'Dated offers'!$A$7:$A$305,0))</x:f>
        <x:v>100</x:v>
      </x:c>
      <x:c r="M495" s="25" t="n">
        <x:f>INDEX('Dated offers'!$J$7:$J$305,MATCH($Z495,'Dated offers'!$A$7:$A$305,0))</x:f>
        <x:v>0.2288</x:v>
      </x:c>
      <x:c r="N495" s="25" t="n">
        <x:f>INDEX('Dated offers'!$K$7:$K$305,MATCH($Z495,'Dated offers'!$A$7:$A$305,0))</x:f>
        <x:v>0</x:v>
      </x:c>
      <x:c r="O495" s="25" t="n">
        <x:f>F495*M495</x:f>
        <x:v>22.88</x:v>
      </x:c>
      <x:c r="P495" s="25" t="n">
        <x:f>G495*M495</x:f>
        <x:v>23.337600000000002</x:v>
      </x:c>
      <x:c r="Q495" s="25" t="n">
        <x:f>K495*M495+N495</x:f>
        <x:v>23.337600000000002</x:v>
      </x:c>
      <x:c r="R495" s="18" t="n">
        <x:f>K495-G495</x:f>
        <x:v>0</x:v>
      </x:c>
      <x:c r="S495" s="18" t="n">
        <x:f>INDEX('Dated offers'!$H$7:$H$305,MATCH($Z495,'Dated offers'!$A$7:$A$305,0))</x:f>
        <x:v>823</x:v>
      </x:c>
      <x:c r="T495" s="2" t="str">
        <x:f>IF(K495&lt;G495,"Order below requirement",IF(K495&lt;L495,"Below price tier",IF(ISNUMBER(S495),IF(K495&gt;S495,"Quantity exceeds snapshot","Within quantity snapshot"),"Stock not stated")))</x:f>
        <x:v>Within quantity snapshot</x:v>
      </x:c>
      <x:c r="U495" s="2" t="str">
        <x:f>INDEX('Dated offers'!$C$7:$C$305,MATCH($Z495,'Dated offers'!$A$7:$A$305,0))</x:f>
        <x:v>DigiKey</x:v>
      </x:c>
      <x:c r="V495" s="2" t="str">
        <x:f>INDEX('Dated offers'!$D$7:$D$305,MATCH($Z495,'Dated offers'!$A$7:$A$305,0))</x:f>
        <x:v>Not stated</x:v>
      </x:c>
      <x:c r="W495" s="24" t="n">
        <x:f>INDEX('Dated offers'!$E$7:$E$305,MATCH($Z495,'Dated offers'!$A$7:$A$305,0))</x:f>
        <x:v>46307.47807262732</x:v>
      </x:c>
      <x:c r="X495" s="2" t="b">
        <x:f>INDEX('Dated offers'!$N$7:$N$305,MATCH($Z495,'Dated offers'!$A$7:$A$305,0))</x:f>
        <x:v>0</x:v>
      </x:c>
      <x:c r="Y495" s="2" t="str">
        <x:f>INDEX('Dated offers'!$O$7:$O$305,MATCH($Z495,'Dated offers'!$A$7:$A$305,0))</x:f>
        <x:v>Unreserved inventory snapshot</x:v>
      </x:c>
      <x:c r="Z495" s="17" t="str">
        <x:v>OF0177</x:v>
      </x:c>
      <x:c r="AA495" s="2"/>
      <x:c r="AB495" s="2" t="str">
        <x:f>INDEX('Dated offers'!$Q$7:$Q$305,MATCH($Z495,'Dated offers'!$A$7:$A$305,0))</x:f>
        <x:v>https://www.digikey.com/en/products/detail/kemet/C0603C224K4RACTU/2057822</x:v>
      </x:c>
    </x:row>
    <x:row r="496" ht="24" customHeight="1">
      <x:c r="A496" s="2" t="str">
        <x:v>100 boards / 2% planning</x:v>
      </x:c>
      <x:c r="B496" s="17" t="str">
        <x:v>C0805C102JAGACTU</x:v>
      </x:c>
      <x:c r="C496" s="18" t="n">
        <x:v>100</x:v>
      </x:c>
      <x:c r="D496" s="27" t="n">
        <x:v>0.02</x:v>
      </x:c>
      <x:c r="E496" s="18" t="n">
        <x:f>INDEX('Assembly BOM'!$C$7:$C$162,MATCH($B496,'Assembly BOM'!$A$7:$A$162,0))</x:f>
        <x:v>2</x:v>
      </x:c>
      <x:c r="F496" s="18" t="n">
        <x:f>C496*E496</x:f>
        <x:v>200</x:v>
      </x:c>
      <x:c r="G496" s="18" t="n">
        <x:f>ROUNDUP(F496*(1+D496),0)</x:f>
        <x:v>204</x:v>
      </x:c>
      <x:c r="H496" s="18" t="n">
        <x:f>INDEX('Dated offers'!$F$7:$F$305,MATCH($Z496,'Dated offers'!$A$7:$A$305,0))</x:f>
        <x:v>1</x:v>
      </x:c>
      <x:c r="I496" s="18" t="n">
        <x:f>INDEX('Dated offers'!$G$7:$G$305,MATCH($Z496,'Dated offers'!$A$7:$A$305,0))</x:f>
        <x:v>1</x:v>
      </x:c>
      <x:c r="J496" s="18" t="n">
        <x:f>CEILING(MAX(G496,H496),I496)</x:f>
        <x:v>204</x:v>
      </x:c>
      <x:c r="K496" s="18" t="n">
        <x:v>204</x:v>
      </x:c>
      <x:c r="L496" s="18" t="n">
        <x:f>INDEX('Dated offers'!$I$7:$I$305,MATCH($Z496,'Dated offers'!$A$7:$A$305,0))</x:f>
        <x:v>100</x:v>
      </x:c>
      <x:c r="M496" s="25" t="n">
        <x:f>INDEX('Dated offers'!$J$7:$J$305,MATCH($Z496,'Dated offers'!$A$7:$A$305,0))</x:f>
        <x:v>0.2705</x:v>
      </x:c>
      <x:c r="N496" s="25" t="n">
        <x:f>INDEX('Dated offers'!$K$7:$K$305,MATCH($Z496,'Dated offers'!$A$7:$A$305,0))</x:f>
        <x:v>0</x:v>
      </x:c>
      <x:c r="O496" s="25" t="n">
        <x:f>F496*M496</x:f>
        <x:v>54.1</x:v>
      </x:c>
      <x:c r="P496" s="25" t="n">
        <x:f>G496*M496</x:f>
        <x:v>55.182</x:v>
      </x:c>
      <x:c r="Q496" s="25" t="n">
        <x:f>K496*M496+N496</x:f>
        <x:v>55.182</x:v>
      </x:c>
      <x:c r="R496" s="18" t="n">
        <x:f>K496-G496</x:f>
        <x:v>0</x:v>
      </x:c>
      <x:c r="S496" s="18" t="n">
        <x:f>INDEX('Dated offers'!$H$7:$H$305,MATCH($Z496,'Dated offers'!$A$7:$A$305,0))</x:f>
        <x:v>6914</x:v>
      </x:c>
      <x:c r="T496" s="2" t="str">
        <x:f>IF(K496&lt;G496,"Order below requirement",IF(K496&lt;L496,"Below price tier",IF(ISNUMBER(S496),IF(K496&gt;S496,"Quantity exceeds snapshot","Within quantity snapshot"),"Stock not stated")))</x:f>
        <x:v>Within quantity snapshot</x:v>
      </x:c>
      <x:c r="U496" s="2" t="str">
        <x:f>INDEX('Dated offers'!$C$7:$C$305,MATCH($Z496,'Dated offers'!$A$7:$A$305,0))</x:f>
        <x:v>DigiKey</x:v>
      </x:c>
      <x:c r="V496" s="2" t="str">
        <x:f>INDEX('Dated offers'!$D$7:$D$305,MATCH($Z496,'Dated offers'!$A$7:$A$305,0))</x:f>
        <x:v>Not stated</x:v>
      </x:c>
      <x:c r="W496" s="24" t="n">
        <x:f>INDEX('Dated offers'!$E$7:$E$305,MATCH($Z496,'Dated offers'!$A$7:$A$305,0))</x:f>
        <x:v>46307.47807262732</x:v>
      </x:c>
      <x:c r="X496" s="2" t="b">
        <x:f>INDEX('Dated offers'!$N$7:$N$305,MATCH($Z496,'Dated offers'!$A$7:$A$305,0))</x:f>
        <x:v>0</x:v>
      </x:c>
      <x:c r="Y496" s="2" t="str">
        <x:f>INDEX('Dated offers'!$O$7:$O$305,MATCH($Z496,'Dated offers'!$A$7:$A$305,0))</x:f>
        <x:v>Unreserved inventory snapshot</x:v>
      </x:c>
      <x:c r="Z496" s="17" t="str">
        <x:v>OF0178</x:v>
      </x:c>
      <x:c r="AA496" s="2"/>
      <x:c r="AB496" s="2" t="str">
        <x:f>INDEX('Dated offers'!$Q$7:$Q$305,MATCH($Z496,'Dated offers'!$A$7:$A$305,0))</x:f>
        <x:v>https://www.digikey.com/en/products/detail/kemet/C0805C102JAGACTU/7382555</x:v>
      </x:c>
    </x:row>
    <x:row r="497" ht="24" customHeight="1">
      <x:c r="A497" s="2" t="str">
        <x:v>100 boards / 2% planning</x:v>
      </x:c>
      <x:c r="B497" s="17" t="str">
        <x:v>C0805C103K1RACTU</x:v>
      </x:c>
      <x:c r="C497" s="18" t="n">
        <x:v>100</x:v>
      </x:c>
      <x:c r="D497" s="27" t="n">
        <x:v>0.02</x:v>
      </x:c>
      <x:c r="E497" s="18" t="n">
        <x:f>INDEX('Assembly BOM'!$C$7:$C$162,MATCH($B497,'Assembly BOM'!$A$7:$A$162,0))</x:f>
        <x:v>2</x:v>
      </x:c>
      <x:c r="F497" s="18" t="n">
        <x:f>C497*E497</x:f>
        <x:v>200</x:v>
      </x:c>
      <x:c r="G497" s="18" t="n">
        <x:f>ROUNDUP(F497*(1+D497),0)</x:f>
        <x:v>204</x:v>
      </x:c>
      <x:c r="H497" s="18" t="n">
        <x:f>INDEX('Dated offers'!$F$7:$F$305,MATCH($Z497,'Dated offers'!$A$7:$A$305,0))</x:f>
        <x:v>1</x:v>
      </x:c>
      <x:c r="I497" s="18" t="n">
        <x:f>INDEX('Dated offers'!$G$7:$G$305,MATCH($Z497,'Dated offers'!$A$7:$A$305,0))</x:f>
        <x:v>1</x:v>
      </x:c>
      <x:c r="J497" s="18" t="n">
        <x:f>CEILING(MAX(G497,H497),I497)</x:f>
        <x:v>204</x:v>
      </x:c>
      <x:c r="K497" s="18" t="n">
        <x:v>204</x:v>
      </x:c>
      <x:c r="L497" s="18" t="n">
        <x:f>INDEX('Dated offers'!$I$7:$I$305,MATCH($Z497,'Dated offers'!$A$7:$A$305,0))</x:f>
        <x:v>100</x:v>
      </x:c>
      <x:c r="M497" s="25" t="n">
        <x:f>INDEX('Dated offers'!$J$7:$J$305,MATCH($Z497,'Dated offers'!$A$7:$A$305,0))</x:f>
        <x:v>0.035</x:v>
      </x:c>
      <x:c r="N497" s="25" t="n">
        <x:f>INDEX('Dated offers'!$K$7:$K$305,MATCH($Z497,'Dated offers'!$A$7:$A$305,0))</x:f>
        <x:v>0</x:v>
      </x:c>
      <x:c r="O497" s="25" t="n">
        <x:f>F497*M497</x:f>
        <x:v>7.000000000000001</x:v>
      </x:c>
      <x:c r="P497" s="25" t="n">
        <x:f>G497*M497</x:f>
        <x:v>7.140000000000001</x:v>
      </x:c>
      <x:c r="Q497" s="25" t="n">
        <x:f>K497*M497+N497</x:f>
        <x:v>7.140000000000001</x:v>
      </x:c>
      <x:c r="R497" s="18" t="n">
        <x:f>K497-G497</x:f>
        <x:v>0</x:v>
      </x:c>
      <x:c r="S497" s="18" t="n">
        <x:f>INDEX('Dated offers'!$H$7:$H$305,MATCH($Z497,'Dated offers'!$A$7:$A$305,0))</x:f>
        <x:v>329236</x:v>
      </x:c>
      <x:c r="T497" s="2" t="str">
        <x:f>IF(K497&lt;G497,"Order below requirement",IF(K497&lt;L497,"Below price tier",IF(ISNUMBER(S497),IF(K497&gt;S497,"Quantity exceeds snapshot","Within quantity snapshot"),"Stock not stated")))</x:f>
        <x:v>Within quantity snapshot</x:v>
      </x:c>
      <x:c r="U497" s="2" t="str">
        <x:f>INDEX('Dated offers'!$C$7:$C$305,MATCH($Z497,'Dated offers'!$A$7:$A$305,0))</x:f>
        <x:v>DigiKey</x:v>
      </x:c>
      <x:c r="V497" s="2" t="str">
        <x:f>INDEX('Dated offers'!$D$7:$D$305,MATCH($Z497,'Dated offers'!$A$7:$A$305,0))</x:f>
        <x:v>Not stated</x:v>
      </x:c>
      <x:c r="W497" s="24" t="n">
        <x:f>INDEX('Dated offers'!$E$7:$E$305,MATCH($Z497,'Dated offers'!$A$7:$A$305,0))</x:f>
        <x:v>46307.47807262732</x:v>
      </x:c>
      <x:c r="X497" s="2" t="b">
        <x:f>INDEX('Dated offers'!$N$7:$N$305,MATCH($Z497,'Dated offers'!$A$7:$A$305,0))</x:f>
        <x:v>0</x:v>
      </x:c>
      <x:c r="Y497" s="2" t="str">
        <x:f>INDEX('Dated offers'!$O$7:$O$305,MATCH($Z497,'Dated offers'!$A$7:$A$305,0))</x:f>
        <x:v>Unreserved inventory snapshot</x:v>
      </x:c>
      <x:c r="Z497" s="17" t="str">
        <x:v>OF0179</x:v>
      </x:c>
      <x:c r="AA497" s="2"/>
      <x:c r="AB497" s="2" t="str">
        <x:f>INDEX('Dated offers'!$Q$7:$Q$305,MATCH($Z497,'Dated offers'!$A$7:$A$305,0))</x:f>
        <x:v>https://www.digikey.com/en/products/detail/kemet/C0805C103K1RACTU/411158</x:v>
      </x:c>
    </x:row>
    <x:row r="498" ht="24" customHeight="1">
      <x:c r="A498" s="2" t="str">
        <x:v>100 boards / 2% planning</x:v>
      </x:c>
      <x:c r="B498" s="17" t="str">
        <x:v>C0805C223K1RACTU</x:v>
      </x:c>
      <x:c r="C498" s="18" t="n">
        <x:v>100</x:v>
      </x:c>
      <x:c r="D498" s="27" t="n">
        <x:v>0.02</x:v>
      </x:c>
      <x:c r="E498" s="18" t="n">
        <x:f>INDEX('Assembly BOM'!$C$7:$C$162,MATCH($B498,'Assembly BOM'!$A$7:$A$162,0))</x:f>
        <x:v>4</x:v>
      </x:c>
      <x:c r="F498" s="18" t="n">
        <x:f>C498*E498</x:f>
        <x:v>400</x:v>
      </x:c>
      <x:c r="G498" s="18" t="n">
        <x:f>ROUNDUP(F498*(1+D498),0)</x:f>
        <x:v>408</x:v>
      </x:c>
      <x:c r="H498" s="18" t="n">
        <x:f>INDEX('Dated offers'!$F$7:$F$305,MATCH($Z498,'Dated offers'!$A$7:$A$305,0))</x:f>
        <x:v>20</x:v>
      </x:c>
      <x:c r="I498" s="18" t="n">
        <x:f>INDEX('Dated offers'!$G$7:$G$305,MATCH($Z498,'Dated offers'!$A$7:$A$305,0))</x:f>
        <x:v>20</x:v>
      </x:c>
      <x:c r="J498" s="18" t="n">
        <x:f>CEILING(MAX(G498,H498),I498)</x:f>
        <x:v>420</x:v>
      </x:c>
      <x:c r="K498" s="18" t="n">
        <x:v>420</x:v>
      </x:c>
      <x:c r="L498" s="18" t="n">
        <x:f>INDEX('Dated offers'!$I$7:$I$305,MATCH($Z498,'Dated offers'!$A$7:$A$305,0))</x:f>
        <x:v>200</x:v>
      </x:c>
      <x:c r="M498" s="25" t="n">
        <x:f>INDEX('Dated offers'!$J$7:$J$305,MATCH($Z498,'Dated offers'!$A$7:$A$305,0))</x:f>
        <x:v>0.018</x:v>
      </x:c>
      <x:c r="N498" s="25" t="n">
        <x:f>INDEX('Dated offers'!$K$7:$K$305,MATCH($Z498,'Dated offers'!$A$7:$A$305,0))</x:f>
        <x:v>0</x:v>
      </x:c>
      <x:c r="O498" s="25" t="n">
        <x:f>F498*M498</x:f>
        <x:v>7.199999999999999</x:v>
      </x:c>
      <x:c r="P498" s="25" t="n">
        <x:f>G498*M498</x:f>
        <x:v>7.343999999999999</x:v>
      </x:c>
      <x:c r="Q498" s="25" t="n">
        <x:f>K498*M498+N498</x:f>
        <x:v>7.56</x:v>
      </x:c>
      <x:c r="R498" s="18" t="n">
        <x:f>K498-G498</x:f>
        <x:v>12</x:v>
      </x:c>
      <x:c r="S498" s="18" t="n">
        <x:f>INDEX('Dated offers'!$H$7:$H$305,MATCH($Z498,'Dated offers'!$A$7:$A$305,0))</x:f>
        <x:v>3880</x:v>
      </x:c>
      <x:c r="T498" s="2" t="str">
        <x:f>IF(K498&lt;G498,"Order below requirement",IF(K498&lt;L498,"Below price tier",IF(ISNUMBER(S498),IF(K498&gt;S498,"Quantity exceeds snapshot","Within quantity snapshot"),"Stock not stated")))</x:f>
        <x:v>Within quantity snapshot</x:v>
      </x:c>
      <x:c r="U498" s="2" t="str">
        <x:f>INDEX('Dated offers'!$C$7:$C$305,MATCH($Z498,'Dated offers'!$A$7:$A$305,0))</x:f>
        <x:v>LCSC</x:v>
      </x:c>
      <x:c r="V498" s="2" t="str">
        <x:f>INDEX('Dated offers'!$D$7:$D$305,MATCH($Z498,'Dated offers'!$A$7:$A$305,0))</x:f>
        <x:v>C2178056</x:v>
      </x:c>
      <x:c r="W498" s="24" t="n">
        <x:f>INDEX('Dated offers'!$E$7:$E$305,MATCH($Z498,'Dated offers'!$A$7:$A$305,0))</x:f>
        <x:v>46307.44740040509</x:v>
      </x:c>
      <x:c r="X498" s="2" t="b">
        <x:f>INDEX('Dated offers'!$N$7:$N$305,MATCH($Z498,'Dated offers'!$A$7:$A$305,0))</x:f>
        <x:v>0</x:v>
      </x:c>
      <x:c r="Y498" s="2" t="str">
        <x:f>INDEX('Dated offers'!$O$7:$O$305,MATCH($Z498,'Dated offers'!$A$7:$A$305,0))</x:f>
        <x:v>Unreserved inventory snapshot</x:v>
      </x:c>
      <x:c r="Z498" s="17" t="str">
        <x:v>OF0180</x:v>
      </x:c>
      <x:c r="AA498" s="2"/>
      <x:c r="AB498" s="2" t="str">
        <x:f>INDEX('Dated offers'!$Q$7:$Q$305,MATCH($Z498,'Dated offers'!$A$7:$A$305,0))</x:f>
        <x:v>https://www.lcsc.com/product-detail/C2178056.html</x:v>
      </x:c>
    </x:row>
    <x:row r="499" ht="24" customHeight="1">
      <x:c r="A499" s="2" t="str">
        <x:v>100 boards / 2% planning</x:v>
      </x:c>
      <x:c r="B499" s="17" t="str">
        <x:v>C0805C475K4RACTU</x:v>
      </x:c>
      <x:c r="C499" s="18" t="n">
        <x:v>100</x:v>
      </x:c>
      <x:c r="D499" s="27" t="n">
        <x:v>0.02</x:v>
      </x:c>
      <x:c r="E499" s="18" t="n">
        <x:f>INDEX('Assembly BOM'!$C$7:$C$162,MATCH($B499,'Assembly BOM'!$A$7:$A$162,0))</x:f>
        <x:v>2</x:v>
      </x:c>
      <x:c r="F499" s="18" t="n">
        <x:f>C499*E499</x:f>
        <x:v>200</x:v>
      </x:c>
      <x:c r="G499" s="18" t="n">
        <x:f>ROUNDUP(F499*(1+D499),0)</x:f>
        <x:v>204</x:v>
      </x:c>
      <x:c r="H499" s="18" t="n">
        <x:f>INDEX('Dated offers'!$F$7:$F$305,MATCH($Z499,'Dated offers'!$A$7:$A$305,0))</x:f>
        <x:v>1</x:v>
      </x:c>
      <x:c r="I499" s="18" t="n">
        <x:f>INDEX('Dated offers'!$G$7:$G$305,MATCH($Z499,'Dated offers'!$A$7:$A$305,0))</x:f>
        <x:v>1</x:v>
      </x:c>
      <x:c r="J499" s="18" t="n">
        <x:f>CEILING(MAX(G499,H499),I499)</x:f>
        <x:v>204</x:v>
      </x:c>
      <x:c r="K499" s="18" t="n">
        <x:v>204</x:v>
      </x:c>
      <x:c r="L499" s="18" t="n">
        <x:f>INDEX('Dated offers'!$I$7:$I$305,MATCH($Z499,'Dated offers'!$A$7:$A$305,0))</x:f>
        <x:v>100</x:v>
      </x:c>
      <x:c r="M499" s="25" t="n">
        <x:f>INDEX('Dated offers'!$J$7:$J$305,MATCH($Z499,'Dated offers'!$A$7:$A$305,0))</x:f>
        <x:v>0.1347</x:v>
      </x:c>
      <x:c r="N499" s="25" t="n">
        <x:f>INDEX('Dated offers'!$K$7:$K$305,MATCH($Z499,'Dated offers'!$A$7:$A$305,0))</x:f>
        <x:v>0</x:v>
      </x:c>
      <x:c r="O499" s="25" t="n">
        <x:f>F499*M499</x:f>
        <x:v>26.939999999999998</x:v>
      </x:c>
      <x:c r="P499" s="25" t="n">
        <x:f>G499*M499</x:f>
        <x:v>27.478799999999996</x:v>
      </x:c>
      <x:c r="Q499" s="25" t="n">
        <x:f>K499*M499+N499</x:f>
        <x:v>27.478799999999996</x:v>
      </x:c>
      <x:c r="R499" s="18" t="n">
        <x:f>K499-G499</x:f>
        <x:v>0</x:v>
      </x:c>
      <x:c r="S499" s="18" t="n">
        <x:f>INDEX('Dated offers'!$H$7:$H$305,MATCH($Z499,'Dated offers'!$A$7:$A$305,0))</x:f>
        <x:v>280009</x:v>
      </x:c>
      <x:c r="T499" s="2" t="str">
        <x:f>IF(K499&lt;G499,"Order below requirement",IF(K499&lt;L499,"Below price tier",IF(ISNUMBER(S499),IF(K499&gt;S499,"Quantity exceeds snapshot","Within quantity snapshot"),"Stock not stated")))</x:f>
        <x:v>Within quantity snapshot</x:v>
      </x:c>
      <x:c r="U499" s="2" t="str">
        <x:f>INDEX('Dated offers'!$C$7:$C$305,MATCH($Z499,'Dated offers'!$A$7:$A$305,0))</x:f>
        <x:v>DigiKey</x:v>
      </x:c>
      <x:c r="V499" s="2" t="str">
        <x:f>INDEX('Dated offers'!$D$7:$D$305,MATCH($Z499,'Dated offers'!$A$7:$A$305,0))</x:f>
        <x:v>Not stated</x:v>
      </x:c>
      <x:c r="W499" s="24" t="n">
        <x:f>INDEX('Dated offers'!$E$7:$E$305,MATCH($Z499,'Dated offers'!$A$7:$A$305,0))</x:f>
        <x:v>46307.47807265046</x:v>
      </x:c>
      <x:c r="X499" s="2" t="b">
        <x:f>INDEX('Dated offers'!$N$7:$N$305,MATCH($Z499,'Dated offers'!$A$7:$A$305,0))</x:f>
        <x:v>0</x:v>
      </x:c>
      <x:c r="Y499" s="2" t="str">
        <x:f>INDEX('Dated offers'!$O$7:$O$305,MATCH($Z499,'Dated offers'!$A$7:$A$305,0))</x:f>
        <x:v>Unreserved inventory snapshot</x:v>
      </x:c>
      <x:c r="Z499" s="17" t="str">
        <x:v>OF0181</x:v>
      </x:c>
      <x:c r="AA499" s="2"/>
      <x:c r="AB499" s="2" t="str">
        <x:f>INDEX('Dated offers'!$Q$7:$Q$305,MATCH($Z499,'Dated offers'!$A$7:$A$305,0))</x:f>
        <x:v>https://www.digikey.com/en/products/detail/kemet/C0805C475K4RACTU/3317449</x:v>
      </x:c>
    </x:row>
    <x:row r="500" ht="24" customHeight="1">
      <x:c r="A500" s="2" t="str">
        <x:v>100 boards / 2% planning</x:v>
      </x:c>
      <x:c r="B500" s="17" t="str">
        <x:v>CGA6N3X7R2A225K230AB</x:v>
      </x:c>
      <x:c r="C500" s="18" t="n">
        <x:v>100</x:v>
      </x:c>
      <x:c r="D500" s="27" t="n">
        <x:v>0.02</x:v>
      </x:c>
      <x:c r="E500" s="18" t="n">
        <x:f>INDEX('Assembly BOM'!$C$7:$C$162,MATCH($B500,'Assembly BOM'!$A$7:$A$162,0))</x:f>
        <x:v>6</x:v>
      </x:c>
      <x:c r="F500" s="18" t="n">
        <x:f>C500*E500</x:f>
        <x:v>600</x:v>
      </x:c>
      <x:c r="G500" s="18" t="n">
        <x:f>ROUNDUP(F500*(1+D500),0)</x:f>
        <x:v>612</x:v>
      </x:c>
      <x:c r="H500" s="18" t="n">
        <x:f>INDEX('Dated offers'!$F$7:$F$305,MATCH($Z500,'Dated offers'!$A$7:$A$305,0))</x:f>
        <x:v>1</x:v>
      </x:c>
      <x:c r="I500" s="18" t="n">
        <x:f>INDEX('Dated offers'!$G$7:$G$305,MATCH($Z500,'Dated offers'!$A$7:$A$305,0))</x:f>
        <x:v>1</x:v>
      </x:c>
      <x:c r="J500" s="18" t="n">
        <x:f>CEILING(MAX(G500,H500),I500)</x:f>
        <x:v>612</x:v>
      </x:c>
      <x:c r="K500" s="18" t="n">
        <x:v>612</x:v>
      </x:c>
      <x:c r="L500" s="18" t="n">
        <x:f>INDEX('Dated offers'!$I$7:$I$305,MATCH($Z500,'Dated offers'!$A$7:$A$305,0))</x:f>
        <x:v>500</x:v>
      </x:c>
      <x:c r="M500" s="25" t="n">
        <x:f>INDEX('Dated offers'!$J$7:$J$305,MATCH($Z500,'Dated offers'!$A$7:$A$305,0))</x:f>
        <x:v>0.44122</x:v>
      </x:c>
      <x:c r="N500" s="25" t="n">
        <x:f>INDEX('Dated offers'!$K$7:$K$305,MATCH($Z500,'Dated offers'!$A$7:$A$305,0))</x:f>
        <x:v>0</x:v>
      </x:c>
      <x:c r="O500" s="25" t="n">
        <x:f>F500*M500</x:f>
        <x:v>264.732</x:v>
      </x:c>
      <x:c r="P500" s="25" t="n">
        <x:f>G500*M500</x:f>
        <x:v>270.02664</x:v>
      </x:c>
      <x:c r="Q500" s="25" t="n">
        <x:f>K500*M500+N500</x:f>
        <x:v>270.02664</x:v>
      </x:c>
      <x:c r="R500" s="18" t="n">
        <x:f>K500-G500</x:f>
        <x:v>0</x:v>
      </x:c>
      <x:c r="S500" s="18" t="n">
        <x:f>INDEX('Dated offers'!$H$7:$H$305,MATCH($Z500,'Dated offers'!$A$7:$A$305,0))</x:f>
        <x:v>31398</x:v>
      </x:c>
      <x:c r="T500" s="2" t="str">
        <x:f>IF(K500&lt;G500,"Order below requirement",IF(K500&lt;L500,"Below price tier",IF(ISNUMBER(S500),IF(K500&gt;S500,"Quantity exceeds snapshot","Within quantity snapshot"),"Stock not stated")))</x:f>
        <x:v>Within quantity snapshot</x:v>
      </x:c>
      <x:c r="U500" s="2" t="str">
        <x:f>INDEX('Dated offers'!$C$7:$C$305,MATCH($Z500,'Dated offers'!$A$7:$A$305,0))</x:f>
        <x:v>DigiKey</x:v>
      </x:c>
      <x:c r="V500" s="2" t="str">
        <x:f>INDEX('Dated offers'!$D$7:$D$305,MATCH($Z500,'Dated offers'!$A$7:$A$305,0))</x:f>
        <x:v>Not stated</x:v>
      </x:c>
      <x:c r="W500" s="24" t="n">
        <x:f>INDEX('Dated offers'!$E$7:$E$305,MATCH($Z500,'Dated offers'!$A$7:$A$305,0))</x:f>
        <x:v>46307.47807262732</x:v>
      </x:c>
      <x:c r="X500" s="2" t="b">
        <x:f>INDEX('Dated offers'!$N$7:$N$305,MATCH($Z500,'Dated offers'!$A$7:$A$305,0))</x:f>
        <x:v>0</x:v>
      </x:c>
      <x:c r="Y500" s="2" t="str">
        <x:f>INDEX('Dated offers'!$O$7:$O$305,MATCH($Z500,'Dated offers'!$A$7:$A$305,0))</x:f>
        <x:v>Unreserved inventory snapshot</x:v>
      </x:c>
      <x:c r="Z500" s="17" t="str">
        <x:v>OF0182</x:v>
      </x:c>
      <x:c r="AA500" s="2"/>
      <x:c r="AB500" s="2" t="str">
        <x:f>INDEX('Dated offers'!$Q$7:$Q$305,MATCH($Z500,'Dated offers'!$A$7:$A$305,0))</x:f>
        <x:v>https://www.digikey.com/en/products/detail/tdk-corporation/CGA6N3X7R2A225K230AB/2443344</x:v>
      </x:c>
    </x:row>
    <x:row r="501" ht="24" customHeight="1">
      <x:c r="A501" s="2" t="str">
        <x:v>100 boards / 2% planning</x:v>
      </x:c>
      <x:c r="B501" s="17" t="str">
        <x:v>CL05B104KB5NNNC</x:v>
      </x:c>
      <x:c r="C501" s="18" t="n">
        <x:v>100</x:v>
      </x:c>
      <x:c r="D501" s="27" t="n">
        <x:v>0.02</x:v>
      </x:c>
      <x:c r="E501" s="18" t="n">
        <x:f>INDEX('Assembly BOM'!$C$7:$C$162,MATCH($B501,'Assembly BOM'!$A$7:$A$162,0))</x:f>
        <x:v>59</x:v>
      </x:c>
      <x:c r="F501" s="18" t="n">
        <x:f>C501*E501</x:f>
        <x:v>5900</x:v>
      </x:c>
      <x:c r="G501" s="18" t="n">
        <x:f>ROUNDUP(F501*(1+D501),0)</x:f>
        <x:v>6018</x:v>
      </x:c>
      <x:c r="H501" s="18" t="n">
        <x:f>INDEX('Dated offers'!$F$7:$F$305,MATCH($Z501,'Dated offers'!$A$7:$A$305,0))</x:f>
        <x:v>50</x:v>
      </x:c>
      <x:c r="I501" s="18" t="n">
        <x:f>INDEX('Dated offers'!$G$7:$G$305,MATCH($Z501,'Dated offers'!$A$7:$A$305,0))</x:f>
        <x:v>50</x:v>
      </x:c>
      <x:c r="J501" s="18" t="n">
        <x:f>CEILING(MAX(G501,H501),I501)</x:f>
        <x:v>6050</x:v>
      </x:c>
      <x:c r="K501" s="18" t="n">
        <x:v>6050</x:v>
      </x:c>
      <x:c r="L501" s="18" t="n">
        <x:f>INDEX('Dated offers'!$I$7:$I$305,MATCH($Z501,'Dated offers'!$A$7:$A$305,0))</x:f>
        <x:v>1500</x:v>
      </x:c>
      <x:c r="M501" s="25" t="n">
        <x:f>INDEX('Dated offers'!$J$7:$J$305,MATCH($Z501,'Dated offers'!$A$7:$A$305,0))</x:f>
        <x:v>0.0066</x:v>
      </x:c>
      <x:c r="N501" s="25" t="n">
        <x:f>INDEX('Dated offers'!$K$7:$K$305,MATCH($Z501,'Dated offers'!$A$7:$A$305,0))</x:f>
        <x:v>0</x:v>
      </x:c>
      <x:c r="O501" s="25" t="n">
        <x:f>F501*M501</x:f>
        <x:v>38.94</x:v>
      </x:c>
      <x:c r="P501" s="25" t="n">
        <x:f>G501*M501</x:f>
        <x:v>39.7188</x:v>
      </x:c>
      <x:c r="Q501" s="25" t="n">
        <x:f>K501*M501+N501</x:f>
        <x:v>39.93</x:v>
      </x:c>
      <x:c r="R501" s="18" t="n">
        <x:f>K501-G501</x:f>
        <x:v>32</x:v>
      </x:c>
      <x:c r="S501" s="18" t="n">
        <x:f>INDEX('Dated offers'!$H$7:$H$305,MATCH($Z501,'Dated offers'!$A$7:$A$305,0))</x:f>
        <x:v>155500</x:v>
      </x:c>
      <x:c r="T501" s="2" t="str">
        <x:f>IF(K501&lt;G501,"Order below requirement",IF(K501&lt;L501,"Below price tier",IF(ISNUMBER(S501),IF(K501&gt;S501,"Quantity exceeds snapshot","Within quantity snapshot"),"Stock not stated")))</x:f>
        <x:v>Within quantity snapshot</x:v>
      </x:c>
      <x:c r="U501" s="2" t="str">
        <x:f>INDEX('Dated offers'!$C$7:$C$305,MATCH($Z501,'Dated offers'!$A$7:$A$305,0))</x:f>
        <x:v>LCSC</x:v>
      </x:c>
      <x:c r="V501" s="2" t="str">
        <x:f>INDEX('Dated offers'!$D$7:$D$305,MATCH($Z501,'Dated offers'!$A$7:$A$305,0))</x:f>
        <x:v>C960916</x:v>
      </x:c>
      <x:c r="W501" s="24" t="n">
        <x:f>INDEX('Dated offers'!$E$7:$E$305,MATCH($Z501,'Dated offers'!$A$7:$A$305,0))</x:f>
        <x:v>46307.44740570602</x:v>
      </x:c>
      <x:c r="X501" s="2" t="b">
        <x:f>INDEX('Dated offers'!$N$7:$N$305,MATCH($Z501,'Dated offers'!$A$7:$A$305,0))</x:f>
        <x:v>0</x:v>
      </x:c>
      <x:c r="Y501" s="2" t="str">
        <x:f>INDEX('Dated offers'!$O$7:$O$305,MATCH($Z501,'Dated offers'!$A$7:$A$305,0))</x:f>
        <x:v>Unreserved inventory snapshot</x:v>
      </x:c>
      <x:c r="Z501" s="17" t="str">
        <x:v>OF0027</x:v>
      </x:c>
      <x:c r="AA501" s="2"/>
      <x:c r="AB501" s="2" t="str">
        <x:f>INDEX('Dated offers'!$Q$7:$Q$305,MATCH($Z501,'Dated offers'!$A$7:$A$305,0))</x:f>
        <x:v>https://www.lcsc.com/product-detail/C960916.html</x:v>
      </x:c>
    </x:row>
    <x:row r="502" ht="24" customHeight="1">
      <x:c r="A502" s="2" t="str">
        <x:v>100 boards / 2% planning</x:v>
      </x:c>
      <x:c r="B502" s="17" t="str">
        <x:v>CL10B225KP8NNNC</x:v>
      </x:c>
      <x:c r="C502" s="18" t="n">
        <x:v>100</x:v>
      </x:c>
      <x:c r="D502" s="27" t="n">
        <x:v>0.02</x:v>
      </x:c>
      <x:c r="E502" s="18" t="n">
        <x:f>INDEX('Assembly BOM'!$C$7:$C$162,MATCH($B502,'Assembly BOM'!$A$7:$A$162,0))</x:f>
        <x:v>18</x:v>
      </x:c>
      <x:c r="F502" s="18" t="n">
        <x:f>C502*E502</x:f>
        <x:v>1800</x:v>
      </x:c>
      <x:c r="G502" s="18" t="n">
        <x:f>ROUNDUP(F502*(1+D502),0)</x:f>
        <x:v>1836</x:v>
      </x:c>
      <x:c r="H502" s="18" t="n">
        <x:f>INDEX('Dated offers'!$F$7:$F$305,MATCH($Z502,'Dated offers'!$A$7:$A$305,0))</x:f>
        <x:v>20</x:v>
      </x:c>
      <x:c r="I502" s="18" t="n">
        <x:f>INDEX('Dated offers'!$G$7:$G$305,MATCH($Z502,'Dated offers'!$A$7:$A$305,0))</x:f>
        <x:v>20</x:v>
      </x:c>
      <x:c r="J502" s="18" t="n">
        <x:f>CEILING(MAX(G502,H502),I502)</x:f>
        <x:v>1840</x:v>
      </x:c>
      <x:c r="K502" s="18" t="n">
        <x:v>1840</x:v>
      </x:c>
      <x:c r="L502" s="18" t="n">
        <x:f>INDEX('Dated offers'!$I$7:$I$305,MATCH($Z502,'Dated offers'!$A$7:$A$305,0))</x:f>
        <x:v>600</x:v>
      </x:c>
      <x:c r="M502" s="25" t="n">
        <x:f>INDEX('Dated offers'!$J$7:$J$305,MATCH($Z502,'Dated offers'!$A$7:$A$305,0))</x:f>
        <x:v>0.0179</x:v>
      </x:c>
      <x:c r="N502" s="25" t="n">
        <x:f>INDEX('Dated offers'!$K$7:$K$305,MATCH($Z502,'Dated offers'!$A$7:$A$305,0))</x:f>
        <x:v>0</x:v>
      </x:c>
      <x:c r="O502" s="25" t="n">
        <x:f>F502*M502</x:f>
        <x:v>32.22</x:v>
      </x:c>
      <x:c r="P502" s="25" t="n">
        <x:f>G502*M502</x:f>
        <x:v>32.864399999999996</x:v>
      </x:c>
      <x:c r="Q502" s="25" t="n">
        <x:f>K502*M502+N502</x:f>
        <x:v>32.936</x:v>
      </x:c>
      <x:c r="R502" s="18" t="n">
        <x:f>K502-G502</x:f>
        <x:v>4</x:v>
      </x:c>
      <x:c r="S502" s="18" t="n">
        <x:f>INDEX('Dated offers'!$H$7:$H$305,MATCH($Z502,'Dated offers'!$A$7:$A$305,0))</x:f>
        <x:v>274380</x:v>
      </x:c>
      <x:c r="T502" s="2" t="str">
        <x:f>IF(K502&lt;G502,"Order below requirement",IF(K502&lt;L502,"Below price tier",IF(ISNUMBER(S502),IF(K502&gt;S502,"Quantity exceeds snapshot","Within quantity snapshot"),"Stock not stated")))</x:f>
        <x:v>Within quantity snapshot</x:v>
      </x:c>
      <x:c r="U502" s="2" t="str">
        <x:f>INDEX('Dated offers'!$C$7:$C$305,MATCH($Z502,'Dated offers'!$A$7:$A$305,0))</x:f>
        <x:v>LCSC</x:v>
      </x:c>
      <x:c r="V502" s="2" t="str">
        <x:f>INDEX('Dated offers'!$D$7:$D$305,MATCH($Z502,'Dated offers'!$A$7:$A$305,0))</x:f>
        <x:v>C100082</x:v>
      </x:c>
      <x:c r="W502" s="24" t="n">
        <x:f>INDEX('Dated offers'!$E$7:$E$305,MATCH($Z502,'Dated offers'!$A$7:$A$305,0))</x:f>
        <x:v>46307.44740732639</x:v>
      </x:c>
      <x:c r="X502" s="2" t="b">
        <x:f>INDEX('Dated offers'!$N$7:$N$305,MATCH($Z502,'Dated offers'!$A$7:$A$305,0))</x:f>
        <x:v>0</x:v>
      </x:c>
      <x:c r="Y502" s="2" t="str">
        <x:f>INDEX('Dated offers'!$O$7:$O$305,MATCH($Z502,'Dated offers'!$A$7:$A$305,0))</x:f>
        <x:v>Unreserved inventory snapshot</x:v>
      </x:c>
      <x:c r="Z502" s="17" t="str">
        <x:v>OF0183</x:v>
      </x:c>
      <x:c r="AA502" s="2"/>
      <x:c r="AB502" s="2" t="str">
        <x:f>INDEX('Dated offers'!$Q$7:$Q$305,MATCH($Z502,'Dated offers'!$A$7:$A$305,0))</x:f>
        <x:v>https://www.lcsc.com/product-detail/C100082.html</x:v>
      </x:c>
    </x:row>
    <x:row r="503" ht="24" customHeight="1">
      <x:c r="A503" s="2" t="str">
        <x:v>100 boards / 2% planning</x:v>
      </x:c>
      <x:c r="B503" s="17" t="str">
        <x:v>CL21B105KBFNNNF</x:v>
      </x:c>
      <x:c r="C503" s="18" t="n">
        <x:v>100</x:v>
      </x:c>
      <x:c r="D503" s="27" t="n">
        <x:v>0.02</x:v>
      </x:c>
      <x:c r="E503" s="18" t="n">
        <x:f>INDEX('Assembly BOM'!$C$7:$C$162,MATCH($B503,'Assembly BOM'!$A$7:$A$162,0))</x:f>
        <x:v>4</x:v>
      </x:c>
      <x:c r="F503" s="18" t="n">
        <x:f>C503*E503</x:f>
        <x:v>400</x:v>
      </x:c>
      <x:c r="G503" s="18" t="n">
        <x:f>ROUNDUP(F503*(1+D503),0)</x:f>
        <x:v>408</x:v>
      </x:c>
      <x:c r="H503" s="18" t="n">
        <x:f>INDEX('Dated offers'!$F$7:$F$305,MATCH($Z503,'Dated offers'!$A$7:$A$305,0))</x:f>
        <x:v>10</x:v>
      </x:c>
      <x:c r="I503" s="18" t="n">
        <x:f>INDEX('Dated offers'!$G$7:$G$305,MATCH($Z503,'Dated offers'!$A$7:$A$305,0))</x:f>
        <x:v>10</x:v>
      </x:c>
      <x:c r="J503" s="18" t="n">
        <x:f>CEILING(MAX(G503,H503),I503)</x:f>
        <x:v>410</x:v>
      </x:c>
      <x:c r="K503" s="18" t="n">
        <x:v>410</x:v>
      </x:c>
      <x:c r="L503" s="18" t="n">
        <x:f>INDEX('Dated offers'!$I$7:$I$305,MATCH($Z503,'Dated offers'!$A$7:$A$305,0))</x:f>
        <x:v>300</x:v>
      </x:c>
      <x:c r="M503" s="25" t="n">
        <x:f>INDEX('Dated offers'!$J$7:$J$305,MATCH($Z503,'Dated offers'!$A$7:$A$305,0))</x:f>
        <x:v>0.0286</x:v>
      </x:c>
      <x:c r="N503" s="25" t="n">
        <x:f>INDEX('Dated offers'!$K$7:$K$305,MATCH($Z503,'Dated offers'!$A$7:$A$305,0))</x:f>
        <x:v>0</x:v>
      </x:c>
      <x:c r="O503" s="25" t="n">
        <x:f>F503*M503</x:f>
        <x:v>11.44</x:v>
      </x:c>
      <x:c r="P503" s="25" t="n">
        <x:f>G503*M503</x:f>
        <x:v>11.668800000000001</x:v>
      </x:c>
      <x:c r="Q503" s="25" t="n">
        <x:f>K503*M503+N503</x:f>
        <x:v>11.726</x:v>
      </x:c>
      <x:c r="R503" s="18" t="n">
        <x:f>K503-G503</x:f>
        <x:v>2</x:v>
      </x:c>
      <x:c r="S503" s="18" t="n">
        <x:f>INDEX('Dated offers'!$H$7:$H$305,MATCH($Z503,'Dated offers'!$A$7:$A$305,0))</x:f>
        <x:v>450</x:v>
      </x:c>
      <x:c r="T503" s="2" t="str">
        <x:f>IF(K503&lt;G503,"Order below requirement",IF(K503&lt;L503,"Below price tier",IF(ISNUMBER(S503),IF(K503&gt;S503,"Quantity exceeds snapshot","Within quantity snapshot"),"Stock not stated")))</x:f>
        <x:v>Within quantity snapshot</x:v>
      </x:c>
      <x:c r="U503" s="2" t="str">
        <x:f>INDEX('Dated offers'!$C$7:$C$305,MATCH($Z503,'Dated offers'!$A$7:$A$305,0))</x:f>
        <x:v>LCSC</x:v>
      </x:c>
      <x:c r="V503" s="2" t="str">
        <x:f>INDEX('Dated offers'!$D$7:$D$305,MATCH($Z503,'Dated offers'!$A$7:$A$305,0))</x:f>
        <x:v>C16195091</x:v>
      </x:c>
      <x:c r="W503" s="24" t="n">
        <x:f>INDEX('Dated offers'!$E$7:$E$305,MATCH($Z503,'Dated offers'!$A$7:$A$305,0))</x:f>
        <x:v>46307.709842337965</x:v>
      </x:c>
      <x:c r="X503" s="2" t="b">
        <x:f>INDEX('Dated offers'!$N$7:$N$305,MATCH($Z503,'Dated offers'!$A$7:$A$305,0))</x:f>
        <x:v>0</x:v>
      </x:c>
      <x:c r="Y503" s="2" t="str">
        <x:f>INDEX('Dated offers'!$O$7:$O$305,MATCH($Z503,'Dated offers'!$A$7:$A$305,0))</x:f>
        <x:v>Unreserved inventory snapshot</x:v>
      </x:c>
      <x:c r="Z503" s="17" t="str">
        <x:v>OF0184</x:v>
      </x:c>
      <x:c r="AA503" s="2"/>
      <x:c r="AB503" s="2" t="str">
        <x:f>INDEX('Dated offers'!$Q$7:$Q$305,MATCH($Z503,'Dated offers'!$A$7:$A$305,0))</x:f>
        <x:v>https://www.lcsc.com/product-detail/C16195091.html</x:v>
      </x:c>
    </x:row>
    <x:row r="504" ht="24" customHeight="1">
      <x:c r="A504" s="2" t="str">
        <x:v>100 boards / 2% planning</x:v>
      </x:c>
      <x:c r="B504" s="17" t="str">
        <x:v>CL32B106KBJZW6E</x:v>
      </x:c>
      <x:c r="C504" s="18" t="n">
        <x:v>100</x:v>
      </x:c>
      <x:c r="D504" s="27" t="n">
        <x:v>0.02</x:v>
      </x:c>
      <x:c r="E504" s="18" t="n">
        <x:f>INDEX('Assembly BOM'!$C$7:$C$162,MATCH($B504,'Assembly BOM'!$A$7:$A$162,0))</x:f>
        <x:v>2</x:v>
      </x:c>
      <x:c r="F504" s="18" t="n">
        <x:f>C504*E504</x:f>
        <x:v>200</x:v>
      </x:c>
      <x:c r="G504" s="18" t="n">
        <x:f>ROUNDUP(F504*(1+D504),0)</x:f>
        <x:v>204</x:v>
      </x:c>
      <x:c r="H504" s="18" t="n">
        <x:f>INDEX('Dated offers'!$F$7:$F$305,MATCH($Z504,'Dated offers'!$A$7:$A$305,0))</x:f>
        <x:v>1</x:v>
      </x:c>
      <x:c r="I504" s="18" t="n">
        <x:f>INDEX('Dated offers'!$G$7:$G$305,MATCH($Z504,'Dated offers'!$A$7:$A$305,0))</x:f>
        <x:v>1</x:v>
      </x:c>
      <x:c r="J504" s="18" t="n">
        <x:f>CEILING(MAX(G504,H504),I504)</x:f>
        <x:v>204</x:v>
      </x:c>
      <x:c r="K504" s="18" t="n">
        <x:v>204</x:v>
      </x:c>
      <x:c r="L504" s="18" t="n">
        <x:f>INDEX('Dated offers'!$I$7:$I$305,MATCH($Z504,'Dated offers'!$A$7:$A$305,0))</x:f>
        <x:v>100</x:v>
      </x:c>
      <x:c r="M504" s="25" t="n">
        <x:f>INDEX('Dated offers'!$J$7:$J$305,MATCH($Z504,'Dated offers'!$A$7:$A$305,0))</x:f>
        <x:v>0.4763</x:v>
      </x:c>
      <x:c r="N504" s="25" t="n">
        <x:f>INDEX('Dated offers'!$K$7:$K$305,MATCH($Z504,'Dated offers'!$A$7:$A$305,0))</x:f>
        <x:v>0</x:v>
      </x:c>
      <x:c r="O504" s="25" t="n">
        <x:f>F504*M504</x:f>
        <x:v>95.26</x:v>
      </x:c>
      <x:c r="P504" s="25" t="n">
        <x:f>G504*M504</x:f>
        <x:v>97.1652</x:v>
      </x:c>
      <x:c r="Q504" s="25" t="n">
        <x:f>K504*M504+N504</x:f>
        <x:v>97.1652</x:v>
      </x:c>
      <x:c r="R504" s="18" t="n">
        <x:f>K504-G504</x:f>
        <x:v>0</x:v>
      </x:c>
      <x:c r="S504" s="18" t="n">
        <x:f>INDEX('Dated offers'!$H$7:$H$305,MATCH($Z504,'Dated offers'!$A$7:$A$305,0))</x:f>
        <x:v>167479</x:v>
      </x:c>
      <x:c r="T504" s="2" t="str">
        <x:f>IF(K504&lt;G504,"Order below requirement",IF(K504&lt;L504,"Below price tier",IF(ISNUMBER(S504),IF(K504&gt;S504,"Quantity exceeds snapshot","Within quantity snapshot"),"Stock not stated")))</x:f>
        <x:v>Within quantity snapshot</x:v>
      </x:c>
      <x:c r="U504" s="2" t="str">
        <x:f>INDEX('Dated offers'!$C$7:$C$305,MATCH($Z504,'Dated offers'!$A$7:$A$305,0))</x:f>
        <x:v>DigiKey</x:v>
      </x:c>
      <x:c r="V504" s="2" t="str">
        <x:f>INDEX('Dated offers'!$D$7:$D$305,MATCH($Z504,'Dated offers'!$A$7:$A$305,0))</x:f>
        <x:v>Not stated</x:v>
      </x:c>
      <x:c r="W504" s="24" t="n">
        <x:f>INDEX('Dated offers'!$E$7:$E$305,MATCH($Z504,'Dated offers'!$A$7:$A$305,0))</x:f>
        <x:v>46307.47807262732</x:v>
      </x:c>
      <x:c r="X504" s="2" t="b">
        <x:f>INDEX('Dated offers'!$N$7:$N$305,MATCH($Z504,'Dated offers'!$A$7:$A$305,0))</x:f>
        <x:v>0</x:v>
      </x:c>
      <x:c r="Y504" s="2" t="str">
        <x:f>INDEX('Dated offers'!$O$7:$O$305,MATCH($Z504,'Dated offers'!$A$7:$A$305,0))</x:f>
        <x:v>Unreserved inventory snapshot</x:v>
      </x:c>
      <x:c r="Z504" s="17" t="str">
        <x:v>OF0185</x:v>
      </x:c>
      <x:c r="AA504" s="2"/>
      <x:c r="AB504" s="2" t="str">
        <x:f>INDEX('Dated offers'!$Q$7:$Q$305,MATCH($Z504,'Dated offers'!$A$7:$A$305,0))</x:f>
        <x:v>https://www.digikey.com/en/products/detail/samsung-electro-mechanics-america-inc/CL32B106KBJZW6E/7320557</x:v>
      </x:c>
    </x:row>
    <x:row r="505" ht="24" customHeight="1">
      <x:c r="A505" s="2" t="str">
        <x:v>100 boards / 2% planning</x:v>
      </x:c>
      <x:c r="B505" s="17" t="str">
        <x:v>CL32B226KAJNNNE</x:v>
      </x:c>
      <x:c r="C505" s="18" t="n">
        <x:v>100</x:v>
      </x:c>
      <x:c r="D505" s="27" t="n">
        <x:v>0.02</x:v>
      </x:c>
      <x:c r="E505" s="18" t="n">
        <x:f>INDEX('Assembly BOM'!$C$7:$C$162,MATCH($B505,'Assembly BOM'!$A$7:$A$162,0))</x:f>
        <x:v>25</x:v>
      </x:c>
      <x:c r="F505" s="18" t="n">
        <x:f>C505*E505</x:f>
        <x:v>2500</x:v>
      </x:c>
      <x:c r="G505" s="18" t="n">
        <x:f>ROUNDUP(F505*(1+D505),0)</x:f>
        <x:v>2550</x:v>
      </x:c>
      <x:c r="H505" s="18" t="n">
        <x:f>INDEX('Dated offers'!$F$7:$F$305,MATCH($Z505,'Dated offers'!$A$7:$A$305,0))</x:f>
        <x:v>1</x:v>
      </x:c>
      <x:c r="I505" s="18" t="n">
        <x:f>INDEX('Dated offers'!$G$7:$G$305,MATCH($Z505,'Dated offers'!$A$7:$A$305,0))</x:f>
        <x:v>1</x:v>
      </x:c>
      <x:c r="J505" s="18" t="n">
        <x:f>CEILING(MAX(G505,H505),I505)</x:f>
        <x:v>2550</x:v>
      </x:c>
      <x:c r="K505" s="18" t="n">
        <x:v>2550</x:v>
      </x:c>
      <x:c r="L505" s="18" t="n">
        <x:f>INDEX('Dated offers'!$I$7:$I$305,MATCH($Z505,'Dated offers'!$A$7:$A$305,0))</x:f>
        <x:v>1000</x:v>
      </x:c>
      <x:c r="M505" s="25" t="n">
        <x:f>INDEX('Dated offers'!$J$7:$J$305,MATCH($Z505,'Dated offers'!$A$7:$A$305,0))</x:f>
        <x:v>0.1611</x:v>
      </x:c>
      <x:c r="N505" s="25" t="n">
        <x:f>INDEX('Dated offers'!$K$7:$K$305,MATCH($Z505,'Dated offers'!$A$7:$A$305,0))</x:f>
        <x:v>0</x:v>
      </x:c>
      <x:c r="O505" s="25" t="n">
        <x:f>F505*M505</x:f>
        <x:v>402.75</x:v>
      </x:c>
      <x:c r="P505" s="25" t="n">
        <x:f>G505*M505</x:f>
        <x:v>410.805</x:v>
      </x:c>
      <x:c r="Q505" s="25" t="n">
        <x:f>K505*M505+N505</x:f>
        <x:v>410.805</x:v>
      </x:c>
      <x:c r="R505" s="18" t="n">
        <x:f>K505-G505</x:f>
        <x:v>0</x:v>
      </x:c>
      <x:c r="S505" s="18" t="n">
        <x:f>INDEX('Dated offers'!$H$7:$H$305,MATCH($Z505,'Dated offers'!$A$7:$A$305,0))</x:f>
        <x:v>42997</x:v>
      </x:c>
      <x:c r="T505" s="2" t="str">
        <x:f>IF(K505&lt;G505,"Order below requirement",IF(K505&lt;L505,"Below price tier",IF(ISNUMBER(S505),IF(K505&gt;S505,"Quantity exceeds snapshot","Within quantity snapshot"),"Stock not stated")))</x:f>
        <x:v>Within quantity snapshot</x:v>
      </x:c>
      <x:c r="U505" s="2" t="str">
        <x:f>INDEX('Dated offers'!$C$7:$C$305,MATCH($Z505,'Dated offers'!$A$7:$A$305,0))</x:f>
        <x:v>LCSC</x:v>
      </x:c>
      <x:c r="V505" s="2" t="str">
        <x:f>INDEX('Dated offers'!$D$7:$D$305,MATCH($Z505,'Dated offers'!$A$7:$A$305,0))</x:f>
        <x:v>C309062</x:v>
      </x:c>
      <x:c r="W505" s="24" t="n">
        <x:f>INDEX('Dated offers'!$E$7:$E$305,MATCH($Z505,'Dated offers'!$A$7:$A$305,0))</x:f>
        <x:v>46307.61958569445</x:v>
      </x:c>
      <x:c r="X505" s="2" t="b">
        <x:f>INDEX('Dated offers'!$N$7:$N$305,MATCH($Z505,'Dated offers'!$A$7:$A$305,0))</x:f>
        <x:v>0</x:v>
      </x:c>
      <x:c r="Y505" s="2" t="str">
        <x:f>INDEX('Dated offers'!$O$7:$O$305,MATCH($Z505,'Dated offers'!$A$7:$A$305,0))</x:f>
        <x:v>Unreserved inventory snapshot</x:v>
      </x:c>
      <x:c r="Z505" s="17" t="str">
        <x:v>OF0186</x:v>
      </x:c>
      <x:c r="AA505" s="2"/>
      <x:c r="AB505" s="2" t="str">
        <x:f>INDEX('Dated offers'!$Q$7:$Q$305,MATCH($Z505,'Dated offers'!$A$7:$A$305,0))</x:f>
        <x:v>https://www.lcsc.com/product-detail/C309062.html</x:v>
      </x:c>
    </x:row>
    <x:row r="506" ht="24" customHeight="1">
      <x:c r="A506" s="2" t="str">
        <x:v>100 boards / 2% planning</x:v>
      </x:c>
      <x:c r="B506" s="17" t="str">
        <x:v>CL32B476KPJNNWE</x:v>
      </x:c>
      <x:c r="C506" s="18" t="n">
        <x:v>100</x:v>
      </x:c>
      <x:c r="D506" s="27" t="n">
        <x:v>0.02</x:v>
      </x:c>
      <x:c r="E506" s="18" t="n">
        <x:f>INDEX('Assembly BOM'!$C$7:$C$162,MATCH($B506,'Assembly BOM'!$A$7:$A$162,0))</x:f>
        <x:v>2</x:v>
      </x:c>
      <x:c r="F506" s="18" t="n">
        <x:f>C506*E506</x:f>
        <x:v>200</x:v>
      </x:c>
      <x:c r="G506" s="18" t="n">
        <x:f>ROUNDUP(F506*(1+D506),0)</x:f>
        <x:v>204</x:v>
      </x:c>
      <x:c r="H506" s="18" t="n">
        <x:f>INDEX('Dated offers'!$F$7:$F$305,MATCH($Z506,'Dated offers'!$A$7:$A$305,0))</x:f>
        <x:v>1</x:v>
      </x:c>
      <x:c r="I506" s="18" t="n">
        <x:f>INDEX('Dated offers'!$G$7:$G$305,MATCH($Z506,'Dated offers'!$A$7:$A$305,0))</x:f>
        <x:v>1</x:v>
      </x:c>
      <x:c r="J506" s="18" t="n">
        <x:f>CEILING(MAX(G506,H506),I506)</x:f>
        <x:v>204</x:v>
      </x:c>
      <x:c r="K506" s="18" t="n">
        <x:v>204</x:v>
      </x:c>
      <x:c r="L506" s="18" t="n">
        <x:f>INDEX('Dated offers'!$I$7:$I$305,MATCH($Z506,'Dated offers'!$A$7:$A$305,0))</x:f>
        <x:v>100</x:v>
      </x:c>
      <x:c r="M506" s="25" t="n">
        <x:f>INDEX('Dated offers'!$J$7:$J$305,MATCH($Z506,'Dated offers'!$A$7:$A$305,0))</x:f>
        <x:v>0.467</x:v>
      </x:c>
      <x:c r="N506" s="25" t="n">
        <x:f>INDEX('Dated offers'!$K$7:$K$305,MATCH($Z506,'Dated offers'!$A$7:$A$305,0))</x:f>
        <x:v>0</x:v>
      </x:c>
      <x:c r="O506" s="25" t="n">
        <x:f>F506*M506</x:f>
        <x:v>93.4</x:v>
      </x:c>
      <x:c r="P506" s="25" t="n">
        <x:f>G506*M506</x:f>
        <x:v>95.268</x:v>
      </x:c>
      <x:c r="Q506" s="25" t="n">
        <x:f>K506*M506+N506</x:f>
        <x:v>95.268</x:v>
      </x:c>
      <x:c r="R506" s="18" t="n">
        <x:f>K506-G506</x:f>
        <x:v>0</x:v>
      </x:c>
      <x:c r="S506" s="18" t="n">
        <x:f>INDEX('Dated offers'!$H$7:$H$305,MATCH($Z506,'Dated offers'!$A$7:$A$305,0))</x:f>
        <x:v>1284</x:v>
      </x:c>
      <x:c r="T506" s="2" t="str">
        <x:f>IF(K506&lt;G506,"Order below requirement",IF(K506&lt;L506,"Below price tier",IF(ISNUMBER(S506),IF(K506&gt;S506,"Quantity exceeds snapshot","Within quantity snapshot"),"Stock not stated")))</x:f>
        <x:v>Within quantity snapshot</x:v>
      </x:c>
      <x:c r="U506" s="2" t="str">
        <x:f>INDEX('Dated offers'!$C$7:$C$305,MATCH($Z506,'Dated offers'!$A$7:$A$305,0))</x:f>
        <x:v>LCSC</x:v>
      </x:c>
      <x:c r="V506" s="2" t="str">
        <x:f>INDEX('Dated offers'!$D$7:$D$305,MATCH($Z506,'Dated offers'!$A$7:$A$305,0))</x:f>
        <x:v>C2932479</x:v>
      </x:c>
      <x:c r="W506" s="24" t="n">
        <x:f>INDEX('Dated offers'!$E$7:$E$305,MATCH($Z506,'Dated offers'!$A$7:$A$305,0))</x:f>
        <x:v>46307.656600462964</x:v>
      </x:c>
      <x:c r="X506" s="2" t="b">
        <x:f>INDEX('Dated offers'!$N$7:$N$305,MATCH($Z506,'Dated offers'!$A$7:$A$305,0))</x:f>
        <x:v>0</x:v>
      </x:c>
      <x:c r="Y506" s="2" t="str">
        <x:f>INDEX('Dated offers'!$O$7:$O$305,MATCH($Z506,'Dated offers'!$A$7:$A$305,0))</x:f>
        <x:v>Unreserved inventory snapshot</x:v>
      </x:c>
      <x:c r="Z506" s="17" t="str">
        <x:v>OF0187</x:v>
      </x:c>
      <x:c r="AA506" s="2"/>
      <x:c r="AB506" s="2" t="str">
        <x:f>INDEX('Dated offers'!$Q$7:$Q$305,MATCH($Z506,'Dated offers'!$A$7:$A$305,0))</x:f>
        <x:v>https://www.lcsc.com/product-detail/C2932479.html</x:v>
      </x:c>
    </x:row>
    <x:row r="507" ht="24" customHeight="1">
      <x:c r="A507" s="2" t="str">
        <x:v>100 boards / 2% planning</x:v>
      </x:c>
      <x:c r="B507" s="17" t="str">
        <x:v>CRCW04020000Z0ED</x:v>
      </x:c>
      <x:c r="C507" s="18" t="n">
        <x:v>100</x:v>
      </x:c>
      <x:c r="D507" s="27" t="n">
        <x:v>0.02</x:v>
      </x:c>
      <x:c r="E507" s="18" t="n">
        <x:f>INDEX('Assembly BOM'!$C$7:$C$162,MATCH($B507,'Assembly BOM'!$A$7:$A$162,0))</x:f>
        <x:v>6</x:v>
      </x:c>
      <x:c r="F507" s="18" t="n">
        <x:f>C507*E507</x:f>
        <x:v>600</x:v>
      </x:c>
      <x:c r="G507" s="18" t="n">
        <x:f>ROUNDUP(F507*(1+D507),0)</x:f>
        <x:v>612</x:v>
      </x:c>
      <x:c r="H507" s="18" t="n">
        <x:f>INDEX('Dated offers'!$F$7:$F$305,MATCH($Z507,'Dated offers'!$A$7:$A$305,0))</x:f>
        <x:v>1</x:v>
      </x:c>
      <x:c r="I507" s="18" t="n">
        <x:f>INDEX('Dated offers'!$G$7:$G$305,MATCH($Z507,'Dated offers'!$A$7:$A$305,0))</x:f>
        <x:v>1</x:v>
      </x:c>
      <x:c r="J507" s="18" t="n">
        <x:f>CEILING(MAX(G507,H507),I507)</x:f>
        <x:v>612</x:v>
      </x:c>
      <x:c r="K507" s="18" t="n">
        <x:v>612</x:v>
      </x:c>
      <x:c r="L507" s="18" t="n">
        <x:f>INDEX('Dated offers'!$I$7:$I$305,MATCH($Z507,'Dated offers'!$A$7:$A$305,0))</x:f>
        <x:v>500</x:v>
      </x:c>
      <x:c r="M507" s="25" t="n">
        <x:f>INDEX('Dated offers'!$J$7:$J$305,MATCH($Z507,'Dated offers'!$A$7:$A$305,0))</x:f>
        <x:v>0.00738</x:v>
      </x:c>
      <x:c r="N507" s="25" t="n">
        <x:f>INDEX('Dated offers'!$K$7:$K$305,MATCH($Z507,'Dated offers'!$A$7:$A$305,0))</x:f>
        <x:v>0</x:v>
      </x:c>
      <x:c r="O507" s="25" t="n">
        <x:f>F507*M507</x:f>
        <x:v>4.428</x:v>
      </x:c>
      <x:c r="P507" s="25" t="n">
        <x:f>G507*M507</x:f>
        <x:v>4.51656</x:v>
      </x:c>
      <x:c r="Q507" s="25" t="n">
        <x:f>K507*M507+N507</x:f>
        <x:v>4.51656</x:v>
      </x:c>
      <x:c r="R507" s="18" t="n">
        <x:f>K507-G507</x:f>
        <x:v>0</x:v>
      </x:c>
      <x:c r="S507" s="18" t="n">
        <x:f>INDEX('Dated offers'!$H$7:$H$305,MATCH($Z507,'Dated offers'!$A$7:$A$305,0))</x:f>
        <x:v>3541597</x:v>
      </x:c>
      <x:c r="T507" s="2" t="str">
        <x:f>IF(K507&lt;G507,"Order below requirement",IF(K507&lt;L507,"Below price tier",IF(ISNUMBER(S507),IF(K507&gt;S507,"Quantity exceeds snapshot","Within quantity snapshot"),"Stock not stated")))</x:f>
        <x:v>Within quantity snapshot</x:v>
      </x:c>
      <x:c r="U507" s="2" t="str">
        <x:f>INDEX('Dated offers'!$C$7:$C$305,MATCH($Z507,'Dated offers'!$A$7:$A$305,0))</x:f>
        <x:v>DigiKey</x:v>
      </x:c>
      <x:c r="V507" s="2" t="str">
        <x:f>INDEX('Dated offers'!$D$7:$D$305,MATCH($Z507,'Dated offers'!$A$7:$A$305,0))</x:f>
        <x:v>Not stated</x:v>
      </x:c>
      <x:c r="W507" s="24" t="n">
        <x:f>INDEX('Dated offers'!$E$7:$E$305,MATCH($Z507,'Dated offers'!$A$7:$A$305,0))</x:f>
        <x:v>46307.47807262732</x:v>
      </x:c>
      <x:c r="X507" s="2" t="b">
        <x:f>INDEX('Dated offers'!$N$7:$N$305,MATCH($Z507,'Dated offers'!$A$7:$A$305,0))</x:f>
        <x:v>0</x:v>
      </x:c>
      <x:c r="Y507" s="2" t="str">
        <x:f>INDEX('Dated offers'!$O$7:$O$305,MATCH($Z507,'Dated offers'!$A$7:$A$305,0))</x:f>
        <x:v>Unreserved inventory snapshot</x:v>
      </x:c>
      <x:c r="Z507" s="17" t="str">
        <x:v>OF0188</x:v>
      </x:c>
      <x:c r="AA507" s="2"/>
      <x:c r="AB507" s="2" t="str">
        <x:f>INDEX('Dated offers'!$Q$7:$Q$305,MATCH($Z507,'Dated offers'!$A$7:$A$305,0))</x:f>
        <x:v>https://www.digikey.com/en/products/detail/vishay-dale/CRCW04020000Z0ED/1177495</x:v>
      </x:c>
    </x:row>
    <x:row r="508" ht="24" customHeight="1">
      <x:c r="A508" s="2" t="str">
        <x:v>100 boards / 2% planning</x:v>
      </x:c>
      <x:c r="B508" s="17" t="str">
        <x:v>CRCW0402100KFKED</x:v>
      </x:c>
      <x:c r="C508" s="18" t="n">
        <x:v>100</x:v>
      </x:c>
      <x:c r="D508" s="27" t="n">
        <x:v>0.02</x:v>
      </x:c>
      <x:c r="E508" s="18" t="n">
        <x:f>INDEX('Assembly BOM'!$C$7:$C$162,MATCH($B508,'Assembly BOM'!$A$7:$A$162,0))</x:f>
        <x:v>17</x:v>
      </x:c>
      <x:c r="F508" s="18" t="n">
        <x:f>C508*E508</x:f>
        <x:v>1700</x:v>
      </x:c>
      <x:c r="G508" s="18" t="n">
        <x:f>ROUNDUP(F508*(1+D508),0)</x:f>
        <x:v>1734</x:v>
      </x:c>
      <x:c r="H508" s="18" t="n">
        <x:f>INDEX('Dated offers'!$F$7:$F$305,MATCH($Z508,'Dated offers'!$A$7:$A$305,0))</x:f>
        <x:v>100</x:v>
      </x:c>
      <x:c r="I508" s="18" t="n">
        <x:f>INDEX('Dated offers'!$G$7:$G$305,MATCH($Z508,'Dated offers'!$A$7:$A$305,0))</x:f>
        <x:v>100</x:v>
      </x:c>
      <x:c r="J508" s="18" t="n">
        <x:f>CEILING(MAX(G508,H508),I508)</x:f>
        <x:v>1800</x:v>
      </x:c>
      <x:c r="K508" s="18" t="n">
        <x:v>1800</x:v>
      </x:c>
      <x:c r="L508" s="18" t="n">
        <x:f>INDEX('Dated offers'!$I$7:$I$305,MATCH($Z508,'Dated offers'!$A$7:$A$305,0))</x:f>
        <x:v>1000</x:v>
      </x:c>
      <x:c r="M508" s="25" t="n">
        <x:f>INDEX('Dated offers'!$J$7:$J$305,MATCH($Z508,'Dated offers'!$A$7:$A$305,0))</x:f>
        <x:v>0.0032</x:v>
      </x:c>
      <x:c r="N508" s="25" t="n">
        <x:f>INDEX('Dated offers'!$K$7:$K$305,MATCH($Z508,'Dated offers'!$A$7:$A$305,0))</x:f>
        <x:v>0</x:v>
      </x:c>
      <x:c r="O508" s="25" t="n">
        <x:f>F508*M508</x:f>
        <x:v>5.44</x:v>
      </x:c>
      <x:c r="P508" s="25" t="n">
        <x:f>G508*M508</x:f>
        <x:v>5.5488</x:v>
      </x:c>
      <x:c r="Q508" s="25" t="n">
        <x:f>K508*M508+N508</x:f>
        <x:v>5.760000000000001</x:v>
      </x:c>
      <x:c r="R508" s="18" t="n">
        <x:f>K508-G508</x:f>
        <x:v>66</x:v>
      </x:c>
      <x:c r="S508" s="18" t="n">
        <x:f>INDEX('Dated offers'!$H$7:$H$305,MATCH($Z508,'Dated offers'!$A$7:$A$305,0))</x:f>
        <x:v>49900</x:v>
      </x:c>
      <x:c r="T508" s="2" t="str">
        <x:f>IF(K508&lt;G508,"Order below requirement",IF(K508&lt;L508,"Below price tier",IF(ISNUMBER(S508),IF(K508&gt;S508,"Quantity exceeds snapshot","Within quantity snapshot"),"Stock not stated")))</x:f>
        <x:v>Within quantity snapshot</x:v>
      </x:c>
      <x:c r="U508" s="2" t="str">
        <x:f>INDEX('Dated offers'!$C$7:$C$305,MATCH($Z508,'Dated offers'!$A$7:$A$305,0))</x:f>
        <x:v>LCSC</x:v>
      </x:c>
      <x:c r="V508" s="2" t="str">
        <x:f>INDEX('Dated offers'!$D$7:$D$305,MATCH($Z508,'Dated offers'!$A$7:$A$305,0))</x:f>
        <x:v>C481918</x:v>
      </x:c>
      <x:c r="W508" s="24" t="n">
        <x:f>INDEX('Dated offers'!$E$7:$E$305,MATCH($Z508,'Dated offers'!$A$7:$A$305,0))</x:f>
        <x:v>46307.44741224537</x:v>
      </x:c>
      <x:c r="X508" s="2" t="b">
        <x:f>INDEX('Dated offers'!$N$7:$N$305,MATCH($Z508,'Dated offers'!$A$7:$A$305,0))</x:f>
        <x:v>0</x:v>
      </x:c>
      <x:c r="Y508" s="2" t="str">
        <x:f>INDEX('Dated offers'!$O$7:$O$305,MATCH($Z508,'Dated offers'!$A$7:$A$305,0))</x:f>
        <x:v>Unreserved inventory snapshot</x:v>
      </x:c>
      <x:c r="Z508" s="17" t="str">
        <x:v>OF0189</x:v>
      </x:c>
      <x:c r="AA508" s="2"/>
      <x:c r="AB508" s="2" t="str">
        <x:f>INDEX('Dated offers'!$Q$7:$Q$305,MATCH($Z508,'Dated offers'!$A$7:$A$305,0))</x:f>
        <x:v>https://www.lcsc.com/product-detail/C481918.html</x:v>
      </x:c>
    </x:row>
    <x:row r="509" ht="24" customHeight="1">
      <x:c r="A509" s="2" t="str">
        <x:v>100 boards / 2% planning</x:v>
      </x:c>
      <x:c r="B509" s="17" t="str">
        <x:v>CRCW0402100RFKED</x:v>
      </x:c>
      <x:c r="C509" s="18" t="n">
        <x:v>100</x:v>
      </x:c>
      <x:c r="D509" s="27" t="n">
        <x:v>0.02</x:v>
      </x:c>
      <x:c r="E509" s="18" t="n">
        <x:f>INDEX('Assembly BOM'!$C$7:$C$162,MATCH($B509,'Assembly BOM'!$A$7:$A$162,0))</x:f>
        <x:v>4</x:v>
      </x:c>
      <x:c r="F509" s="18" t="n">
        <x:f>C509*E509</x:f>
        <x:v>400</x:v>
      </x:c>
      <x:c r="G509" s="18" t="n">
        <x:f>ROUNDUP(F509*(1+D509),0)</x:f>
        <x:v>408</x:v>
      </x:c>
      <x:c r="H509" s="18" t="n">
        <x:f>INDEX('Dated offers'!$F$7:$F$305,MATCH($Z509,'Dated offers'!$A$7:$A$305,0))</x:f>
        <x:v>1</x:v>
      </x:c>
      <x:c r="I509" s="18" t="n">
        <x:f>INDEX('Dated offers'!$G$7:$G$305,MATCH($Z509,'Dated offers'!$A$7:$A$305,0))</x:f>
        <x:v>1</x:v>
      </x:c>
      <x:c r="J509" s="18" t="n">
        <x:f>CEILING(MAX(G509,H509),I509)</x:f>
        <x:v>408</x:v>
      </x:c>
      <x:c r="K509" s="18" t="n">
        <x:v>408</x:v>
      </x:c>
      <x:c r="L509" s="18" t="n">
        <x:f>INDEX('Dated offers'!$I$7:$I$305,MATCH($Z509,'Dated offers'!$A$7:$A$305,0))</x:f>
        <x:v>250</x:v>
      </x:c>
      <x:c r="M509" s="25" t="n">
        <x:f>INDEX('Dated offers'!$J$7:$J$305,MATCH($Z509,'Dated offers'!$A$7:$A$305,0))</x:f>
        <x:v>0.01228</x:v>
      </x:c>
      <x:c r="N509" s="25" t="n">
        <x:f>INDEX('Dated offers'!$K$7:$K$305,MATCH($Z509,'Dated offers'!$A$7:$A$305,0))</x:f>
        <x:v>0</x:v>
      </x:c>
      <x:c r="O509" s="25" t="n">
        <x:f>F509*M509</x:f>
        <x:v>4.912</x:v>
      </x:c>
      <x:c r="P509" s="25" t="n">
        <x:f>G509*M509</x:f>
        <x:v>5.01024</x:v>
      </x:c>
      <x:c r="Q509" s="25" t="n">
        <x:f>K509*M509+N509</x:f>
        <x:v>5.01024</x:v>
      </x:c>
      <x:c r="R509" s="18" t="n">
        <x:f>K509-G509</x:f>
        <x:v>0</x:v>
      </x:c>
      <x:c r="S509" s="18" t="n">
        <x:f>INDEX('Dated offers'!$H$7:$H$305,MATCH($Z509,'Dated offers'!$A$7:$A$305,0))</x:f>
        <x:v>2318138</x:v>
      </x:c>
      <x:c r="T509" s="2" t="str">
        <x:f>IF(K509&lt;G509,"Order below requirement",IF(K509&lt;L509,"Below price tier",IF(ISNUMBER(S509),IF(K509&gt;S509,"Quantity exceeds snapshot","Within quantity snapshot"),"Stock not stated")))</x:f>
        <x:v>Within quantity snapshot</x:v>
      </x:c>
      <x:c r="U509" s="2" t="str">
        <x:f>INDEX('Dated offers'!$C$7:$C$305,MATCH($Z509,'Dated offers'!$A$7:$A$305,0))</x:f>
        <x:v>DigiKey</x:v>
      </x:c>
      <x:c r="V509" s="2" t="str">
        <x:f>INDEX('Dated offers'!$D$7:$D$305,MATCH($Z509,'Dated offers'!$A$7:$A$305,0))</x:f>
        <x:v>Not stated</x:v>
      </x:c>
      <x:c r="W509" s="24" t="n">
        <x:f>INDEX('Dated offers'!$E$7:$E$305,MATCH($Z509,'Dated offers'!$A$7:$A$305,0))</x:f>
        <x:v>46307.47807262732</x:v>
      </x:c>
      <x:c r="X509" s="2" t="b">
        <x:f>INDEX('Dated offers'!$N$7:$N$305,MATCH($Z509,'Dated offers'!$A$7:$A$305,0))</x:f>
        <x:v>0</x:v>
      </x:c>
      <x:c r="Y509" s="2" t="str">
        <x:f>INDEX('Dated offers'!$O$7:$O$305,MATCH($Z509,'Dated offers'!$A$7:$A$305,0))</x:f>
        <x:v>Unreserved inventory snapshot</x:v>
      </x:c>
      <x:c r="Z509" s="17" t="str">
        <x:v>OF0190</x:v>
      </x:c>
      <x:c r="AA509" s="2"/>
      <x:c r="AB509" s="2" t="str">
        <x:f>INDEX('Dated offers'!$Q$7:$Q$305,MATCH($Z509,'Dated offers'!$A$7:$A$305,0))</x:f>
        <x:v>https://www.digikey.com/en/products/detail/vishay-dale/CRCW0402100RFKED/1177893</x:v>
      </x:c>
    </x:row>
    <x:row r="510" ht="24" customHeight="1">
      <x:c r="A510" s="2" t="str">
        <x:v>100 boards / 2% planning</x:v>
      </x:c>
      <x:c r="B510" s="17" t="str">
        <x:v>CRCW040210K0FKED</x:v>
      </x:c>
      <x:c r="C510" s="18" t="n">
        <x:v>100</x:v>
      </x:c>
      <x:c r="D510" s="27" t="n">
        <x:v>0.02</x:v>
      </x:c>
      <x:c r="E510" s="18" t="n">
        <x:f>INDEX('Assembly BOM'!$C$7:$C$162,MATCH($B510,'Assembly BOM'!$A$7:$A$162,0))</x:f>
        <x:v>27</x:v>
      </x:c>
      <x:c r="F510" s="18" t="n">
        <x:f>C510*E510</x:f>
        <x:v>2700</x:v>
      </x:c>
      <x:c r="G510" s="18" t="n">
        <x:f>ROUNDUP(F510*(1+D510),0)</x:f>
        <x:v>2754</x:v>
      </x:c>
      <x:c r="H510" s="18" t="n">
        <x:f>INDEX('Dated offers'!$F$7:$F$305,MATCH($Z510,'Dated offers'!$A$7:$A$305,0))</x:f>
        <x:v>10</x:v>
      </x:c>
      <x:c r="I510" s="18" t="n">
        <x:f>INDEX('Dated offers'!$G$7:$G$305,MATCH($Z510,'Dated offers'!$A$7:$A$305,0))</x:f>
        <x:v>10</x:v>
      </x:c>
      <x:c r="J510" s="18" t="n">
        <x:f>CEILING(MAX(G510,H510),I510)</x:f>
        <x:v>2760</x:v>
      </x:c>
      <x:c r="K510" s="18" t="n">
        <x:v>2760</x:v>
      </x:c>
      <x:c r="L510" s="18" t="n">
        <x:f>INDEX('Dated offers'!$I$7:$I$305,MATCH($Z510,'Dated offers'!$A$7:$A$305,0))</x:f>
        <x:v>1000</x:v>
      </x:c>
      <x:c r="M510" s="25" t="n">
        <x:f>INDEX('Dated offers'!$J$7:$J$305,MATCH($Z510,'Dated offers'!$A$7:$A$305,0))</x:f>
        <x:v>0.002</x:v>
      </x:c>
      <x:c r="N510" s="25" t="n">
        <x:f>INDEX('Dated offers'!$K$7:$K$305,MATCH($Z510,'Dated offers'!$A$7:$A$305,0))</x:f>
        <x:v>0</x:v>
      </x:c>
      <x:c r="O510" s="25" t="n">
        <x:f>F510*M510</x:f>
        <x:v>5.4</x:v>
      </x:c>
      <x:c r="P510" s="25" t="n">
        <x:f>G510*M510</x:f>
        <x:v>5.508</x:v>
      </x:c>
      <x:c r="Q510" s="25" t="n">
        <x:f>K510*M510+N510</x:f>
        <x:v>5.5200000000000005</x:v>
      </x:c>
      <x:c r="R510" s="18" t="n">
        <x:f>K510-G510</x:f>
        <x:v>6</x:v>
      </x:c>
      <x:c r="S510" s="18" t="n">
        <x:f>INDEX('Dated offers'!$H$7:$H$305,MATCH($Z510,'Dated offers'!$A$7:$A$305,0))</x:f>
        <x:v>499990</x:v>
      </x:c>
      <x:c r="T510" s="2" t="str">
        <x:f>IF(K510&lt;G510,"Order below requirement",IF(K510&lt;L510,"Below price tier",IF(ISNUMBER(S510),IF(K510&gt;S510,"Quantity exceeds snapshot","Within quantity snapshot"),"Stock not stated")))</x:f>
        <x:v>Within quantity snapshot</x:v>
      </x:c>
      <x:c r="U510" s="2" t="str">
        <x:f>INDEX('Dated offers'!$C$7:$C$305,MATCH($Z510,'Dated offers'!$A$7:$A$305,0))</x:f>
        <x:v>LCSC</x:v>
      </x:c>
      <x:c r="V510" s="2" t="str">
        <x:f>INDEX('Dated offers'!$D$7:$D$305,MATCH($Z510,'Dated offers'!$A$7:$A$305,0))</x:f>
        <x:v>C71617</x:v>
      </x:c>
      <x:c r="W510" s="24" t="n">
        <x:f>INDEX('Dated offers'!$E$7:$E$305,MATCH($Z510,'Dated offers'!$A$7:$A$305,0))</x:f>
        <x:v>46307.44741956019</x:v>
      </x:c>
      <x:c r="X510" s="2" t="b">
        <x:f>INDEX('Dated offers'!$N$7:$N$305,MATCH($Z510,'Dated offers'!$A$7:$A$305,0))</x:f>
        <x:v>0</x:v>
      </x:c>
      <x:c r="Y510" s="2" t="str">
        <x:f>INDEX('Dated offers'!$O$7:$O$305,MATCH($Z510,'Dated offers'!$A$7:$A$305,0))</x:f>
        <x:v>Unreserved inventory snapshot</x:v>
      </x:c>
      <x:c r="Z510" s="17" t="str">
        <x:v>OF0191</x:v>
      </x:c>
      <x:c r="AA510" s="2"/>
      <x:c r="AB510" s="2" t="str">
        <x:f>INDEX('Dated offers'!$Q$7:$Q$305,MATCH($Z510,'Dated offers'!$A$7:$A$305,0))</x:f>
        <x:v>https://www.lcsc.com/product-detail/C71617.html</x:v>
      </x:c>
    </x:row>
    <x:row r="511" ht="24" customHeight="1">
      <x:c r="A511" s="2" t="str">
        <x:v>100 boards / 2% planning</x:v>
      </x:c>
      <x:c r="B511" s="17" t="str">
        <x:v>CRCW0402150KFKED</x:v>
      </x:c>
      <x:c r="C511" s="18" t="n">
        <x:v>100</x:v>
      </x:c>
      <x:c r="D511" s="27" t="n">
        <x:v>0.02</x:v>
      </x:c>
      <x:c r="E511" s="18" t="n">
        <x:f>INDEX('Assembly BOM'!$C$7:$C$162,MATCH($B511,'Assembly BOM'!$A$7:$A$162,0))</x:f>
        <x:v>1</x:v>
      </x:c>
      <x:c r="F511" s="18" t="n">
        <x:f>C511*E511</x:f>
        <x:v>100</x:v>
      </x:c>
      <x:c r="G511" s="18" t="n">
        <x:f>ROUNDUP(F511*(1+D511),0)</x:f>
        <x:v>102</x:v>
      </x:c>
      <x:c r="H511" s="18" t="n">
        <x:f>INDEX('Dated offers'!$F$7:$F$305,MATCH($Z511,'Dated offers'!$A$7:$A$305,0))</x:f>
        <x:v>1</x:v>
      </x:c>
      <x:c r="I511" s="18" t="n">
        <x:f>INDEX('Dated offers'!$G$7:$G$305,MATCH($Z511,'Dated offers'!$A$7:$A$305,0))</x:f>
        <x:v>1</x:v>
      </x:c>
      <x:c r="J511" s="18" t="n">
        <x:f>CEILING(MAX(G511,H511),I511)</x:f>
        <x:v>102</x:v>
      </x:c>
      <x:c r="K511" s="18" t="n">
        <x:v>102</x:v>
      </x:c>
      <x:c r="L511" s="18" t="n">
        <x:f>INDEX('Dated offers'!$I$7:$I$305,MATCH($Z511,'Dated offers'!$A$7:$A$305,0))</x:f>
        <x:v>100</x:v>
      </x:c>
      <x:c r="M511" s="25" t="n">
        <x:f>INDEX('Dated offers'!$J$7:$J$305,MATCH($Z511,'Dated offers'!$A$7:$A$305,0))</x:f>
        <x:v>0.0157</x:v>
      </x:c>
      <x:c r="N511" s="25" t="n">
        <x:f>INDEX('Dated offers'!$K$7:$K$305,MATCH($Z511,'Dated offers'!$A$7:$A$305,0))</x:f>
        <x:v>0</x:v>
      </x:c>
      <x:c r="O511" s="25" t="n">
        <x:f>F511*M511</x:f>
        <x:v>1.5699999999999998</x:v>
      </x:c>
      <x:c r="P511" s="25" t="n">
        <x:f>G511*M511</x:f>
        <x:v>1.6014</x:v>
      </x:c>
      <x:c r="Q511" s="25" t="n">
        <x:f>K511*M511+N511</x:f>
        <x:v>1.6014</x:v>
      </x:c>
      <x:c r="R511" s="18" t="n">
        <x:f>K511-G511</x:f>
        <x:v>0</x:v>
      </x:c>
      <x:c r="S511" s="18" t="n">
        <x:f>INDEX('Dated offers'!$H$7:$H$305,MATCH($Z511,'Dated offers'!$A$7:$A$305,0))</x:f>
        <x:v>198771</x:v>
      </x:c>
      <x:c r="T511" s="2" t="str">
        <x:f>IF(K511&lt;G511,"Order below requirement",IF(K511&lt;L511,"Below price tier",IF(ISNUMBER(S511),IF(K511&gt;S511,"Quantity exceeds snapshot","Within quantity snapshot"),"Stock not stated")))</x:f>
        <x:v>Within quantity snapshot</x:v>
      </x:c>
      <x:c r="U511" s="2" t="str">
        <x:f>INDEX('Dated offers'!$C$7:$C$305,MATCH($Z511,'Dated offers'!$A$7:$A$305,0))</x:f>
        <x:v>DigiKey</x:v>
      </x:c>
      <x:c r="V511" s="2" t="str">
        <x:f>INDEX('Dated offers'!$D$7:$D$305,MATCH($Z511,'Dated offers'!$A$7:$A$305,0))</x:f>
        <x:v>Not stated</x:v>
      </x:c>
      <x:c r="W511" s="24" t="n">
        <x:f>INDEX('Dated offers'!$E$7:$E$305,MATCH($Z511,'Dated offers'!$A$7:$A$305,0))</x:f>
        <x:v>46307.478072604164</x:v>
      </x:c>
      <x:c r="X511" s="2" t="b">
        <x:f>INDEX('Dated offers'!$N$7:$N$305,MATCH($Z511,'Dated offers'!$A$7:$A$305,0))</x:f>
        <x:v>0</x:v>
      </x:c>
      <x:c r="Y511" s="2" t="str">
        <x:f>INDEX('Dated offers'!$O$7:$O$305,MATCH($Z511,'Dated offers'!$A$7:$A$305,0))</x:f>
        <x:v>Unreserved inventory snapshot</x:v>
      </x:c>
      <x:c r="Z511" s="17" t="str">
        <x:v>OF0192</x:v>
      </x:c>
      <x:c r="AA511" s="2"/>
      <x:c r="AB511" s="2" t="str">
        <x:f>INDEX('Dated offers'!$Q$7:$Q$305,MATCH($Z511,'Dated offers'!$A$7:$A$305,0))</x:f>
        <x:v>https://www.digikey.com/en/products/detail/vishay-dale/CRCW0402150KFKED/1178253</x:v>
      </x:c>
    </x:row>
    <x:row r="512" ht="24" customHeight="1">
      <x:c r="A512" s="2" t="str">
        <x:v>100 boards / 2% planning</x:v>
      </x:c>
      <x:c r="B512" s="17" t="str">
        <x:v>CRCW0402150RFKED</x:v>
      </x:c>
      <x:c r="C512" s="18" t="n">
        <x:v>100</x:v>
      </x:c>
      <x:c r="D512" s="27" t="n">
        <x:v>0.02</x:v>
      </x:c>
      <x:c r="E512" s="18" t="n">
        <x:f>INDEX('Assembly BOM'!$C$7:$C$162,MATCH($B512,'Assembly BOM'!$A$7:$A$162,0))</x:f>
        <x:v>1</x:v>
      </x:c>
      <x:c r="F512" s="18" t="n">
        <x:f>C512*E512</x:f>
        <x:v>100</x:v>
      </x:c>
      <x:c r="G512" s="18" t="n">
        <x:f>ROUNDUP(F512*(1+D512),0)</x:f>
        <x:v>102</x:v>
      </x:c>
      <x:c r="H512" s="18" t="n">
        <x:f>INDEX('Dated offers'!$F$7:$F$305,MATCH($Z512,'Dated offers'!$A$7:$A$305,0))</x:f>
        <x:v>1</x:v>
      </x:c>
      <x:c r="I512" s="18" t="n">
        <x:f>INDEX('Dated offers'!$G$7:$G$305,MATCH($Z512,'Dated offers'!$A$7:$A$305,0))</x:f>
        <x:v>1</x:v>
      </x:c>
      <x:c r="J512" s="18" t="n">
        <x:f>CEILING(MAX(G512,H512),I512)</x:f>
        <x:v>102</x:v>
      </x:c>
      <x:c r="K512" s="18" t="n">
        <x:v>102</x:v>
      </x:c>
      <x:c r="L512" s="18" t="n">
        <x:f>INDEX('Dated offers'!$I$7:$I$305,MATCH($Z512,'Dated offers'!$A$7:$A$305,0))</x:f>
        <x:v>100</x:v>
      </x:c>
      <x:c r="M512" s="25" t="n">
        <x:f>INDEX('Dated offers'!$J$7:$J$305,MATCH($Z512,'Dated offers'!$A$7:$A$305,0))</x:f>
        <x:v>0.0157</x:v>
      </x:c>
      <x:c r="N512" s="25" t="n">
        <x:f>INDEX('Dated offers'!$K$7:$K$305,MATCH($Z512,'Dated offers'!$A$7:$A$305,0))</x:f>
        <x:v>0</x:v>
      </x:c>
      <x:c r="O512" s="25" t="n">
        <x:f>F512*M512</x:f>
        <x:v>1.5699999999999998</x:v>
      </x:c>
      <x:c r="P512" s="25" t="n">
        <x:f>G512*M512</x:f>
        <x:v>1.6014</x:v>
      </x:c>
      <x:c r="Q512" s="25" t="n">
        <x:f>K512*M512+N512</x:f>
        <x:v>1.6014</x:v>
      </x:c>
      <x:c r="R512" s="18" t="n">
        <x:f>K512-G512</x:f>
        <x:v>0</x:v>
      </x:c>
      <x:c r="S512" s="18" t="n">
        <x:f>INDEX('Dated offers'!$H$7:$H$305,MATCH($Z512,'Dated offers'!$A$7:$A$305,0))</x:f>
        <x:v>85136</x:v>
      </x:c>
      <x:c r="T512" s="2" t="str">
        <x:f>IF(K512&lt;G512,"Order below requirement",IF(K512&lt;L512,"Below price tier",IF(ISNUMBER(S512),IF(K512&gt;S512,"Quantity exceeds snapshot","Within quantity snapshot"),"Stock not stated")))</x:f>
        <x:v>Within quantity snapshot</x:v>
      </x:c>
      <x:c r="U512" s="2" t="str">
        <x:f>INDEX('Dated offers'!$C$7:$C$305,MATCH($Z512,'Dated offers'!$A$7:$A$305,0))</x:f>
        <x:v>DigiKey</x:v>
      </x:c>
      <x:c r="V512" s="2" t="str">
        <x:f>INDEX('Dated offers'!$D$7:$D$305,MATCH($Z512,'Dated offers'!$A$7:$A$305,0))</x:f>
        <x:v>Not stated</x:v>
      </x:c>
      <x:c r="W512" s="24" t="n">
        <x:f>INDEX('Dated offers'!$E$7:$E$305,MATCH($Z512,'Dated offers'!$A$7:$A$305,0))</x:f>
        <x:v>46307.478072604164</x:v>
      </x:c>
      <x:c r="X512" s="2" t="b">
        <x:f>INDEX('Dated offers'!$N$7:$N$305,MATCH($Z512,'Dated offers'!$A$7:$A$305,0))</x:f>
        <x:v>0</x:v>
      </x:c>
      <x:c r="Y512" s="2" t="str">
        <x:f>INDEX('Dated offers'!$O$7:$O$305,MATCH($Z512,'Dated offers'!$A$7:$A$305,0))</x:f>
        <x:v>Unreserved inventory snapshot</x:v>
      </x:c>
      <x:c r="Z512" s="17" t="str">
        <x:v>OF0193</x:v>
      </x:c>
      <x:c r="AA512" s="2"/>
      <x:c r="AB512" s="2" t="str">
        <x:f>INDEX('Dated offers'!$Q$7:$Q$305,MATCH($Z512,'Dated offers'!$A$7:$A$305,0))</x:f>
        <x:v>https://www.digikey.com/en/products/detail/vishay-dale/CRCW0402150RFKED/1177911</x:v>
      </x:c>
    </x:row>
    <x:row r="513" ht="24" customHeight="1">
      <x:c r="A513" s="2" t="str">
        <x:v>100 boards / 2% planning</x:v>
      </x:c>
      <x:c r="B513" s="17" t="str">
        <x:v>CRCW040215K0FKED</x:v>
      </x:c>
      <x:c r="C513" s="18" t="n">
        <x:v>100</x:v>
      </x:c>
      <x:c r="D513" s="27" t="n">
        <x:v>0.02</x:v>
      </x:c>
      <x:c r="E513" s="18" t="n">
        <x:f>INDEX('Assembly BOM'!$C$7:$C$162,MATCH($B513,'Assembly BOM'!$A$7:$A$162,0))</x:f>
        <x:v>1</x:v>
      </x:c>
      <x:c r="F513" s="18" t="n">
        <x:f>C513*E513</x:f>
        <x:v>100</x:v>
      </x:c>
      <x:c r="G513" s="18" t="n">
        <x:f>ROUNDUP(F513*(1+D513),0)</x:f>
        <x:v>102</x:v>
      </x:c>
      <x:c r="H513" s="18" t="n">
        <x:f>INDEX('Dated offers'!$F$7:$F$305,MATCH($Z513,'Dated offers'!$A$7:$A$305,0))</x:f>
        <x:v>1</x:v>
      </x:c>
      <x:c r="I513" s="18" t="n">
        <x:f>INDEX('Dated offers'!$G$7:$G$305,MATCH($Z513,'Dated offers'!$A$7:$A$305,0))</x:f>
        <x:v>1</x:v>
      </x:c>
      <x:c r="J513" s="18" t="n">
        <x:f>CEILING(MAX(G513,H513),I513)</x:f>
        <x:v>102</x:v>
      </x:c>
      <x:c r="K513" s="18" t="n">
        <x:v>102</x:v>
      </x:c>
      <x:c r="L513" s="18" t="n">
        <x:f>INDEX('Dated offers'!$I$7:$I$305,MATCH($Z513,'Dated offers'!$A$7:$A$305,0))</x:f>
        <x:v>100</x:v>
      </x:c>
      <x:c r="M513" s="25" t="n">
        <x:f>INDEX('Dated offers'!$J$7:$J$305,MATCH($Z513,'Dated offers'!$A$7:$A$305,0))</x:f>
        <x:v>0.0157</x:v>
      </x:c>
      <x:c r="N513" s="25" t="n">
        <x:f>INDEX('Dated offers'!$K$7:$K$305,MATCH($Z513,'Dated offers'!$A$7:$A$305,0))</x:f>
        <x:v>0</x:v>
      </x:c>
      <x:c r="O513" s="25" t="n">
        <x:f>F513*M513</x:f>
        <x:v>1.5699999999999998</x:v>
      </x:c>
      <x:c r="P513" s="25" t="n">
        <x:f>G513*M513</x:f>
        <x:v>1.6014</x:v>
      </x:c>
      <x:c r="Q513" s="25" t="n">
        <x:f>K513*M513+N513</x:f>
        <x:v>1.6014</x:v>
      </x:c>
      <x:c r="R513" s="18" t="n">
        <x:f>K513-G513</x:f>
        <x:v>0</x:v>
      </x:c>
      <x:c r="S513" s="18" t="n">
        <x:f>INDEX('Dated offers'!$H$7:$H$305,MATCH($Z513,'Dated offers'!$A$7:$A$305,0))</x:f>
        <x:v>515721</x:v>
      </x:c>
      <x:c r="T513" s="2" t="str">
        <x:f>IF(K513&lt;G513,"Order below requirement",IF(K513&lt;L513,"Below price tier",IF(ISNUMBER(S513),IF(K513&gt;S513,"Quantity exceeds snapshot","Within quantity snapshot"),"Stock not stated")))</x:f>
        <x:v>Within quantity snapshot</x:v>
      </x:c>
      <x:c r="U513" s="2" t="str">
        <x:f>INDEX('Dated offers'!$C$7:$C$305,MATCH($Z513,'Dated offers'!$A$7:$A$305,0))</x:f>
        <x:v>DigiKey</x:v>
      </x:c>
      <x:c r="V513" s="2" t="str">
        <x:f>INDEX('Dated offers'!$D$7:$D$305,MATCH($Z513,'Dated offers'!$A$7:$A$305,0))</x:f>
        <x:v>Not stated</x:v>
      </x:c>
      <x:c r="W513" s="24" t="n">
        <x:f>INDEX('Dated offers'!$E$7:$E$305,MATCH($Z513,'Dated offers'!$A$7:$A$305,0))</x:f>
        <x:v>46307.478072604164</x:v>
      </x:c>
      <x:c r="X513" s="2" t="b">
        <x:f>INDEX('Dated offers'!$N$7:$N$305,MATCH($Z513,'Dated offers'!$A$7:$A$305,0))</x:f>
        <x:v>0</x:v>
      </x:c>
      <x:c r="Y513" s="2" t="str">
        <x:f>INDEX('Dated offers'!$O$7:$O$305,MATCH($Z513,'Dated offers'!$A$7:$A$305,0))</x:f>
        <x:v>Unreserved inventory snapshot</x:v>
      </x:c>
      <x:c r="Z513" s="17" t="str">
        <x:v>OF0194</x:v>
      </x:c>
      <x:c r="AA513" s="2"/>
      <x:c r="AB513" s="2" t="str">
        <x:f>INDEX('Dated offers'!$Q$7:$Q$305,MATCH($Z513,'Dated offers'!$A$7:$A$305,0))</x:f>
        <x:v>https://www.digikey.com/en/products/detail/vishay-dale/CRCW040215K0FKED/1178139</x:v>
      </x:c>
    </x:row>
    <x:row r="514" ht="24" customHeight="1">
      <x:c r="A514" s="2" t="str">
        <x:v>100 boards / 2% planning</x:v>
      </x:c>
      <x:c r="B514" s="17" t="str">
        <x:v>CRCW040218K2FKED</x:v>
      </x:c>
      <x:c r="C514" s="18" t="n">
        <x:v>100</x:v>
      </x:c>
      <x:c r="D514" s="27" t="n">
        <x:v>0.02</x:v>
      </x:c>
      <x:c r="E514" s="18" t="n">
        <x:f>INDEX('Assembly BOM'!$C$7:$C$162,MATCH($B514,'Assembly BOM'!$A$7:$A$162,0))</x:f>
        <x:v>2</x:v>
      </x:c>
      <x:c r="F514" s="18" t="n">
        <x:f>C514*E514</x:f>
        <x:v>200</x:v>
      </x:c>
      <x:c r="G514" s="18" t="n">
        <x:f>ROUNDUP(F514*(1+D514),0)</x:f>
        <x:v>204</x:v>
      </x:c>
      <x:c r="H514" s="18" t="n">
        <x:f>INDEX('Dated offers'!$F$7:$F$305,MATCH($Z514,'Dated offers'!$A$7:$A$305,0))</x:f>
        <x:v>1</x:v>
      </x:c>
      <x:c r="I514" s="18" t="n">
        <x:f>INDEX('Dated offers'!$G$7:$G$305,MATCH($Z514,'Dated offers'!$A$7:$A$305,0))</x:f>
        <x:v>1</x:v>
      </x:c>
      <x:c r="J514" s="18" t="n">
        <x:f>CEILING(MAX(G514,H514),I514)</x:f>
        <x:v>204</x:v>
      </x:c>
      <x:c r="K514" s="18" t="n">
        <x:v>250</x:v>
      </x:c>
      <x:c r="L514" s="18" t="n">
        <x:f>INDEX('Dated offers'!$I$7:$I$305,MATCH($Z514,'Dated offers'!$A$7:$A$305,0))</x:f>
        <x:v>250</x:v>
      </x:c>
      <x:c r="M514" s="25" t="n">
        <x:f>INDEX('Dated offers'!$J$7:$J$305,MATCH($Z514,'Dated offers'!$A$7:$A$305,0))</x:f>
        <x:v>0.01228</x:v>
      </x:c>
      <x:c r="N514" s="25" t="n">
        <x:f>INDEX('Dated offers'!$K$7:$K$305,MATCH($Z514,'Dated offers'!$A$7:$A$305,0))</x:f>
        <x:v>0</x:v>
      </x:c>
      <x:c r="O514" s="25" t="n">
        <x:f>F514*M514</x:f>
        <x:v>2.456</x:v>
      </x:c>
      <x:c r="P514" s="25" t="n">
        <x:f>G514*M514</x:f>
        <x:v>2.50512</x:v>
      </x:c>
      <x:c r="Q514" s="25" t="n">
        <x:f>K514*M514+N514</x:f>
        <x:v>3.07</x:v>
      </x:c>
      <x:c r="R514" s="18" t="n">
        <x:f>K514-G514</x:f>
        <x:v>46</x:v>
      </x:c>
      <x:c r="S514" s="18" t="n">
        <x:f>INDEX('Dated offers'!$H$7:$H$305,MATCH($Z514,'Dated offers'!$A$7:$A$305,0))</x:f>
        <x:v>140682</x:v>
      </x:c>
      <x:c r="T514" s="2" t="str">
        <x:f>IF(K514&lt;G514,"Order below requirement",IF(K514&lt;L514,"Below price tier",IF(ISNUMBER(S514),IF(K514&gt;S514,"Quantity exceeds snapshot","Within quantity snapshot"),"Stock not stated")))</x:f>
        <x:v>Within quantity snapshot</x:v>
      </x:c>
      <x:c r="U514" s="2" t="str">
        <x:f>INDEX('Dated offers'!$C$7:$C$305,MATCH($Z514,'Dated offers'!$A$7:$A$305,0))</x:f>
        <x:v>DigiKey</x:v>
      </x:c>
      <x:c r="V514" s="2" t="str">
        <x:f>INDEX('Dated offers'!$D$7:$D$305,MATCH($Z514,'Dated offers'!$A$7:$A$305,0))</x:f>
        <x:v>Not stated</x:v>
      </x:c>
      <x:c r="W514" s="24" t="n">
        <x:f>INDEX('Dated offers'!$E$7:$E$305,MATCH($Z514,'Dated offers'!$A$7:$A$305,0))</x:f>
        <x:v>46307.478072604164</x:v>
      </x:c>
      <x:c r="X514" s="2" t="b">
        <x:f>INDEX('Dated offers'!$N$7:$N$305,MATCH($Z514,'Dated offers'!$A$7:$A$305,0))</x:f>
        <x:v>0</x:v>
      </x:c>
      <x:c r="Y514" s="2" t="str">
        <x:f>INDEX('Dated offers'!$O$7:$O$305,MATCH($Z514,'Dated offers'!$A$7:$A$305,0))</x:f>
        <x:v>Unreserved inventory snapshot</x:v>
      </x:c>
      <x:c r="Z514" s="17" t="str">
        <x:v>OF0195</x:v>
      </x:c>
      <x:c r="AA514" s="2"/>
      <x:c r="AB514" s="2" t="str">
        <x:f>INDEX('Dated offers'!$Q$7:$Q$305,MATCH($Z514,'Dated offers'!$A$7:$A$305,0))</x:f>
        <x:v>https://www.digikey.com/en/products/detail/vishay-dale/CRCW040218K2FKED/1183265</x:v>
      </x:c>
    </x:row>
    <x:row r="515" ht="24" customHeight="1">
      <x:c r="A515" s="2" t="str">
        <x:v>100 boards / 2% planning</x:v>
      </x:c>
      <x:c r="B515" s="17" t="str">
        <x:v>CRCW04021K00FKED</x:v>
      </x:c>
      <x:c r="C515" s="18" t="n">
        <x:v>100</x:v>
      </x:c>
      <x:c r="D515" s="27" t="n">
        <x:v>0.02</x:v>
      </x:c>
      <x:c r="E515" s="18" t="n">
        <x:f>INDEX('Assembly BOM'!$C$7:$C$162,MATCH($B515,'Assembly BOM'!$A$7:$A$162,0))</x:f>
        <x:v>11</x:v>
      </x:c>
      <x:c r="F515" s="18" t="n">
        <x:f>C515*E515</x:f>
        <x:v>1100</x:v>
      </x:c>
      <x:c r="G515" s="18" t="n">
        <x:f>ROUNDUP(F515*(1+D515),0)</x:f>
        <x:v>1122</x:v>
      </x:c>
      <x:c r="H515" s="18" t="n">
        <x:f>INDEX('Dated offers'!$F$7:$F$305,MATCH($Z515,'Dated offers'!$A$7:$A$305,0))</x:f>
        <x:v>1</x:v>
      </x:c>
      <x:c r="I515" s="18" t="n">
        <x:f>INDEX('Dated offers'!$G$7:$G$305,MATCH($Z515,'Dated offers'!$A$7:$A$305,0))</x:f>
        <x:v>1</x:v>
      </x:c>
      <x:c r="J515" s="18" t="n">
        <x:f>CEILING(MAX(G515,H515),I515)</x:f>
        <x:v>1122</x:v>
      </x:c>
      <x:c r="K515" s="18" t="n">
        <x:v>1122</x:v>
      </x:c>
      <x:c r="L515" s="18" t="n">
        <x:f>INDEX('Dated offers'!$I$7:$I$305,MATCH($Z515,'Dated offers'!$A$7:$A$305,0))</x:f>
        <x:v>1000</x:v>
      </x:c>
      <x:c r="M515" s="25" t="n">
        <x:f>INDEX('Dated offers'!$J$7:$J$305,MATCH($Z515,'Dated offers'!$A$7:$A$305,0))</x:f>
        <x:v>0.00882</x:v>
      </x:c>
      <x:c r="N515" s="25" t="n">
        <x:f>INDEX('Dated offers'!$K$7:$K$305,MATCH($Z515,'Dated offers'!$A$7:$A$305,0))</x:f>
        <x:v>0</x:v>
      </x:c>
      <x:c r="O515" s="25" t="n">
        <x:f>F515*M515</x:f>
        <x:v>9.702</x:v>
      </x:c>
      <x:c r="P515" s="25" t="n">
        <x:f>G515*M515</x:f>
        <x:v>9.89604</x:v>
      </x:c>
      <x:c r="Q515" s="25" t="n">
        <x:f>K515*M515+N515</x:f>
        <x:v>9.89604</x:v>
      </x:c>
      <x:c r="R515" s="18" t="n">
        <x:f>K515-G515</x:f>
        <x:v>0</x:v>
      </x:c>
      <x:c r="S515" s="18" t="n">
        <x:f>INDEX('Dated offers'!$H$7:$H$305,MATCH($Z515,'Dated offers'!$A$7:$A$305,0))</x:f>
        <x:v>4776908</x:v>
      </x:c>
      <x:c r="T515" s="2" t="str">
        <x:f>IF(K515&lt;G515,"Order below requirement",IF(K515&lt;L515,"Below price tier",IF(ISNUMBER(S515),IF(K515&gt;S515,"Quantity exceeds snapshot","Within quantity snapshot"),"Stock not stated")))</x:f>
        <x:v>Within quantity snapshot</x:v>
      </x:c>
      <x:c r="U515" s="2" t="str">
        <x:f>INDEX('Dated offers'!$C$7:$C$305,MATCH($Z515,'Dated offers'!$A$7:$A$305,0))</x:f>
        <x:v>DigiKey</x:v>
      </x:c>
      <x:c r="V515" s="2" t="str">
        <x:f>INDEX('Dated offers'!$D$7:$D$305,MATCH($Z515,'Dated offers'!$A$7:$A$305,0))</x:f>
        <x:v>Not stated</x:v>
      </x:c>
      <x:c r="W515" s="24" t="n">
        <x:f>INDEX('Dated offers'!$E$7:$E$305,MATCH($Z515,'Dated offers'!$A$7:$A$305,0))</x:f>
        <x:v>46307.47807265046</x:v>
      </x:c>
      <x:c r="X515" s="2" t="b">
        <x:f>INDEX('Dated offers'!$N$7:$N$305,MATCH($Z515,'Dated offers'!$A$7:$A$305,0))</x:f>
        <x:v>0</x:v>
      </x:c>
      <x:c r="Y515" s="2" t="str">
        <x:f>INDEX('Dated offers'!$O$7:$O$305,MATCH($Z515,'Dated offers'!$A$7:$A$305,0))</x:f>
        <x:v>Unreserved inventory snapshot</x:v>
      </x:c>
      <x:c r="Z515" s="17" t="str">
        <x:v>OF0196</x:v>
      </x:c>
      <x:c r="AA515" s="2"/>
      <x:c r="AB515" s="2" t="str">
        <x:f>INDEX('Dated offers'!$Q$7:$Q$305,MATCH($Z515,'Dated offers'!$A$7:$A$305,0))</x:f>
        <x:v>https://www.digikey.com/en/products/detail/vishay-dale/CRCW04021K00FKED/1178007</x:v>
      </x:c>
    </x:row>
    <x:row r="516" ht="24" customHeight="1">
      <x:c r="A516" s="2" t="str">
        <x:v>100 boards / 2% planning</x:v>
      </x:c>
      <x:c r="B516" s="17" t="str">
        <x:v>CRCW04021M00FKED</x:v>
      </x:c>
      <x:c r="C516" s="18" t="n">
        <x:v>100</x:v>
      </x:c>
      <x:c r="D516" s="27" t="n">
        <x:v>0.02</x:v>
      </x:c>
      <x:c r="E516" s="18" t="n">
        <x:f>INDEX('Assembly BOM'!$C$7:$C$162,MATCH($B516,'Assembly BOM'!$A$7:$A$162,0))</x:f>
        <x:v>2</x:v>
      </x:c>
      <x:c r="F516" s="18" t="n">
        <x:f>C516*E516</x:f>
        <x:v>200</x:v>
      </x:c>
      <x:c r="G516" s="18" t="n">
        <x:f>ROUNDUP(F516*(1+D516),0)</x:f>
        <x:v>204</x:v>
      </x:c>
      <x:c r="H516" s="18" t="n">
        <x:f>INDEX('Dated offers'!$F$7:$F$305,MATCH($Z516,'Dated offers'!$A$7:$A$305,0))</x:f>
        <x:v>1</x:v>
      </x:c>
      <x:c r="I516" s="18" t="n">
        <x:f>INDEX('Dated offers'!$G$7:$G$305,MATCH($Z516,'Dated offers'!$A$7:$A$305,0))</x:f>
        <x:v>1</x:v>
      </x:c>
      <x:c r="J516" s="18" t="n">
        <x:f>CEILING(MAX(G516,H516),I516)</x:f>
        <x:v>204</x:v>
      </x:c>
      <x:c r="K516" s="18" t="n">
        <x:v>250</x:v>
      </x:c>
      <x:c r="L516" s="18" t="n">
        <x:f>INDEX('Dated offers'!$I$7:$I$305,MATCH($Z516,'Dated offers'!$A$7:$A$305,0))</x:f>
        <x:v>250</x:v>
      </x:c>
      <x:c r="M516" s="25" t="n">
        <x:f>INDEX('Dated offers'!$J$7:$J$305,MATCH($Z516,'Dated offers'!$A$7:$A$305,0))</x:f>
        <x:v>0.01228</x:v>
      </x:c>
      <x:c r="N516" s="25" t="n">
        <x:f>INDEX('Dated offers'!$K$7:$K$305,MATCH($Z516,'Dated offers'!$A$7:$A$305,0))</x:f>
        <x:v>0</x:v>
      </x:c>
      <x:c r="O516" s="25" t="n">
        <x:f>F516*M516</x:f>
        <x:v>2.456</x:v>
      </x:c>
      <x:c r="P516" s="25" t="n">
        <x:f>G516*M516</x:f>
        <x:v>2.50512</x:v>
      </x:c>
      <x:c r="Q516" s="25" t="n">
        <x:f>K516*M516+N516</x:f>
        <x:v>3.07</x:v>
      </x:c>
      <x:c r="R516" s="18" t="n">
        <x:f>K516-G516</x:f>
        <x:v>46</x:v>
      </x:c>
      <x:c r="S516" s="18" t="n">
        <x:f>INDEX('Dated offers'!$H$7:$H$305,MATCH($Z516,'Dated offers'!$A$7:$A$305,0))</x:f>
        <x:v>1403164</x:v>
      </x:c>
      <x:c r="T516" s="2" t="str">
        <x:f>IF(K516&lt;G516,"Order below requirement",IF(K516&lt;L516,"Below price tier",IF(ISNUMBER(S516),IF(K516&gt;S516,"Quantity exceeds snapshot","Within quantity snapshot"),"Stock not stated")))</x:f>
        <x:v>Within quantity snapshot</x:v>
      </x:c>
      <x:c r="U516" s="2" t="str">
        <x:f>INDEX('Dated offers'!$C$7:$C$305,MATCH($Z516,'Dated offers'!$A$7:$A$305,0))</x:f>
        <x:v>DigiKey</x:v>
      </x:c>
      <x:c r="V516" s="2" t="str">
        <x:f>INDEX('Dated offers'!$D$7:$D$305,MATCH($Z516,'Dated offers'!$A$7:$A$305,0))</x:f>
        <x:v>Not stated</x:v>
      </x:c>
      <x:c r="W516" s="24" t="n">
        <x:f>INDEX('Dated offers'!$E$7:$E$305,MATCH($Z516,'Dated offers'!$A$7:$A$305,0))</x:f>
        <x:v>46307.47807265046</x:v>
      </x:c>
      <x:c r="X516" s="2" t="b">
        <x:f>INDEX('Dated offers'!$N$7:$N$305,MATCH($Z516,'Dated offers'!$A$7:$A$305,0))</x:f>
        <x:v>0</x:v>
      </x:c>
      <x:c r="Y516" s="2" t="str">
        <x:f>INDEX('Dated offers'!$O$7:$O$305,MATCH($Z516,'Dated offers'!$A$7:$A$305,0))</x:f>
        <x:v>Unreserved inventory snapshot</x:v>
      </x:c>
      <x:c r="Z516" s="17" t="str">
        <x:v>OF0197</x:v>
      </x:c>
      <x:c r="AA516" s="2"/>
      <x:c r="AB516" s="2" t="str">
        <x:f>INDEX('Dated offers'!$Q$7:$Q$305,MATCH($Z516,'Dated offers'!$A$7:$A$305,0))</x:f>
        <x:v>https://www.digikey.com/en/products/detail/vishay-dale/CRCW04021M00FKED/1183465</x:v>
      </x:c>
    </x:row>
    <x:row r="517" ht="24" customHeight="1">
      <x:c r="A517" s="2" t="str">
        <x:v>100 boards / 2% planning</x:v>
      </x:c>
      <x:c r="B517" s="17" t="str">
        <x:v>CRCW040220K0FKED</x:v>
      </x:c>
      <x:c r="C517" s="18" t="n">
        <x:v>100</x:v>
      </x:c>
      <x:c r="D517" s="27" t="n">
        <x:v>0.02</x:v>
      </x:c>
      <x:c r="E517" s="18" t="n">
        <x:f>INDEX('Assembly BOM'!$C$7:$C$162,MATCH($B517,'Assembly BOM'!$A$7:$A$162,0))</x:f>
        <x:v>3</x:v>
      </x:c>
      <x:c r="F517" s="18" t="n">
        <x:f>C517*E517</x:f>
        <x:v>300</x:v>
      </x:c>
      <x:c r="G517" s="18" t="n">
        <x:f>ROUNDUP(F517*(1+D517),0)</x:f>
        <x:v>306</x:v>
      </x:c>
      <x:c r="H517" s="18" t="n">
        <x:f>INDEX('Dated offers'!$F$7:$F$305,MATCH($Z517,'Dated offers'!$A$7:$A$305,0))</x:f>
        <x:v>1</x:v>
      </x:c>
      <x:c r="I517" s="18" t="n">
        <x:f>INDEX('Dated offers'!$G$7:$G$305,MATCH($Z517,'Dated offers'!$A$7:$A$305,0))</x:f>
        <x:v>1</x:v>
      </x:c>
      <x:c r="J517" s="18" t="n">
        <x:f>CEILING(MAX(G517,H517),I517)</x:f>
        <x:v>306</x:v>
      </x:c>
      <x:c r="K517" s="18" t="n">
        <x:v>306</x:v>
      </x:c>
      <x:c r="L517" s="18" t="n">
        <x:f>INDEX('Dated offers'!$I$7:$I$305,MATCH($Z517,'Dated offers'!$A$7:$A$305,0))</x:f>
        <x:v>250</x:v>
      </x:c>
      <x:c r="M517" s="25" t="n">
        <x:f>INDEX('Dated offers'!$J$7:$J$305,MATCH($Z517,'Dated offers'!$A$7:$A$305,0))</x:f>
        <x:v>0.01228</x:v>
      </x:c>
      <x:c r="N517" s="25" t="n">
        <x:f>INDEX('Dated offers'!$K$7:$K$305,MATCH($Z517,'Dated offers'!$A$7:$A$305,0))</x:f>
        <x:v>0</x:v>
      </x:c>
      <x:c r="O517" s="25" t="n">
        <x:f>F517*M517</x:f>
        <x:v>3.6839999999999997</x:v>
      </x:c>
      <x:c r="P517" s="25" t="n">
        <x:f>G517*M517</x:f>
        <x:v>3.7576799999999997</x:v>
      </x:c>
      <x:c r="Q517" s="25" t="n">
        <x:f>K517*M517+N517</x:f>
        <x:v>3.7576799999999997</x:v>
      </x:c>
      <x:c r="R517" s="18" t="n">
        <x:f>K517-G517</x:f>
        <x:v>0</x:v>
      </x:c>
      <x:c r="S517" s="18" t="n">
        <x:f>INDEX('Dated offers'!$H$7:$H$305,MATCH($Z517,'Dated offers'!$A$7:$A$305,0))</x:f>
        <x:v>878975</x:v>
      </x:c>
      <x:c r="T517" s="2" t="str">
        <x:f>IF(K517&lt;G517,"Order below requirement",IF(K517&lt;L517,"Below price tier",IF(ISNUMBER(S517),IF(K517&gt;S517,"Quantity exceeds snapshot","Within quantity snapshot"),"Stock not stated")))</x:f>
        <x:v>Within quantity snapshot</x:v>
      </x:c>
      <x:c r="U517" s="2" t="str">
        <x:f>INDEX('Dated offers'!$C$7:$C$305,MATCH($Z517,'Dated offers'!$A$7:$A$305,0))</x:f>
        <x:v>DigiKey</x:v>
      </x:c>
      <x:c r="V517" s="2" t="str">
        <x:f>INDEX('Dated offers'!$D$7:$D$305,MATCH($Z517,'Dated offers'!$A$7:$A$305,0))</x:f>
        <x:v>Not stated</x:v>
      </x:c>
      <x:c r="W517" s="24" t="n">
        <x:f>INDEX('Dated offers'!$E$7:$E$305,MATCH($Z517,'Dated offers'!$A$7:$A$305,0))</x:f>
        <x:v>46307.47807265046</x:v>
      </x:c>
      <x:c r="X517" s="2" t="b">
        <x:f>INDEX('Dated offers'!$N$7:$N$305,MATCH($Z517,'Dated offers'!$A$7:$A$305,0))</x:f>
        <x:v>0</x:v>
      </x:c>
      <x:c r="Y517" s="2" t="str">
        <x:f>INDEX('Dated offers'!$O$7:$O$305,MATCH($Z517,'Dated offers'!$A$7:$A$305,0))</x:f>
        <x:v>Unreserved inventory snapshot</x:v>
      </x:c>
      <x:c r="Z517" s="17" t="str">
        <x:v>OF0198</x:v>
      </x:c>
      <x:c r="AA517" s="2"/>
      <x:c r="AB517" s="2" t="str">
        <x:f>INDEX('Dated offers'!$Q$7:$Q$305,MATCH($Z517,'Dated offers'!$A$7:$A$305,0))</x:f>
        <x:v>https://www.digikey.com/en/products/detail/vishay-dale/CRCW040220K0FKED/1178153</x:v>
      </x:c>
    </x:row>
    <x:row r="518" ht="24" customHeight="1">
      <x:c r="A518" s="2" t="str">
        <x:v>100 boards / 2% planning</x:v>
      </x:c>
      <x:c r="B518" s="17" t="str">
        <x:v>CRCW040222R0FKED</x:v>
      </x:c>
      <x:c r="C518" s="18" t="n">
        <x:v>100</x:v>
      </x:c>
      <x:c r="D518" s="27" t="n">
        <x:v>0.02</x:v>
      </x:c>
      <x:c r="E518" s="18" t="n">
        <x:f>INDEX('Assembly BOM'!$C$7:$C$162,MATCH($B518,'Assembly BOM'!$A$7:$A$162,0))</x:f>
        <x:v>9</x:v>
      </x:c>
      <x:c r="F518" s="18" t="n">
        <x:f>C518*E518</x:f>
        <x:v>900</x:v>
      </x:c>
      <x:c r="G518" s="18" t="n">
        <x:f>ROUNDUP(F518*(1+D518),0)</x:f>
        <x:v>918</x:v>
      </x:c>
      <x:c r="H518" s="18" t="n">
        <x:f>INDEX('Dated offers'!$F$7:$F$305,MATCH($Z518,'Dated offers'!$A$7:$A$305,0))</x:f>
        <x:v>1</x:v>
      </x:c>
      <x:c r="I518" s="18" t="n">
        <x:f>INDEX('Dated offers'!$G$7:$G$305,MATCH($Z518,'Dated offers'!$A$7:$A$305,0))</x:f>
        <x:v>1</x:v>
      </x:c>
      <x:c r="J518" s="18" t="n">
        <x:f>CEILING(MAX(G518,H518),I518)</x:f>
        <x:v>918</x:v>
      </x:c>
      <x:c r="K518" s="18" t="n">
        <x:v>1000</x:v>
      </x:c>
      <x:c r="L518" s="18" t="n">
        <x:f>INDEX('Dated offers'!$I$7:$I$305,MATCH($Z518,'Dated offers'!$A$7:$A$305,0))</x:f>
        <x:v>1000</x:v>
      </x:c>
      <x:c r="M518" s="25" t="n">
        <x:f>INDEX('Dated offers'!$J$7:$J$305,MATCH($Z518,'Dated offers'!$A$7:$A$305,0))</x:f>
        <x:v>0.00882</x:v>
      </x:c>
      <x:c r="N518" s="25" t="n">
        <x:f>INDEX('Dated offers'!$K$7:$K$305,MATCH($Z518,'Dated offers'!$A$7:$A$305,0))</x:f>
        <x:v>0</x:v>
      </x:c>
      <x:c r="O518" s="25" t="n">
        <x:f>F518*M518</x:f>
        <x:v>7.938</x:v>
      </x:c>
      <x:c r="P518" s="25" t="n">
        <x:f>G518*M518</x:f>
        <x:v>8.09676</x:v>
      </x:c>
      <x:c r="Q518" s="25" t="n">
        <x:f>K518*M518+N518</x:f>
        <x:v>8.82</x:v>
      </x:c>
      <x:c r="R518" s="18" t="n">
        <x:f>K518-G518</x:f>
        <x:v>82</x:v>
      </x:c>
      <x:c r="S518" s="18" t="n">
        <x:f>INDEX('Dated offers'!$H$7:$H$305,MATCH($Z518,'Dated offers'!$A$7:$A$305,0))</x:f>
        <x:v>1344218</x:v>
      </x:c>
      <x:c r="T518" s="2" t="str">
        <x:f>IF(K518&lt;G518,"Order below requirement",IF(K518&lt;L518,"Below price tier",IF(ISNUMBER(S518),IF(K518&gt;S518,"Quantity exceeds snapshot","Within quantity snapshot"),"Stock not stated")))</x:f>
        <x:v>Within quantity snapshot</x:v>
      </x:c>
      <x:c r="U518" s="2" t="str">
        <x:f>INDEX('Dated offers'!$C$7:$C$305,MATCH($Z518,'Dated offers'!$A$7:$A$305,0))</x:f>
        <x:v>DigiKey</x:v>
      </x:c>
      <x:c r="V518" s="2" t="str">
        <x:f>INDEX('Dated offers'!$D$7:$D$305,MATCH($Z518,'Dated offers'!$A$7:$A$305,0))</x:f>
        <x:v>Not stated</x:v>
      </x:c>
      <x:c r="W518" s="24" t="n">
        <x:f>INDEX('Dated offers'!$E$7:$E$305,MATCH($Z518,'Dated offers'!$A$7:$A$305,0))</x:f>
        <x:v>46307.47807265046</x:v>
      </x:c>
      <x:c r="X518" s="2" t="b">
        <x:f>INDEX('Dated offers'!$N$7:$N$305,MATCH($Z518,'Dated offers'!$A$7:$A$305,0))</x:f>
        <x:v>0</x:v>
      </x:c>
      <x:c r="Y518" s="2" t="str">
        <x:f>INDEX('Dated offers'!$O$7:$O$305,MATCH($Z518,'Dated offers'!$A$7:$A$305,0))</x:f>
        <x:v>Unreserved inventory snapshot</x:v>
      </x:c>
      <x:c r="Z518" s="17" t="str">
        <x:v>OF0199</x:v>
      </x:c>
      <x:c r="AA518" s="2"/>
      <x:c r="AB518" s="2" t="str">
        <x:f>INDEX('Dated offers'!$Q$7:$Q$305,MATCH($Z518,'Dated offers'!$A$7:$A$305,0))</x:f>
        <x:v>https://www.digikey.com/en/products/detail/vishay-dale/CRCW040222R0FKED/1177815</x:v>
      </x:c>
    </x:row>
    <x:row r="519" ht="24" customHeight="1">
      <x:c r="A519" s="2" t="str">
        <x:v>100 boards / 2% planning</x:v>
      </x:c>
      <x:c r="B519" s="17" t="str">
        <x:v>CRCW04022K49FKED</x:v>
      </x:c>
      <x:c r="C519" s="18" t="n">
        <x:v>100</x:v>
      </x:c>
      <x:c r="D519" s="27" t="n">
        <x:v>0.02</x:v>
      </x:c>
      <x:c r="E519" s="18" t="n">
        <x:f>INDEX('Assembly BOM'!$C$7:$C$162,MATCH($B519,'Assembly BOM'!$A$7:$A$162,0))</x:f>
        <x:v>3</x:v>
      </x:c>
      <x:c r="F519" s="18" t="n">
        <x:f>C519*E519</x:f>
        <x:v>300</x:v>
      </x:c>
      <x:c r="G519" s="18" t="n">
        <x:f>ROUNDUP(F519*(1+D519),0)</x:f>
        <x:v>306</x:v>
      </x:c>
      <x:c r="H519" s="18" t="n">
        <x:f>INDEX('Dated offers'!$F$7:$F$305,MATCH($Z519,'Dated offers'!$A$7:$A$305,0))</x:f>
        <x:v>1</x:v>
      </x:c>
      <x:c r="I519" s="18" t="n">
        <x:f>INDEX('Dated offers'!$G$7:$G$305,MATCH($Z519,'Dated offers'!$A$7:$A$305,0))</x:f>
        <x:v>1</x:v>
      </x:c>
      <x:c r="J519" s="18" t="n">
        <x:f>CEILING(MAX(G519,H519),I519)</x:f>
        <x:v>306</x:v>
      </x:c>
      <x:c r="K519" s="18" t="n">
        <x:v>306</x:v>
      </x:c>
      <x:c r="L519" s="18" t="n">
        <x:f>INDEX('Dated offers'!$I$7:$I$305,MATCH($Z519,'Dated offers'!$A$7:$A$305,0))</x:f>
        <x:v>250</x:v>
      </x:c>
      <x:c r="M519" s="25" t="n">
        <x:f>INDEX('Dated offers'!$J$7:$J$305,MATCH($Z519,'Dated offers'!$A$7:$A$305,0))</x:f>
        <x:v>0.01228</x:v>
      </x:c>
      <x:c r="N519" s="25" t="n">
        <x:f>INDEX('Dated offers'!$K$7:$K$305,MATCH($Z519,'Dated offers'!$A$7:$A$305,0))</x:f>
        <x:v>0</x:v>
      </x:c>
      <x:c r="O519" s="25" t="n">
        <x:f>F519*M519</x:f>
        <x:v>3.6839999999999997</x:v>
      </x:c>
      <x:c r="P519" s="25" t="n">
        <x:f>G519*M519</x:f>
        <x:v>3.7576799999999997</x:v>
      </x:c>
      <x:c r="Q519" s="25" t="n">
        <x:f>K519*M519+N519</x:f>
        <x:v>3.7576799999999997</x:v>
      </x:c>
      <x:c r="R519" s="18" t="n">
        <x:f>K519-G519</x:f>
        <x:v>0</x:v>
      </x:c>
      <x:c r="S519" s="18" t="n">
        <x:f>INDEX('Dated offers'!$H$7:$H$305,MATCH($Z519,'Dated offers'!$A$7:$A$305,0))</x:f>
        <x:v>261937</x:v>
      </x:c>
      <x:c r="T519" s="2" t="str">
        <x:f>IF(K519&lt;G519,"Order below requirement",IF(K519&lt;L519,"Below price tier",IF(ISNUMBER(S519),IF(K519&gt;S519,"Quantity exceeds snapshot","Within quantity snapshot"),"Stock not stated")))</x:f>
        <x:v>Within quantity snapshot</x:v>
      </x:c>
      <x:c r="U519" s="2" t="str">
        <x:f>INDEX('Dated offers'!$C$7:$C$305,MATCH($Z519,'Dated offers'!$A$7:$A$305,0))</x:f>
        <x:v>DigiKey</x:v>
      </x:c>
      <x:c r="V519" s="2" t="str">
        <x:f>INDEX('Dated offers'!$D$7:$D$305,MATCH($Z519,'Dated offers'!$A$7:$A$305,0))</x:f>
        <x:v>Not stated</x:v>
      </x:c>
      <x:c r="W519" s="24" t="n">
        <x:f>INDEX('Dated offers'!$E$7:$E$305,MATCH($Z519,'Dated offers'!$A$7:$A$305,0))</x:f>
        <x:v>46307.478072604164</x:v>
      </x:c>
      <x:c r="X519" s="2" t="b">
        <x:f>INDEX('Dated offers'!$N$7:$N$305,MATCH($Z519,'Dated offers'!$A$7:$A$305,0))</x:f>
        <x:v>0</x:v>
      </x:c>
      <x:c r="Y519" s="2" t="str">
        <x:f>INDEX('Dated offers'!$O$7:$O$305,MATCH($Z519,'Dated offers'!$A$7:$A$305,0))</x:f>
        <x:v>Unreserved inventory snapshot</x:v>
      </x:c>
      <x:c r="Z519" s="17" t="str">
        <x:v>OF0200</x:v>
      </x:c>
      <x:c r="AA519" s="2"/>
      <x:c r="AB519" s="2" t="str">
        <x:f>INDEX('Dated offers'!$Q$7:$Q$305,MATCH($Z519,'Dated offers'!$A$7:$A$305,0))</x:f>
        <x:v>https://www.digikey.com/en/products/detail/vishay-dale/CRCW04022K49FKED/1183166</x:v>
      </x:c>
    </x:row>
    <x:row r="520" ht="24" customHeight="1">
      <x:c r="A520" s="2" t="str">
        <x:v>100 boards / 2% planning</x:v>
      </x:c>
      <x:c r="B520" s="17" t="str">
        <x:v>CRCW0402499RFKED</x:v>
      </x:c>
      <x:c r="C520" s="18" t="n">
        <x:v>100</x:v>
      </x:c>
      <x:c r="D520" s="27" t="n">
        <x:v>0.02</x:v>
      </x:c>
      <x:c r="E520" s="18" t="n">
        <x:f>INDEX('Assembly BOM'!$C$7:$C$162,MATCH($B520,'Assembly BOM'!$A$7:$A$162,0))</x:f>
        <x:v>1</x:v>
      </x:c>
      <x:c r="F520" s="18" t="n">
        <x:f>C520*E520</x:f>
        <x:v>100</x:v>
      </x:c>
      <x:c r="G520" s="18" t="n">
        <x:f>ROUNDUP(F520*(1+D520),0)</x:f>
        <x:v>102</x:v>
      </x:c>
      <x:c r="H520" s="18" t="n">
        <x:f>INDEX('Dated offers'!$F$7:$F$305,MATCH($Z520,'Dated offers'!$A$7:$A$305,0))</x:f>
        <x:v>1</x:v>
      </x:c>
      <x:c r="I520" s="18" t="n">
        <x:f>INDEX('Dated offers'!$G$7:$G$305,MATCH($Z520,'Dated offers'!$A$7:$A$305,0))</x:f>
        <x:v>1</x:v>
      </x:c>
      <x:c r="J520" s="18" t="n">
        <x:f>CEILING(MAX(G520,H520),I520)</x:f>
        <x:v>102</x:v>
      </x:c>
      <x:c r="K520" s="18" t="n">
        <x:v>102</x:v>
      </x:c>
      <x:c r="L520" s="18" t="n">
        <x:f>INDEX('Dated offers'!$I$7:$I$305,MATCH($Z520,'Dated offers'!$A$7:$A$305,0))</x:f>
        <x:v>100</x:v>
      </x:c>
      <x:c r="M520" s="25" t="n">
        <x:f>INDEX('Dated offers'!$J$7:$J$305,MATCH($Z520,'Dated offers'!$A$7:$A$305,0))</x:f>
        <x:v>0.0157</x:v>
      </x:c>
      <x:c r="N520" s="25" t="n">
        <x:f>INDEX('Dated offers'!$K$7:$K$305,MATCH($Z520,'Dated offers'!$A$7:$A$305,0))</x:f>
        <x:v>0</x:v>
      </x:c>
      <x:c r="O520" s="25" t="n">
        <x:f>F520*M520</x:f>
        <x:v>1.5699999999999998</x:v>
      </x:c>
      <x:c r="P520" s="25" t="n">
        <x:f>G520*M520</x:f>
        <x:v>1.6014</x:v>
      </x:c>
      <x:c r="Q520" s="25" t="n">
        <x:f>K520*M520+N520</x:f>
        <x:v>1.6014</x:v>
      </x:c>
      <x:c r="R520" s="18" t="n">
        <x:f>K520-G520</x:f>
        <x:v>0</x:v>
      </x:c>
      <x:c r="S520" s="18" t="n">
        <x:f>INDEX('Dated offers'!$H$7:$H$305,MATCH($Z520,'Dated offers'!$A$7:$A$305,0))</x:f>
        <x:v>538356</x:v>
      </x:c>
      <x:c r="T520" s="2" t="str">
        <x:f>IF(K520&lt;G520,"Order below requirement",IF(K520&lt;L520,"Below price tier",IF(ISNUMBER(S520),IF(K520&gt;S520,"Quantity exceeds snapshot","Within quantity snapshot"),"Stock not stated")))</x:f>
        <x:v>Within quantity snapshot</x:v>
      </x:c>
      <x:c r="U520" s="2" t="str">
        <x:f>INDEX('Dated offers'!$C$7:$C$305,MATCH($Z520,'Dated offers'!$A$7:$A$305,0))</x:f>
        <x:v>DigiKey</x:v>
      </x:c>
      <x:c r="V520" s="2" t="str">
        <x:f>INDEX('Dated offers'!$D$7:$D$305,MATCH($Z520,'Dated offers'!$A$7:$A$305,0))</x:f>
        <x:v>Not stated</x:v>
      </x:c>
      <x:c r="W520" s="24" t="n">
        <x:f>INDEX('Dated offers'!$E$7:$E$305,MATCH($Z520,'Dated offers'!$A$7:$A$305,0))</x:f>
        <x:v>46307.478072604164</x:v>
      </x:c>
      <x:c r="X520" s="2" t="b">
        <x:f>INDEX('Dated offers'!$N$7:$N$305,MATCH($Z520,'Dated offers'!$A$7:$A$305,0))</x:f>
        <x:v>0</x:v>
      </x:c>
      <x:c r="Y520" s="2" t="str">
        <x:f>INDEX('Dated offers'!$O$7:$O$305,MATCH($Z520,'Dated offers'!$A$7:$A$305,0))</x:f>
        <x:v>Unreserved inventory snapshot</x:v>
      </x:c>
      <x:c r="Z520" s="17" t="str">
        <x:v>OF0201</x:v>
      </x:c>
      <x:c r="AA520" s="2"/>
      <x:c r="AB520" s="2" t="str">
        <x:f>INDEX('Dated offers'!$Q$7:$Q$305,MATCH($Z520,'Dated offers'!$A$7:$A$305,0))</x:f>
        <x:v>https://www.digikey.com/en/products/detail/vishay-dale/CRCW0402499RFKED/1183088</x:v>
      </x:c>
    </x:row>
    <x:row r="521" ht="24" customHeight="1">
      <x:c r="A521" s="2" t="str">
        <x:v>100 boards / 2% planning</x:v>
      </x:c>
      <x:c r="B521" s="17" t="str">
        <x:v>CRCW04024K70FKED</x:v>
      </x:c>
      <x:c r="C521" s="18" t="n">
        <x:v>100</x:v>
      </x:c>
      <x:c r="D521" s="27" t="n">
        <x:v>0.02</x:v>
      </x:c>
      <x:c r="E521" s="18" t="n">
        <x:f>INDEX('Assembly BOM'!$C$7:$C$162,MATCH($B521,'Assembly BOM'!$A$7:$A$162,0))</x:f>
        <x:v>4</x:v>
      </x:c>
      <x:c r="F521" s="18" t="n">
        <x:f>C521*E521</x:f>
        <x:v>400</x:v>
      </x:c>
      <x:c r="G521" s="18" t="n">
        <x:f>ROUNDUP(F521*(1+D521),0)</x:f>
        <x:v>408</x:v>
      </x:c>
      <x:c r="H521" s="18" t="n">
        <x:f>INDEX('Dated offers'!$F$7:$F$305,MATCH($Z521,'Dated offers'!$A$7:$A$305,0))</x:f>
        <x:v>1</x:v>
      </x:c>
      <x:c r="I521" s="18" t="n">
        <x:f>INDEX('Dated offers'!$G$7:$G$305,MATCH($Z521,'Dated offers'!$A$7:$A$305,0))</x:f>
        <x:v>1</x:v>
      </x:c>
      <x:c r="J521" s="18" t="n">
        <x:f>CEILING(MAX(G521,H521),I521)</x:f>
        <x:v>408</x:v>
      </x:c>
      <x:c r="K521" s="18" t="n">
        <x:v>408</x:v>
      </x:c>
      <x:c r="L521" s="18" t="n">
        <x:f>INDEX('Dated offers'!$I$7:$I$305,MATCH($Z521,'Dated offers'!$A$7:$A$305,0))</x:f>
        <x:v>250</x:v>
      </x:c>
      <x:c r="M521" s="25" t="n">
        <x:f>INDEX('Dated offers'!$J$7:$J$305,MATCH($Z521,'Dated offers'!$A$7:$A$305,0))</x:f>
        <x:v>0.01228</x:v>
      </x:c>
      <x:c r="N521" s="25" t="n">
        <x:f>INDEX('Dated offers'!$K$7:$K$305,MATCH($Z521,'Dated offers'!$A$7:$A$305,0))</x:f>
        <x:v>0</x:v>
      </x:c>
      <x:c r="O521" s="25" t="n">
        <x:f>F521*M521</x:f>
        <x:v>4.912</x:v>
      </x:c>
      <x:c r="P521" s="25" t="n">
        <x:f>G521*M521</x:f>
        <x:v>5.01024</x:v>
      </x:c>
      <x:c r="Q521" s="25" t="n">
        <x:f>K521*M521+N521</x:f>
        <x:v>5.01024</x:v>
      </x:c>
      <x:c r="R521" s="18" t="n">
        <x:f>K521-G521</x:f>
        <x:v>0</x:v>
      </x:c>
      <x:c r="S521" s="18" t="n">
        <x:f>INDEX('Dated offers'!$H$7:$H$305,MATCH($Z521,'Dated offers'!$A$7:$A$305,0))</x:f>
        <x:v>1653620</x:v>
      </x:c>
      <x:c r="T521" s="2" t="str">
        <x:f>IF(K521&lt;G521,"Order below requirement",IF(K521&lt;L521,"Below price tier",IF(ISNUMBER(S521),IF(K521&gt;S521,"Quantity exceeds snapshot","Within quantity snapshot"),"Stock not stated")))</x:f>
        <x:v>Within quantity snapshot</x:v>
      </x:c>
      <x:c r="U521" s="2" t="str">
        <x:f>INDEX('Dated offers'!$C$7:$C$305,MATCH($Z521,'Dated offers'!$A$7:$A$305,0))</x:f>
        <x:v>DigiKey</x:v>
      </x:c>
      <x:c r="V521" s="2" t="str">
        <x:f>INDEX('Dated offers'!$D$7:$D$305,MATCH($Z521,'Dated offers'!$A$7:$A$305,0))</x:f>
        <x:v>Not stated</x:v>
      </x:c>
      <x:c r="W521" s="24" t="n">
        <x:f>INDEX('Dated offers'!$E$7:$E$305,MATCH($Z521,'Dated offers'!$A$7:$A$305,0))</x:f>
        <x:v>46307.47807261574</x:v>
      </x:c>
      <x:c r="X521" s="2" t="b">
        <x:f>INDEX('Dated offers'!$N$7:$N$305,MATCH($Z521,'Dated offers'!$A$7:$A$305,0))</x:f>
        <x:v>0</x:v>
      </x:c>
      <x:c r="Y521" s="2" t="str">
        <x:f>INDEX('Dated offers'!$O$7:$O$305,MATCH($Z521,'Dated offers'!$A$7:$A$305,0))</x:f>
        <x:v>Unreserved inventory snapshot</x:v>
      </x:c>
      <x:c r="Z521" s="17" t="str">
        <x:v>OF0202</x:v>
      </x:c>
      <x:c r="AA521" s="2"/>
      <x:c r="AB521" s="2" t="str">
        <x:f>INDEX('Dated offers'!$Q$7:$Q$305,MATCH($Z521,'Dated offers'!$A$7:$A$305,0))</x:f>
        <x:v>https://www.digikey.com/en/products/detail/vishay-dale/CRCW04024K70FKED/1178083</x:v>
      </x:c>
    </x:row>
    <x:row r="522" ht="24" customHeight="1">
      <x:c r="A522" s="2" t="str">
        <x:v>100 boards / 2% planning</x:v>
      </x:c>
      <x:c r="B522" s="17" t="str">
        <x:v>CRCW0402510RFKED</x:v>
      </x:c>
      <x:c r="C522" s="18" t="n">
        <x:v>100</x:v>
      </x:c>
      <x:c r="D522" s="27" t="n">
        <x:v>0.02</x:v>
      </x:c>
      <x:c r="E522" s="18" t="n">
        <x:f>INDEX('Assembly BOM'!$C$7:$C$162,MATCH($B522,'Assembly BOM'!$A$7:$A$162,0))</x:f>
        <x:v>2</x:v>
      </x:c>
      <x:c r="F522" s="18" t="n">
        <x:f>C522*E522</x:f>
        <x:v>200</x:v>
      </x:c>
      <x:c r="G522" s="18" t="n">
        <x:f>ROUNDUP(F522*(1+D522),0)</x:f>
        <x:v>204</x:v>
      </x:c>
      <x:c r="H522" s="18" t="n">
        <x:f>INDEX('Dated offers'!$F$7:$F$305,MATCH($Z522,'Dated offers'!$A$7:$A$305,0))</x:f>
        <x:v>1</x:v>
      </x:c>
      <x:c r="I522" s="18" t="n">
        <x:f>INDEX('Dated offers'!$G$7:$G$305,MATCH($Z522,'Dated offers'!$A$7:$A$305,0))</x:f>
        <x:v>1</x:v>
      </x:c>
      <x:c r="J522" s="18" t="n">
        <x:f>CEILING(MAX(G522,H522),I522)</x:f>
        <x:v>204</x:v>
      </x:c>
      <x:c r="K522" s="18" t="n">
        <x:v>250</x:v>
      </x:c>
      <x:c r="L522" s="18" t="n">
        <x:f>INDEX('Dated offers'!$I$7:$I$305,MATCH($Z522,'Dated offers'!$A$7:$A$305,0))</x:f>
        <x:v>250</x:v>
      </x:c>
      <x:c r="M522" s="25" t="n">
        <x:f>INDEX('Dated offers'!$J$7:$J$305,MATCH($Z522,'Dated offers'!$A$7:$A$305,0))</x:f>
        <x:v>0.013</x:v>
      </x:c>
      <x:c r="N522" s="25" t="n">
        <x:f>INDEX('Dated offers'!$K$7:$K$305,MATCH($Z522,'Dated offers'!$A$7:$A$305,0))</x:f>
        <x:v>0</x:v>
      </x:c>
      <x:c r="O522" s="25" t="n">
        <x:f>F522*M522</x:f>
        <x:v>2.6</x:v>
      </x:c>
      <x:c r="P522" s="25" t="n">
        <x:f>G522*M522</x:f>
        <x:v>2.6519999999999997</x:v>
      </x:c>
      <x:c r="Q522" s="25" t="n">
        <x:f>K522*M522+N522</x:f>
        <x:v>3.25</x:v>
      </x:c>
      <x:c r="R522" s="18" t="n">
        <x:f>K522-G522</x:f>
        <x:v>46</x:v>
      </x:c>
      <x:c r="S522" s="18" t="n">
        <x:f>INDEX('Dated offers'!$H$7:$H$305,MATCH($Z522,'Dated offers'!$A$7:$A$305,0))</x:f>
        <x:v>234547</x:v>
      </x:c>
      <x:c r="T522" s="2" t="str">
        <x:f>IF(K522&lt;G522,"Order below requirement",IF(K522&lt;L522,"Below price tier",IF(ISNUMBER(S522),IF(K522&gt;S522,"Quantity exceeds snapshot","Within quantity snapshot"),"Stock not stated")))</x:f>
        <x:v>Within quantity snapshot</x:v>
      </x:c>
      <x:c r="U522" s="2" t="str">
        <x:f>INDEX('Dated offers'!$C$7:$C$305,MATCH($Z522,'Dated offers'!$A$7:$A$305,0))</x:f>
        <x:v>DigiKey</x:v>
      </x:c>
      <x:c r="V522" s="2" t="str">
        <x:f>INDEX('Dated offers'!$D$7:$D$305,MATCH($Z522,'Dated offers'!$A$7:$A$305,0))</x:f>
        <x:v>Not stated</x:v>
      </x:c>
      <x:c r="W522" s="24" t="n">
        <x:f>INDEX('Dated offers'!$E$7:$E$305,MATCH($Z522,'Dated offers'!$A$7:$A$305,0))</x:f>
        <x:v>46307.47807261574</x:v>
      </x:c>
      <x:c r="X522" s="2" t="b">
        <x:f>INDEX('Dated offers'!$N$7:$N$305,MATCH($Z522,'Dated offers'!$A$7:$A$305,0))</x:f>
        <x:v>0</x:v>
      </x:c>
      <x:c r="Y522" s="2" t="str">
        <x:f>INDEX('Dated offers'!$O$7:$O$305,MATCH($Z522,'Dated offers'!$A$7:$A$305,0))</x:f>
        <x:v>Unreserved inventory snapshot</x:v>
      </x:c>
      <x:c r="Z522" s="17" t="str">
        <x:v>OF0203</x:v>
      </x:c>
      <x:c r="AA522" s="2"/>
      <x:c r="AB522" s="2" t="str">
        <x:f>INDEX('Dated offers'!$Q$7:$Q$305,MATCH($Z522,'Dated offers'!$A$7:$A$305,0))</x:f>
        <x:v>https://www.digikey.com/en/products/detail/vishay-dale/CRCW0402510RFKED/1183089</x:v>
      </x:c>
    </x:row>
    <x:row r="523" ht="24" customHeight="1">
      <x:c r="A523" s="2" t="str">
        <x:v>100 boards / 2% planning</x:v>
      </x:c>
      <x:c r="B523" s="17" t="str">
        <x:v>CRCW04025K10FKED</x:v>
      </x:c>
      <x:c r="C523" s="18" t="n">
        <x:v>100</x:v>
      </x:c>
      <x:c r="D523" s="27" t="n">
        <x:v>0.02</x:v>
      </x:c>
      <x:c r="E523" s="18" t="n">
        <x:f>INDEX('Assembly BOM'!$C$7:$C$162,MATCH($B523,'Assembly BOM'!$A$7:$A$162,0))</x:f>
        <x:v>2</x:v>
      </x:c>
      <x:c r="F523" s="18" t="n">
        <x:f>C523*E523</x:f>
        <x:v>200</x:v>
      </x:c>
      <x:c r="G523" s="18" t="n">
        <x:f>ROUNDUP(F523*(1+D523),0)</x:f>
        <x:v>204</x:v>
      </x:c>
      <x:c r="H523" s="18" t="n">
        <x:f>INDEX('Dated offers'!$F$7:$F$305,MATCH($Z523,'Dated offers'!$A$7:$A$305,0))</x:f>
        <x:v>1</x:v>
      </x:c>
      <x:c r="I523" s="18" t="n">
        <x:f>INDEX('Dated offers'!$G$7:$G$305,MATCH($Z523,'Dated offers'!$A$7:$A$305,0))</x:f>
        <x:v>1</x:v>
      </x:c>
      <x:c r="J523" s="18" t="n">
        <x:f>CEILING(MAX(G523,H523),I523)</x:f>
        <x:v>204</x:v>
      </x:c>
      <x:c r="K523" s="18" t="n">
        <x:v>250</x:v>
      </x:c>
      <x:c r="L523" s="18" t="n">
        <x:f>INDEX('Dated offers'!$I$7:$I$305,MATCH($Z523,'Dated offers'!$A$7:$A$305,0))</x:f>
        <x:v>250</x:v>
      </x:c>
      <x:c r="M523" s="25" t="n">
        <x:f>INDEX('Dated offers'!$J$7:$J$305,MATCH($Z523,'Dated offers'!$A$7:$A$305,0))</x:f>
        <x:v>0.01228</x:v>
      </x:c>
      <x:c r="N523" s="25" t="n">
        <x:f>INDEX('Dated offers'!$K$7:$K$305,MATCH($Z523,'Dated offers'!$A$7:$A$305,0))</x:f>
        <x:v>0</x:v>
      </x:c>
      <x:c r="O523" s="25" t="n">
        <x:f>F523*M523</x:f>
        <x:v>2.456</x:v>
      </x:c>
      <x:c r="P523" s="25" t="n">
        <x:f>G523*M523</x:f>
        <x:v>2.50512</x:v>
      </x:c>
      <x:c r="Q523" s="25" t="n">
        <x:f>K523*M523+N523</x:f>
        <x:v>3.07</x:v>
      </x:c>
      <x:c r="R523" s="18" t="n">
        <x:f>K523-G523</x:f>
        <x:v>46</x:v>
      </x:c>
      <x:c r="S523" s="18" t="n">
        <x:f>INDEX('Dated offers'!$H$7:$H$305,MATCH($Z523,'Dated offers'!$A$7:$A$305,0))</x:f>
        <x:v>134873</x:v>
      </x:c>
      <x:c r="T523" s="2" t="str">
        <x:f>IF(K523&lt;G523,"Order below requirement",IF(K523&lt;L523,"Below price tier",IF(ISNUMBER(S523),IF(K523&gt;S523,"Quantity exceeds snapshot","Within quantity snapshot"),"Stock not stated")))</x:f>
        <x:v>Within quantity snapshot</x:v>
      </x:c>
      <x:c r="U523" s="2" t="str">
        <x:f>INDEX('Dated offers'!$C$7:$C$305,MATCH($Z523,'Dated offers'!$A$7:$A$305,0))</x:f>
        <x:v>DigiKey</x:v>
      </x:c>
      <x:c r="V523" s="2" t="str">
        <x:f>INDEX('Dated offers'!$D$7:$D$305,MATCH($Z523,'Dated offers'!$A$7:$A$305,0))</x:f>
        <x:v>Not stated</x:v>
      </x:c>
      <x:c r="W523" s="24" t="n">
        <x:f>INDEX('Dated offers'!$E$7:$E$305,MATCH($Z523,'Dated offers'!$A$7:$A$305,0))</x:f>
        <x:v>46307.47807267361</x:v>
      </x:c>
      <x:c r="X523" s="2" t="b">
        <x:f>INDEX('Dated offers'!$N$7:$N$305,MATCH($Z523,'Dated offers'!$A$7:$A$305,0))</x:f>
        <x:v>0</x:v>
      </x:c>
      <x:c r="Y523" s="2" t="str">
        <x:f>INDEX('Dated offers'!$O$7:$O$305,MATCH($Z523,'Dated offers'!$A$7:$A$305,0))</x:f>
        <x:v>Unreserved inventory snapshot</x:v>
      </x:c>
      <x:c r="Z523" s="17" t="str">
        <x:v>OF0204</x:v>
      </x:c>
      <x:c r="AA523" s="2"/>
      <x:c r="AB523" s="2" t="str">
        <x:f>INDEX('Dated offers'!$Q$7:$Q$305,MATCH($Z523,'Dated offers'!$A$7:$A$305,0))</x:f>
        <x:v>https://www.digikey.com/en/products/detail/vishay-dale/CRCW04025K10FKED/1178087</x:v>
      </x:c>
    </x:row>
    <x:row r="524" ht="24" customHeight="1">
      <x:c r="A524" s="2" t="str">
        <x:v>100 boards / 2% planning</x:v>
      </x:c>
      <x:c r="B524" s="17" t="str">
        <x:v>CRCW080575R0FKEA</x:v>
      </x:c>
      <x:c r="C524" s="18" t="n">
        <x:v>100</x:v>
      </x:c>
      <x:c r="D524" s="27" t="n">
        <x:v>0.02</x:v>
      </x:c>
      <x:c r="E524" s="18" t="n">
        <x:f>INDEX('Assembly BOM'!$C$7:$C$162,MATCH($B524,'Assembly BOM'!$A$7:$A$162,0))</x:f>
        <x:v>4</x:v>
      </x:c>
      <x:c r="F524" s="18" t="n">
        <x:f>C524*E524</x:f>
        <x:v>400</x:v>
      </x:c>
      <x:c r="G524" s="18" t="n">
        <x:f>ROUNDUP(F524*(1+D524),0)</x:f>
        <x:v>408</x:v>
      </x:c>
      <x:c r="H524" s="18" t="n">
        <x:f>INDEX('Dated offers'!$F$7:$F$305,MATCH($Z524,'Dated offers'!$A$7:$A$305,0))</x:f>
        <x:v>1</x:v>
      </x:c>
      <x:c r="I524" s="18" t="n">
        <x:f>INDEX('Dated offers'!$G$7:$G$305,MATCH($Z524,'Dated offers'!$A$7:$A$305,0))</x:f>
        <x:v>1</x:v>
      </x:c>
      <x:c r="J524" s="18" t="n">
        <x:f>CEILING(MAX(G524,H524),I524)</x:f>
        <x:v>408</x:v>
      </x:c>
      <x:c r="K524" s="18" t="n">
        <x:v>408</x:v>
      </x:c>
      <x:c r="L524" s="18" t="n">
        <x:f>INDEX('Dated offers'!$I$7:$I$305,MATCH($Z524,'Dated offers'!$A$7:$A$305,0))</x:f>
        <x:v>250</x:v>
      </x:c>
      <x:c r="M524" s="25" t="n">
        <x:f>INDEX('Dated offers'!$J$7:$J$305,MATCH($Z524,'Dated offers'!$A$7:$A$305,0))</x:f>
        <x:v>0.01904</x:v>
      </x:c>
      <x:c r="N524" s="25" t="n">
        <x:f>INDEX('Dated offers'!$K$7:$K$305,MATCH($Z524,'Dated offers'!$A$7:$A$305,0))</x:f>
        <x:v>0</x:v>
      </x:c>
      <x:c r="O524" s="25" t="n">
        <x:f>F524*M524</x:f>
        <x:v>7.6160000000000005</x:v>
      </x:c>
      <x:c r="P524" s="25" t="n">
        <x:f>G524*M524</x:f>
        <x:v>7.768320000000001</x:v>
      </x:c>
      <x:c r="Q524" s="25" t="n">
        <x:f>K524*M524+N524</x:f>
        <x:v>7.768320000000001</x:v>
      </x:c>
      <x:c r="R524" s="18" t="n">
        <x:f>K524-G524</x:f>
        <x:v>0</x:v>
      </x:c>
      <x:c r="S524" s="18" t="n">
        <x:f>INDEX('Dated offers'!$H$7:$H$305,MATCH($Z524,'Dated offers'!$A$7:$A$305,0))</x:f>
        <x:v>72605</x:v>
      </x:c>
      <x:c r="T524" s="2" t="str">
        <x:f>IF(K524&lt;G524,"Order below requirement",IF(K524&lt;L524,"Below price tier",IF(ISNUMBER(S524),IF(K524&gt;S524,"Quantity exceeds snapshot","Within quantity snapshot"),"Stock not stated")))</x:f>
        <x:v>Within quantity snapshot</x:v>
      </x:c>
      <x:c r="U524" s="2" t="str">
        <x:f>INDEX('Dated offers'!$C$7:$C$305,MATCH($Z524,'Dated offers'!$A$7:$A$305,0))</x:f>
        <x:v>DigiKey</x:v>
      </x:c>
      <x:c r="V524" s="2" t="str">
        <x:f>INDEX('Dated offers'!$D$7:$D$305,MATCH($Z524,'Dated offers'!$A$7:$A$305,0))</x:f>
        <x:v>Not stated</x:v>
      </x:c>
      <x:c r="W524" s="24" t="n">
        <x:f>INDEX('Dated offers'!$E$7:$E$305,MATCH($Z524,'Dated offers'!$A$7:$A$305,0))</x:f>
        <x:v>46307.47807261574</x:v>
      </x:c>
      <x:c r="X524" s="2" t="b">
        <x:f>INDEX('Dated offers'!$N$7:$N$305,MATCH($Z524,'Dated offers'!$A$7:$A$305,0))</x:f>
        <x:v>0</x:v>
      </x:c>
      <x:c r="Y524" s="2" t="str">
        <x:f>INDEX('Dated offers'!$O$7:$O$305,MATCH($Z524,'Dated offers'!$A$7:$A$305,0))</x:f>
        <x:v>Unreserved inventory snapshot</x:v>
      </x:c>
      <x:c r="Z524" s="17" t="str">
        <x:v>OF0205</x:v>
      </x:c>
      <x:c r="AA524" s="2"/>
      <x:c r="AB524" s="2" t="str">
        <x:f>INDEX('Dated offers'!$Q$7:$Q$305,MATCH($Z524,'Dated offers'!$A$7:$A$305,0))</x:f>
        <x:v>https://www.digikey.com/en/products/detail/vishay-dale/CRCW080575R0FKEA/1180655</x:v>
      </x:c>
    </x:row>
    <x:row r="525" ht="24" customHeight="1">
      <x:c r="A525" s="2" t="str">
        <x:v>100 boards / 2% planning</x:v>
      </x:c>
      <x:c r="B525" s="17" t="str">
        <x:v>CRCW12063K30FKEAHP</x:v>
      </x:c>
      <x:c r="C525" s="18" t="n">
        <x:v>100</x:v>
      </x:c>
      <x:c r="D525" s="27" t="n">
        <x:v>0.02</x:v>
      </x:c>
      <x:c r="E525" s="18" t="n">
        <x:f>INDEX('Assembly BOM'!$C$7:$C$162,MATCH($B525,'Assembly BOM'!$A$7:$A$162,0))</x:f>
        <x:v>1</x:v>
      </x:c>
      <x:c r="F525" s="18" t="n">
        <x:f>C525*E525</x:f>
        <x:v>100</x:v>
      </x:c>
      <x:c r="G525" s="18" t="n">
        <x:f>ROUNDUP(F525*(1+D525),0)</x:f>
        <x:v>102</x:v>
      </x:c>
      <x:c r="H525" s="18" t="n">
        <x:f>INDEX('Dated offers'!$F$7:$F$305,MATCH($Z525,'Dated offers'!$A$7:$A$305,0))</x:f>
        <x:v>1</x:v>
      </x:c>
      <x:c r="I525" s="18" t="n">
        <x:f>INDEX('Dated offers'!$G$7:$G$305,MATCH($Z525,'Dated offers'!$A$7:$A$305,0))</x:f>
        <x:v>1</x:v>
      </x:c>
      <x:c r="J525" s="18" t="n">
        <x:f>CEILING(MAX(G525,H525),I525)</x:f>
        <x:v>102</x:v>
      </x:c>
      <x:c r="K525" s="18" t="n">
        <x:v>102</x:v>
      </x:c>
      <x:c r="L525" s="18" t="n">
        <x:f>INDEX('Dated offers'!$I$7:$I$305,MATCH($Z525,'Dated offers'!$A$7:$A$305,0))</x:f>
        <x:v>100</x:v>
      </x:c>
      <x:c r="M525" s="25" t="n">
        <x:f>INDEX('Dated offers'!$J$7:$J$305,MATCH($Z525,'Dated offers'!$A$7:$A$305,0))</x:f>
        <x:v>0.087</x:v>
      </x:c>
      <x:c r="N525" s="25" t="n">
        <x:f>INDEX('Dated offers'!$K$7:$K$305,MATCH($Z525,'Dated offers'!$A$7:$A$305,0))</x:f>
        <x:v>0</x:v>
      </x:c>
      <x:c r="O525" s="25" t="n">
        <x:f>F525*M525</x:f>
        <x:v>8.7</x:v>
      </x:c>
      <x:c r="P525" s="25" t="n">
        <x:f>G525*M525</x:f>
        <x:v>8.873999999999999</x:v>
      </x:c>
      <x:c r="Q525" s="25" t="n">
        <x:f>K525*M525+N525</x:f>
        <x:v>8.873999999999999</x:v>
      </x:c>
      <x:c r="R525" s="18" t="n">
        <x:f>K525-G525</x:f>
        <x:v>0</x:v>
      </x:c>
      <x:c r="S525" s="18" t="n">
        <x:f>INDEX('Dated offers'!$H$7:$H$305,MATCH($Z525,'Dated offers'!$A$7:$A$305,0))</x:f>
        <x:v>42656</x:v>
      </x:c>
      <x:c r="T525" s="2" t="str">
        <x:f>IF(K525&lt;G525,"Order below requirement",IF(K525&lt;L525,"Below price tier",IF(ISNUMBER(S525),IF(K525&gt;S525,"Quantity exceeds snapshot","Within quantity snapshot"),"Stock not stated")))</x:f>
        <x:v>Within quantity snapshot</x:v>
      </x:c>
      <x:c r="U525" s="2" t="str">
        <x:f>INDEX('Dated offers'!$C$7:$C$305,MATCH($Z525,'Dated offers'!$A$7:$A$305,0))</x:f>
        <x:v>DigiKey</x:v>
      </x:c>
      <x:c r="V525" s="2" t="str">
        <x:f>INDEX('Dated offers'!$D$7:$D$305,MATCH($Z525,'Dated offers'!$A$7:$A$305,0))</x:f>
        <x:v>Not stated</x:v>
      </x:c>
      <x:c r="W525" s="24" t="n">
        <x:f>INDEX('Dated offers'!$E$7:$E$305,MATCH($Z525,'Dated offers'!$A$7:$A$305,0))</x:f>
        <x:v>46307.47807262732</x:v>
      </x:c>
      <x:c r="X525" s="2" t="b">
        <x:f>INDEX('Dated offers'!$N$7:$N$305,MATCH($Z525,'Dated offers'!$A$7:$A$305,0))</x:f>
        <x:v>0</x:v>
      </x:c>
      <x:c r="Y525" s="2" t="str">
        <x:f>INDEX('Dated offers'!$O$7:$O$305,MATCH($Z525,'Dated offers'!$A$7:$A$305,0))</x:f>
        <x:v>Unreserved inventory snapshot</x:v>
      </x:c>
      <x:c r="Z525" s="17" t="str">
        <x:v>OF0206</x:v>
      </x:c>
      <x:c r="AA525" s="2"/>
      <x:c r="AB525" s="2" t="str">
        <x:f>INDEX('Dated offers'!$Q$7:$Q$305,MATCH($Z525,'Dated offers'!$A$7:$A$305,0))</x:f>
        <x:v>https://www.digikey.com/en/products/detail/vishay-dale/CRCW12063K30FKEAHP/2227804</x:v>
      </x:c>
    </x:row>
    <x:row r="526" ht="24" customHeight="1">
      <x:c r="A526" s="2" t="str">
        <x:v>100 boards / 2% planning</x:v>
      </x:c>
      <x:c r="B526" s="17" t="str">
        <x:v>DABS2100-13</x:v>
      </x:c>
      <x:c r="C526" s="18" t="n">
        <x:v>100</x:v>
      </x:c>
      <x:c r="D526" s="27" t="n">
        <x:v>0.02</x:v>
      </x:c>
      <x:c r="E526" s="18" t="n">
        <x:f>INDEX('Assembly BOM'!$C$7:$C$162,MATCH($B526,'Assembly BOM'!$A$7:$A$162,0))</x:f>
        <x:v>2</x:v>
      </x:c>
      <x:c r="F526" s="18" t="n">
        <x:f>C526*E526</x:f>
        <x:v>200</x:v>
      </x:c>
      <x:c r="G526" s="18" t="n">
        <x:f>ROUNDUP(F526*(1+D526),0)</x:f>
        <x:v>204</x:v>
      </x:c>
      <x:c r="H526" s="18" t="n">
        <x:f>INDEX('Dated offers'!$F$7:$F$305,MATCH($Z526,'Dated offers'!$A$7:$A$305,0))</x:f>
        <x:v>1</x:v>
      </x:c>
      <x:c r="I526" s="18" t="n">
        <x:f>INDEX('Dated offers'!$G$7:$G$305,MATCH($Z526,'Dated offers'!$A$7:$A$305,0))</x:f>
        <x:v>1</x:v>
      </x:c>
      <x:c r="J526" s="18" t="n">
        <x:f>CEILING(MAX(G526,H526),I526)</x:f>
        <x:v>204</x:v>
      </x:c>
      <x:c r="K526" s="18" t="n">
        <x:v>204</x:v>
      </x:c>
      <x:c r="L526" s="18" t="n">
        <x:f>INDEX('Dated offers'!$I$7:$I$305,MATCH($Z526,'Dated offers'!$A$7:$A$305,0))</x:f>
        <x:v>100</x:v>
      </x:c>
      <x:c r="M526" s="25" t="n">
        <x:f>INDEX('Dated offers'!$J$7:$J$305,MATCH($Z526,'Dated offers'!$A$7:$A$305,0))</x:f>
        <x:v>0.3826</x:v>
      </x:c>
      <x:c r="N526" s="25" t="n">
        <x:f>INDEX('Dated offers'!$K$7:$K$305,MATCH($Z526,'Dated offers'!$A$7:$A$305,0))</x:f>
        <x:v>7</x:v>
      </x:c>
      <x:c r="O526" s="25" t="n">
        <x:f>F526*M526</x:f>
        <x:v>76.52</x:v>
      </x:c>
      <x:c r="P526" s="25" t="n">
        <x:f>G526*M526</x:f>
        <x:v>78.0504</x:v>
      </x:c>
      <x:c r="Q526" s="25" t="n">
        <x:f>K526*M526+N526</x:f>
        <x:v>85.0504</x:v>
      </x:c>
      <x:c r="R526" s="18" t="n">
        <x:f>K526-G526</x:f>
        <x:v>0</x:v>
      </x:c>
      <x:c r="S526" s="18" t="n">
        <x:f>INDEX('Dated offers'!$H$7:$H$305,MATCH($Z526,'Dated offers'!$A$7:$A$305,0))</x:f>
        <x:v>5560</x:v>
      </x:c>
      <x:c r="T526" s="2" t="str">
        <x:f>IF(K526&lt;G526,"Order below requirement",IF(K526&lt;L526,"Below price tier",IF(ISNUMBER(S526),IF(K526&gt;S526,"Quantity exceeds snapshot","Within quantity snapshot"),"Stock not stated")))</x:f>
        <x:v>Within quantity snapshot</x:v>
      </x:c>
      <x:c r="U526" s="2" t="str">
        <x:f>INDEX('Dated offers'!$C$7:$C$305,MATCH($Z526,'Dated offers'!$A$7:$A$305,0))</x:f>
        <x:v>DigiKey</x:v>
      </x:c>
      <x:c r="V526" s="2" t="str">
        <x:f>INDEX('Dated offers'!$D$7:$D$305,MATCH($Z526,'Dated offers'!$A$7:$A$305,0))</x:f>
        <x:v>Not stated</x:v>
      </x:c>
      <x:c r="W526" s="24" t="n">
        <x:f>INDEX('Dated offers'!$E$7:$E$305,MATCH($Z526,'Dated offers'!$A$7:$A$305,0))</x:f>
        <x:v>46307.47807261574</x:v>
      </x:c>
      <x:c r="X526" s="2" t="b">
        <x:f>INDEX('Dated offers'!$N$7:$N$305,MATCH($Z526,'Dated offers'!$A$7:$A$305,0))</x:f>
        <x:v>0</x:v>
      </x:c>
      <x:c r="Y526" s="2" t="str">
        <x:f>INDEX('Dated offers'!$O$7:$O$305,MATCH($Z526,'Dated offers'!$A$7:$A$305,0))</x:f>
        <x:v>Unreserved inventory snapshot</x:v>
      </x:c>
      <x:c r="Z526" s="17" t="str">
        <x:v>OF0207</x:v>
      </x:c>
      <x:c r="AA526" s="2"/>
      <x:c r="AB526" s="2" t="str">
        <x:f>INDEX('Dated offers'!$Q$7:$Q$305,MATCH($Z526,'Dated offers'!$A$7:$A$305,0))</x:f>
        <x:v>https://www.digikey.com/en/products/detail/diodes-incorporated/DABS2100-13/21823604</x:v>
      </x:c>
    </x:row>
    <x:row r="527" ht="24" customHeight="1">
      <x:c r="A527" s="2" t="str">
        <x:v>100 boards / 2% planning</x:v>
      </x:c>
      <x:c r="B527" s="17" t="str">
        <x:v>DLW5BTM102TQ2L</x:v>
      </x:c>
      <x:c r="C527" s="18" t="n">
        <x:v>100</x:v>
      </x:c>
      <x:c r="D527" s="27" t="n">
        <x:v>0.02</x:v>
      </x:c>
      <x:c r="E527" s="18" t="n">
        <x:f>INDEX('Assembly BOM'!$C$7:$C$162,MATCH($B527,'Assembly BOM'!$A$7:$A$162,0))</x:f>
        <x:v>1</x:v>
      </x:c>
      <x:c r="F527" s="18" t="n">
        <x:f>C527*E527</x:f>
        <x:v>100</x:v>
      </x:c>
      <x:c r="G527" s="18" t="n">
        <x:f>ROUNDUP(F527*(1+D527),0)</x:f>
        <x:v>102</x:v>
      </x:c>
      <x:c r="H527" s="18" t="n">
        <x:f>INDEX('Dated offers'!$F$7:$F$305,MATCH($Z527,'Dated offers'!$A$7:$A$305,0))</x:f>
        <x:v>1</x:v>
      </x:c>
      <x:c r="I527" s="18" t="n">
        <x:f>INDEX('Dated offers'!$G$7:$G$305,MATCH($Z527,'Dated offers'!$A$7:$A$305,0))</x:f>
        <x:v>1</x:v>
      </x:c>
      <x:c r="J527" s="18" t="n">
        <x:f>CEILING(MAX(G527,H527),I527)</x:f>
        <x:v>102</x:v>
      </x:c>
      <x:c r="K527" s="18" t="n">
        <x:v>102</x:v>
      </x:c>
      <x:c r="L527" s="18" t="n">
        <x:f>INDEX('Dated offers'!$I$7:$I$305,MATCH($Z527,'Dated offers'!$A$7:$A$305,0))</x:f>
        <x:v>100</x:v>
      </x:c>
      <x:c r="M527" s="25" t="n">
        <x:f>INDEX('Dated offers'!$J$7:$J$305,MATCH($Z527,'Dated offers'!$A$7:$A$305,0))</x:f>
        <x:v>0.6935</x:v>
      </x:c>
      <x:c r="N527" s="25" t="n">
        <x:f>INDEX('Dated offers'!$K$7:$K$305,MATCH($Z527,'Dated offers'!$A$7:$A$305,0))</x:f>
        <x:v>0</x:v>
      </x:c>
      <x:c r="O527" s="25" t="n">
        <x:f>F527*M527</x:f>
        <x:v>69.35</x:v>
      </x:c>
      <x:c r="P527" s="25" t="n">
        <x:f>G527*M527</x:f>
        <x:v>70.737</x:v>
      </x:c>
      <x:c r="Q527" s="25" t="n">
        <x:f>K527*M527+N527</x:f>
        <x:v>70.737</x:v>
      </x:c>
      <x:c r="R527" s="18" t="n">
        <x:f>K527-G527</x:f>
        <x:v>0</x:v>
      </x:c>
      <x:c r="S527" s="18" t="n">
        <x:f>INDEX('Dated offers'!$H$7:$H$305,MATCH($Z527,'Dated offers'!$A$7:$A$305,0))</x:f>
        <x:v>9875</x:v>
      </x:c>
      <x:c r="T527" s="2" t="str">
        <x:f>IF(K527&lt;G527,"Order below requirement",IF(K527&lt;L527,"Below price tier",IF(ISNUMBER(S527),IF(K527&gt;S527,"Quantity exceeds snapshot","Within quantity snapshot"),"Stock not stated")))</x:f>
        <x:v>Within quantity snapshot</x:v>
      </x:c>
      <x:c r="U527" s="2" t="str">
        <x:f>INDEX('Dated offers'!$C$7:$C$305,MATCH($Z527,'Dated offers'!$A$7:$A$305,0))</x:f>
        <x:v>DigiKey</x:v>
      </x:c>
      <x:c r="V527" s="2" t="str">
        <x:f>INDEX('Dated offers'!$D$7:$D$305,MATCH($Z527,'Dated offers'!$A$7:$A$305,0))</x:f>
        <x:v>Not stated</x:v>
      </x:c>
      <x:c r="W527" s="24" t="n">
        <x:f>INDEX('Dated offers'!$E$7:$E$305,MATCH($Z527,'Dated offers'!$A$7:$A$305,0))</x:f>
        <x:v>46307.47807261574</x:v>
      </x:c>
      <x:c r="X527" s="2" t="b">
        <x:f>INDEX('Dated offers'!$N$7:$N$305,MATCH($Z527,'Dated offers'!$A$7:$A$305,0))</x:f>
        <x:v>0</x:v>
      </x:c>
      <x:c r="Y527" s="2" t="str">
        <x:f>INDEX('Dated offers'!$O$7:$O$305,MATCH($Z527,'Dated offers'!$A$7:$A$305,0))</x:f>
        <x:v>Unreserved inventory snapshot</x:v>
      </x:c>
      <x:c r="Z527" s="17" t="str">
        <x:v>OF0208</x:v>
      </x:c>
      <x:c r="AA527" s="2"/>
      <x:c r="AB527" s="2" t="str">
        <x:f>INDEX('Dated offers'!$Q$7:$Q$305,MATCH($Z527,'Dated offers'!$A$7:$A$305,0))</x:f>
        <x:v>https://www.digikey.com/en/products/detail/murata-electronics/DLW5BTM102TQ2L/6606032</x:v>
      </x:c>
    </x:row>
    <x:row r="528" ht="24" customHeight="1">
      <x:c r="A528" s="2" t="str">
        <x:v>100 boards / 2% planning</x:v>
      </x:c>
      <x:c r="B528" s="17" t="str">
        <x:v>DMPH3010LK3-13</x:v>
      </x:c>
      <x:c r="C528" s="18" t="n">
        <x:v>100</x:v>
      </x:c>
      <x:c r="D528" s="27" t="n">
        <x:v>0.02</x:v>
      </x:c>
      <x:c r="E528" s="18" t="n">
        <x:f>INDEX('Assembly BOM'!$C$7:$C$162,MATCH($B528,'Assembly BOM'!$A$7:$A$162,0))</x:f>
        <x:v>1</x:v>
      </x:c>
      <x:c r="F528" s="18" t="n">
        <x:f>C528*E528</x:f>
        <x:v>100</x:v>
      </x:c>
      <x:c r="G528" s="18" t="n">
        <x:f>ROUNDUP(F528*(1+D528),0)</x:f>
        <x:v>102</x:v>
      </x:c>
      <x:c r="H528" s="18" t="n">
        <x:f>INDEX('Dated offers'!$F$7:$F$305,MATCH($Z528,'Dated offers'!$A$7:$A$305,0))</x:f>
        <x:v>1</x:v>
      </x:c>
      <x:c r="I528" s="18" t="n">
        <x:f>INDEX('Dated offers'!$G$7:$G$305,MATCH($Z528,'Dated offers'!$A$7:$A$305,0))</x:f>
        <x:v>1</x:v>
      </x:c>
      <x:c r="J528" s="18" t="n">
        <x:f>CEILING(MAX(G528,H528),I528)</x:f>
        <x:v>102</x:v>
      </x:c>
      <x:c r="K528" s="18" t="n">
        <x:v>102</x:v>
      </x:c>
      <x:c r="L528" s="18" t="n">
        <x:f>INDEX('Dated offers'!$I$7:$I$305,MATCH($Z528,'Dated offers'!$A$7:$A$305,0))</x:f>
        <x:v>100</x:v>
      </x:c>
      <x:c r="M528" s="25" t="n">
        <x:f>INDEX('Dated offers'!$J$7:$J$305,MATCH($Z528,'Dated offers'!$A$7:$A$305,0))</x:f>
        <x:v>0.6638</x:v>
      </x:c>
      <x:c r="N528" s="25" t="n">
        <x:f>INDEX('Dated offers'!$K$7:$K$305,MATCH($Z528,'Dated offers'!$A$7:$A$305,0))</x:f>
        <x:v>0</x:v>
      </x:c>
      <x:c r="O528" s="25" t="n">
        <x:f>F528*M528</x:f>
        <x:v>66.38</x:v>
      </x:c>
      <x:c r="P528" s="25" t="n">
        <x:f>G528*M528</x:f>
        <x:v>67.7076</x:v>
      </x:c>
      <x:c r="Q528" s="25" t="n">
        <x:f>K528*M528+N528</x:f>
        <x:v>67.7076</x:v>
      </x:c>
      <x:c r="R528" s="18" t="n">
        <x:f>K528-G528</x:f>
        <x:v>0</x:v>
      </x:c>
      <x:c r="S528" s="18" t="n">
        <x:f>INDEX('Dated offers'!$H$7:$H$305,MATCH($Z528,'Dated offers'!$A$7:$A$305,0))</x:f>
        <x:v>1530</x:v>
      </x:c>
      <x:c r="T528" s="2" t="str">
        <x:f>IF(K528&lt;G528,"Order below requirement",IF(K528&lt;L528,"Below price tier",IF(ISNUMBER(S528),IF(K528&gt;S528,"Quantity exceeds snapshot","Within quantity snapshot"),"Stock not stated")))</x:f>
        <x:v>Within quantity snapshot</x:v>
      </x:c>
      <x:c r="U528" s="2" t="str">
        <x:f>INDEX('Dated offers'!$C$7:$C$305,MATCH($Z528,'Dated offers'!$A$7:$A$305,0))</x:f>
        <x:v>DigiKey</x:v>
      </x:c>
      <x:c r="V528" s="2" t="str">
        <x:f>INDEX('Dated offers'!$D$7:$D$305,MATCH($Z528,'Dated offers'!$A$7:$A$305,0))</x:f>
        <x:v>Not stated</x:v>
      </x:c>
      <x:c r="W528" s="24" t="n">
        <x:f>INDEX('Dated offers'!$E$7:$E$305,MATCH($Z528,'Dated offers'!$A$7:$A$305,0))</x:f>
        <x:v>46307.47807255787</x:v>
      </x:c>
      <x:c r="X528" s="2" t="b">
        <x:f>INDEX('Dated offers'!$N$7:$N$305,MATCH($Z528,'Dated offers'!$A$7:$A$305,0))</x:f>
        <x:v>0</x:v>
      </x:c>
      <x:c r="Y528" s="2" t="str">
        <x:f>INDEX('Dated offers'!$O$7:$O$305,MATCH($Z528,'Dated offers'!$A$7:$A$305,0))</x:f>
        <x:v>Unreserved inventory snapshot</x:v>
      </x:c>
      <x:c r="Z528" s="17" t="str">
        <x:v>OF0209</x:v>
      </x:c>
      <x:c r="AA528" s="2"/>
      <x:c r="AB528" s="2" t="str">
        <x:f>INDEX('Dated offers'!$Q$7:$Q$305,MATCH($Z528,'Dated offers'!$A$7:$A$305,0))</x:f>
        <x:v>https://www.digikey.com/en/products/detail/diodes-incorporated/DMPH3010LK3-13/7352990</x:v>
      </x:c>
    </x:row>
    <x:row r="529" ht="24" customHeight="1">
      <x:c r="A529" s="2" t="str">
        <x:v>100 boards / 2% planning</x:v>
      </x:c>
      <x:c r="B529" s="17" t="str">
        <x:v>E22-900MM22S</x:v>
      </x:c>
      <x:c r="C529" s="18" t="n">
        <x:v>100</x:v>
      </x:c>
      <x:c r="D529" s="27" t="n">
        <x:v>0.02</x:v>
      </x:c>
      <x:c r="E529" s="18" t="n">
        <x:f>INDEX('Assembly BOM'!$C$7:$C$162,MATCH($B529,'Assembly BOM'!$A$7:$A$162,0))</x:f>
        <x:v>1</x:v>
      </x:c>
      <x:c r="F529" s="18" t="n">
        <x:f>C529*E529</x:f>
        <x:v>100</x:v>
      </x:c>
      <x:c r="G529" s="18" t="n">
        <x:f>ROUNDUP(F529*(1+D529),0)</x:f>
        <x:v>102</x:v>
      </x:c>
      <x:c r="H529" s="18" t="n">
        <x:f>INDEX('Dated offers'!$F$7:$F$305,MATCH($Z529,'Dated offers'!$A$7:$A$305,0))</x:f>
        <x:v>2</x:v>
      </x:c>
      <x:c r="I529" s="18" t="n">
        <x:f>INDEX('Dated offers'!$G$7:$G$305,MATCH($Z529,'Dated offers'!$A$7:$A$305,0))</x:f>
        <x:v>1</x:v>
      </x:c>
      <x:c r="J529" s="18" t="n">
        <x:f>CEILING(MAX(G529,H529),I529)</x:f>
        <x:v>102</x:v>
      </x:c>
      <x:c r="K529" s="18" t="n">
        <x:v>102</x:v>
      </x:c>
      <x:c r="L529" s="18" t="n">
        <x:f>INDEX('Dated offers'!$I$7:$I$305,MATCH($Z529,'Dated offers'!$A$7:$A$305,0))</x:f>
        <x:v>102</x:v>
      </x:c>
      <x:c r="M529" s="25" t="n">
        <x:f>INDEX('Dated offers'!$J$7:$J$305,MATCH($Z529,'Dated offers'!$A$7:$A$305,0))</x:f>
        <x:v>4.4024</x:v>
      </x:c>
      <x:c r="N529" s="25" t="n">
        <x:f>INDEX('Dated offers'!$K$7:$K$305,MATCH($Z529,'Dated offers'!$A$7:$A$305,0))</x:f>
        <x:v>0</x:v>
      </x:c>
      <x:c r="O529" s="25" t="n">
        <x:f>F529*M529</x:f>
        <x:v>440.24</x:v>
      </x:c>
      <x:c r="P529" s="25" t="n">
        <x:f>G529*M529</x:f>
        <x:v>449.0448</x:v>
      </x:c>
      <x:c r="Q529" s="25" t="n">
        <x:f>K529*M529+N529</x:f>
        <x:v>449.0448</x:v>
      </x:c>
      <x:c r="R529" s="18" t="n">
        <x:f>K529-G529</x:f>
        <x:v>0</x:v>
      </x:c>
      <x:c r="S529" s="18" t="n">
        <x:f>INDEX('Dated offers'!$H$7:$H$305,MATCH($Z529,'Dated offers'!$A$7:$A$305,0))</x:f>
        <x:v>419</x:v>
      </x:c>
      <x:c r="T529" s="2" t="str">
        <x:f>IF(K529&lt;G529,"Order below requirement",IF(K529&lt;L529,"Below price tier",IF(ISNUMBER(S529),IF(K529&gt;S529,"Quantity exceeds snapshot","Within quantity snapshot"),"Stock not stated")))</x:f>
        <x:v>Within quantity snapshot</x:v>
      </x:c>
      <x:c r="U529" s="2" t="str">
        <x:f>INDEX('Dated offers'!$C$7:$C$305,MATCH($Z529,'Dated offers'!$A$7:$A$305,0))</x:f>
        <x:v>JLCPCB Parts</x:v>
      </x:c>
      <x:c r="V529" s="2" t="str">
        <x:f>INDEX('Dated offers'!$D$7:$D$305,MATCH($Z529,'Dated offers'!$A$7:$A$305,0))</x:f>
        <x:v>C5333985</x:v>
      </x:c>
      <x:c r="W529" s="24" t="n">
        <x:f>INDEX('Dated offers'!$E$7:$E$305,MATCH($Z529,'Dated offers'!$A$7:$A$305,0))</x:f>
        <x:v>46307.62535741898</x:v>
      </x:c>
      <x:c r="X529" s="2" t="b">
        <x:f>INDEX('Dated offers'!$N$7:$N$305,MATCH($Z529,'Dated offers'!$A$7:$A$305,0))</x:f>
        <x:v>1</x:v>
      </x:c>
      <x:c r="Y529" s="2" t="str">
        <x:f>INDEX('Dated offers'!$O$7:$O$305,MATCH($Z529,'Dated offers'!$A$7:$A$305,0))</x:f>
        <x:v>JLC PCBA allocation required</x:v>
      </x:c>
      <x:c r="Z529" s="17" t="str">
        <x:v>OF0299</x:v>
      </x:c>
      <x:c r="AA529" s="2"/>
      <x:c r="AB529" s="2" t="str">
        <x:f>INDEX('Dated offers'!$Q$7:$Q$305,MATCH($Z529,'Dated offers'!$A$7:$A$305,0))</x:f>
        <x:v>https://jlcpcb.com/partdetail/E22-900MM22S/C5333985</x:v>
      </x:c>
    </x:row>
    <x:row r="530" ht="24" customHeight="1">
      <x:c r="A530" s="2" t="str">
        <x:v>100 boards / 2% planning</x:v>
      </x:c>
      <x:c r="B530" s="17" t="str">
        <x:v>ESP32-S3FN8</x:v>
      </x:c>
      <x:c r="C530" s="18" t="n">
        <x:v>100</x:v>
      </x:c>
      <x:c r="D530" s="27" t="n">
        <x:v>0.02</x:v>
      </x:c>
      <x:c r="E530" s="18" t="n">
        <x:f>INDEX('Assembly BOM'!$C$7:$C$162,MATCH($B530,'Assembly BOM'!$A$7:$A$162,0))</x:f>
        <x:v>1</x:v>
      </x:c>
      <x:c r="F530" s="18" t="n">
        <x:f>C530*E530</x:f>
        <x:v>100</x:v>
      </x:c>
      <x:c r="G530" s="18" t="n">
        <x:f>ROUNDUP(F530*(1+D530),0)</x:f>
        <x:v>102</x:v>
      </x:c>
      <x:c r="H530" s="18" t="n">
        <x:f>INDEX('Dated offers'!$F$7:$F$305,MATCH($Z530,'Dated offers'!$A$7:$A$305,0))</x:f>
        <x:v>1</x:v>
      </x:c>
      <x:c r="I530" s="18" t="n">
        <x:f>INDEX('Dated offers'!$G$7:$G$305,MATCH($Z530,'Dated offers'!$A$7:$A$305,0))</x:f>
        <x:v>1</x:v>
      </x:c>
      <x:c r="J530" s="18" t="n">
        <x:f>CEILING(MAX(G530,H530),I530)</x:f>
        <x:v>102</x:v>
      </x:c>
      <x:c r="K530" s="18" t="n">
        <x:v>102</x:v>
      </x:c>
      <x:c r="L530" s="18" t="n">
        <x:f>INDEX('Dated offers'!$I$7:$I$305,MATCH($Z530,'Dated offers'!$A$7:$A$305,0))</x:f>
        <x:v>100</x:v>
      </x:c>
      <x:c r="M530" s="25" t="n">
        <x:f>INDEX('Dated offers'!$J$7:$J$305,MATCH($Z530,'Dated offers'!$A$7:$A$305,0))</x:f>
        <x:v>3.137</x:v>
      </x:c>
      <x:c r="N530" s="25" t="n">
        <x:f>INDEX('Dated offers'!$K$7:$K$305,MATCH($Z530,'Dated offers'!$A$7:$A$305,0))</x:f>
        <x:v>0</x:v>
      </x:c>
      <x:c r="O530" s="25" t="n">
        <x:f>F530*M530</x:f>
        <x:v>313.7</x:v>
      </x:c>
      <x:c r="P530" s="25" t="n">
        <x:f>G530*M530</x:f>
        <x:v>319.974</x:v>
      </x:c>
      <x:c r="Q530" s="25" t="n">
        <x:f>K530*M530+N530</x:f>
        <x:v>319.974</x:v>
      </x:c>
      <x:c r="R530" s="18" t="n">
        <x:f>K530-G530</x:f>
        <x:v>0</x:v>
      </x:c>
      <x:c r="S530" s="18" t="n">
        <x:f>INDEX('Dated offers'!$H$7:$H$305,MATCH($Z530,'Dated offers'!$A$7:$A$305,0))</x:f>
        <x:v>4387</x:v>
      </x:c>
      <x:c r="T530" s="2" t="str">
        <x:f>IF(K530&lt;G530,"Order below requirement",IF(K530&lt;L530,"Below price tier",IF(ISNUMBER(S530),IF(K530&gt;S530,"Quantity exceeds snapshot","Within quantity snapshot"),"Stock not stated")))</x:f>
        <x:v>Within quantity snapshot</x:v>
      </x:c>
      <x:c r="U530" s="2" t="str">
        <x:f>INDEX('Dated offers'!$C$7:$C$305,MATCH($Z530,'Dated offers'!$A$7:$A$305,0))</x:f>
        <x:v>DigiKey</x:v>
      </x:c>
      <x:c r="V530" s="2" t="str">
        <x:f>INDEX('Dated offers'!$D$7:$D$305,MATCH($Z530,'Dated offers'!$A$7:$A$305,0))</x:f>
        <x:v>Not stated</x:v>
      </x:c>
      <x:c r="W530" s="24" t="n">
        <x:f>INDEX('Dated offers'!$E$7:$E$305,MATCH($Z530,'Dated offers'!$A$7:$A$305,0))</x:f>
        <x:v>46307.47807256944</x:v>
      </x:c>
      <x:c r="X530" s="2" t="b">
        <x:f>INDEX('Dated offers'!$N$7:$N$305,MATCH($Z530,'Dated offers'!$A$7:$A$305,0))</x:f>
        <x:v>0</x:v>
      </x:c>
      <x:c r="Y530" s="2" t="str">
        <x:f>INDEX('Dated offers'!$O$7:$O$305,MATCH($Z530,'Dated offers'!$A$7:$A$305,0))</x:f>
        <x:v>Unreserved inventory snapshot</x:v>
      </x:c>
      <x:c r="Z530" s="17" t="str">
        <x:v>OF0211</x:v>
      </x:c>
      <x:c r="AA530" s="2"/>
      <x:c r="AB530" s="2" t="str">
        <x:f>INDEX('Dated offers'!$Q$7:$Q$305,MATCH($Z530,'Dated offers'!$A$7:$A$305,0))</x:f>
        <x:v>https://www.digikey.com/en/products/detail/espressif-systems/ESP32-S3FN8/15822446</x:v>
      </x:c>
    </x:row>
    <x:row r="531" ht="24" customHeight="1">
      <x:c r="A531" s="2" t="str">
        <x:v>100 boards / 2% planning</x:v>
      </x:c>
      <x:c r="B531" s="17" t="str">
        <x:v>F1206HI4000V032TM</x:v>
      </x:c>
      <x:c r="C531" s="18" t="n">
        <x:v>100</x:v>
      </x:c>
      <x:c r="D531" s="27" t="n">
        <x:v>0.02</x:v>
      </x:c>
      <x:c r="E531" s="18" t="n">
        <x:f>INDEX('Assembly BOM'!$C$7:$C$162,MATCH($B531,'Assembly BOM'!$A$7:$A$162,0))</x:f>
        <x:v>1</x:v>
      </x:c>
      <x:c r="F531" s="18" t="n">
        <x:f>C531*E531</x:f>
        <x:v>100</x:v>
      </x:c>
      <x:c r="G531" s="18" t="n">
        <x:f>ROUNDUP(F531*(1+D531),0)</x:f>
        <x:v>102</x:v>
      </x:c>
      <x:c r="H531" s="18" t="n">
        <x:f>INDEX('Dated offers'!$F$7:$F$305,MATCH($Z531,'Dated offers'!$A$7:$A$305,0))</x:f>
        <x:v>5</x:v>
      </x:c>
      <x:c r="I531" s="18" t="n">
        <x:f>INDEX('Dated offers'!$G$7:$G$305,MATCH($Z531,'Dated offers'!$A$7:$A$305,0))</x:f>
        <x:v>5</x:v>
      </x:c>
      <x:c r="J531" s="18" t="n">
        <x:f>CEILING(MAX(G531,H531),I531)</x:f>
        <x:v>105</x:v>
      </x:c>
      <x:c r="K531" s="18" t="n">
        <x:v>105</x:v>
      </x:c>
      <x:c r="L531" s="18" t="n">
        <x:f>INDEX('Dated offers'!$I$7:$I$305,MATCH($Z531,'Dated offers'!$A$7:$A$305,0))</x:f>
        <x:v>50</x:v>
      </x:c>
      <x:c r="M531" s="25" t="n">
        <x:f>INDEX('Dated offers'!$J$7:$J$305,MATCH($Z531,'Dated offers'!$A$7:$A$305,0))</x:f>
        <x:v>0.228</x:v>
      </x:c>
      <x:c r="N531" s="25" t="n">
        <x:f>INDEX('Dated offers'!$K$7:$K$305,MATCH($Z531,'Dated offers'!$A$7:$A$305,0))</x:f>
        <x:v>0</x:v>
      </x:c>
      <x:c r="O531" s="25" t="n">
        <x:f>F531*M531</x:f>
        <x:v>22.8</x:v>
      </x:c>
      <x:c r="P531" s="25" t="n">
        <x:f>G531*M531</x:f>
        <x:v>23.256</x:v>
      </x:c>
      <x:c r="Q531" s="25" t="n">
        <x:f>K531*M531+N531</x:f>
        <x:v>23.94</x:v>
      </x:c>
      <x:c r="R531" s="18" t="n">
        <x:f>K531-G531</x:f>
        <x:v>3</x:v>
      </x:c>
      <x:c r="S531" s="18" t="n">
        <x:f>INDEX('Dated offers'!$H$7:$H$305,MATCH($Z531,'Dated offers'!$A$7:$A$305,0))</x:f>
        <x:v>6270</x:v>
      </x:c>
      <x:c r="T531" s="2" t="str">
        <x:f>IF(K531&lt;G531,"Order below requirement",IF(K531&lt;L531,"Below price tier",IF(ISNUMBER(S531),IF(K531&gt;S531,"Quantity exceeds snapshot","Within quantity snapshot"),"Stock not stated")))</x:f>
        <x:v>Within quantity snapshot</x:v>
      </x:c>
      <x:c r="U531" s="2" t="str">
        <x:f>INDEX('Dated offers'!$C$7:$C$305,MATCH($Z531,'Dated offers'!$A$7:$A$305,0))</x:f>
        <x:v>LCSC</x:v>
      </x:c>
      <x:c r="V531" s="2" t="str">
        <x:f>INDEX('Dated offers'!$D$7:$D$305,MATCH($Z531,'Dated offers'!$A$7:$A$305,0))</x:f>
        <x:v>C246771</x:v>
      </x:c>
      <x:c r="W531" s="24" t="n">
        <x:f>INDEX('Dated offers'!$E$7:$E$305,MATCH($Z531,'Dated offers'!$A$7:$A$305,0))</x:f>
        <x:v>46307.44742240741</x:v>
      </x:c>
      <x:c r="X531" s="2" t="b">
        <x:f>INDEX('Dated offers'!$N$7:$N$305,MATCH($Z531,'Dated offers'!$A$7:$A$305,0))</x:f>
        <x:v>0</x:v>
      </x:c>
      <x:c r="Y531" s="2" t="str">
        <x:f>INDEX('Dated offers'!$O$7:$O$305,MATCH($Z531,'Dated offers'!$A$7:$A$305,0))</x:f>
        <x:v>Unreserved inventory snapshot</x:v>
      </x:c>
      <x:c r="Z531" s="17" t="str">
        <x:v>OF0212</x:v>
      </x:c>
      <x:c r="AA531" s="2"/>
      <x:c r="AB531" s="2" t="str">
        <x:f>INDEX('Dated offers'!$Q$7:$Q$305,MATCH($Z531,'Dated offers'!$A$7:$A$305,0))</x:f>
        <x:v>https://www.lcsc.com/product-detail/C246771.html</x:v>
      </x:c>
    </x:row>
    <x:row r="532" ht="24" customHeight="1">
      <x:c r="A532" s="2" t="str">
        <x:v>100 boards / 2% planning</x:v>
      </x:c>
      <x:c r="B532" s="17" t="str">
        <x:v>FSUSB42UMX</x:v>
      </x:c>
      <x:c r="C532" s="18" t="n">
        <x:v>100</x:v>
      </x:c>
      <x:c r="D532" s="27" t="n">
        <x:v>0.02</x:v>
      </x:c>
      <x:c r="E532" s="18" t="n">
        <x:f>INDEX('Assembly BOM'!$C$7:$C$162,MATCH($B532,'Assembly BOM'!$A$7:$A$162,0))</x:f>
        <x:v>1</x:v>
      </x:c>
      <x:c r="F532" s="18" t="n">
        <x:f>C532*E532</x:f>
        <x:v>100</x:v>
      </x:c>
      <x:c r="G532" s="18" t="n">
        <x:f>ROUNDUP(F532*(1+D532),0)</x:f>
        <x:v>102</x:v>
      </x:c>
      <x:c r="H532" s="18" t="n">
        <x:f>INDEX('Dated offers'!$F$7:$F$305,MATCH($Z532,'Dated offers'!$A$7:$A$305,0))</x:f>
        <x:v>1</x:v>
      </x:c>
      <x:c r="I532" s="18" t="n">
        <x:f>INDEX('Dated offers'!$G$7:$G$305,MATCH($Z532,'Dated offers'!$A$7:$A$305,0))</x:f>
        <x:v>1</x:v>
      </x:c>
      <x:c r="J532" s="18" t="n">
        <x:f>CEILING(MAX(G532,H532),I532)</x:f>
        <x:v>102</x:v>
      </x:c>
      <x:c r="K532" s="18" t="n">
        <x:v>102</x:v>
      </x:c>
      <x:c r="L532" s="18" t="n">
        <x:f>INDEX('Dated offers'!$I$7:$I$305,MATCH($Z532,'Dated offers'!$A$7:$A$305,0))</x:f>
        <x:v>100</x:v>
      </x:c>
      <x:c r="M532" s="25" t="n">
        <x:f>INDEX('Dated offers'!$J$7:$J$305,MATCH($Z532,'Dated offers'!$A$7:$A$305,0))</x:f>
        <x:v>0.2549</x:v>
      </x:c>
      <x:c r="N532" s="25" t="n">
        <x:f>INDEX('Dated offers'!$K$7:$K$305,MATCH($Z532,'Dated offers'!$A$7:$A$305,0))</x:f>
        <x:v>0</x:v>
      </x:c>
      <x:c r="O532" s="25" t="n">
        <x:f>F532*M532</x:f>
        <x:v>25.490000000000002</x:v>
      </x:c>
      <x:c r="P532" s="25" t="n">
        <x:f>G532*M532</x:f>
        <x:v>25.9998</x:v>
      </x:c>
      <x:c r="Q532" s="25" t="n">
        <x:f>K532*M532+N532</x:f>
        <x:v>25.9998</x:v>
      </x:c>
      <x:c r="R532" s="18" t="n">
        <x:f>K532-G532</x:f>
        <x:v>0</x:v>
      </x:c>
      <x:c r="S532" s="18" t="n">
        <x:f>INDEX('Dated offers'!$H$7:$H$305,MATCH($Z532,'Dated offers'!$A$7:$A$305,0))</x:f>
        <x:v>20301</x:v>
      </x:c>
      <x:c r="T532" s="2" t="str">
        <x:f>IF(K532&lt;G532,"Order below requirement",IF(K532&lt;L532,"Below price tier",IF(ISNUMBER(S532),IF(K532&gt;S532,"Quantity exceeds snapshot","Within quantity snapshot"),"Stock not stated")))</x:f>
        <x:v>Within quantity snapshot</x:v>
      </x:c>
      <x:c r="U532" s="2" t="str">
        <x:f>INDEX('Dated offers'!$C$7:$C$305,MATCH($Z532,'Dated offers'!$A$7:$A$305,0))</x:f>
        <x:v>LCSC</x:v>
      </x:c>
      <x:c r="V532" s="2" t="str">
        <x:f>INDEX('Dated offers'!$D$7:$D$305,MATCH($Z532,'Dated offers'!$A$7:$A$305,0))</x:f>
        <x:v>C11145</x:v>
      </x:c>
      <x:c r="W532" s="24" t="n">
        <x:f>INDEX('Dated offers'!$E$7:$E$305,MATCH($Z532,'Dated offers'!$A$7:$A$305,0))</x:f>
        <x:v>46307.447422847225</x:v>
      </x:c>
      <x:c r="X532" s="2" t="b">
        <x:f>INDEX('Dated offers'!$N$7:$N$305,MATCH($Z532,'Dated offers'!$A$7:$A$305,0))</x:f>
        <x:v>0</x:v>
      </x:c>
      <x:c r="Y532" s="2" t="str">
        <x:f>INDEX('Dated offers'!$O$7:$O$305,MATCH($Z532,'Dated offers'!$A$7:$A$305,0))</x:f>
        <x:v>Unreserved inventory snapshot</x:v>
      </x:c>
      <x:c r="Z532" s="17" t="str">
        <x:v>OF0213</x:v>
      </x:c>
      <x:c r="AA532" s="2"/>
      <x:c r="AB532" s="2" t="str">
        <x:f>INDEX('Dated offers'!$Q$7:$Q$305,MATCH($Z532,'Dated offers'!$A$7:$A$305,0))</x:f>
        <x:v>https://www.lcsc.com/product-detail/C11145.html</x:v>
      </x:c>
    </x:row>
    <x:row r="533" ht="24" customHeight="1">
      <x:c r="A533" s="2" t="str">
        <x:v>100 boards / 2% planning</x:v>
      </x:c>
      <x:c r="B533" s="17" t="str">
        <x:v>GRM1555C1H270JA01D</x:v>
      </x:c>
      <x:c r="C533" s="18" t="n">
        <x:v>100</x:v>
      </x:c>
      <x:c r="D533" s="27" t="n">
        <x:v>0.02</x:v>
      </x:c>
      <x:c r="E533" s="18" t="n">
        <x:f>INDEX('Assembly BOM'!$C$7:$C$162,MATCH($B533,'Assembly BOM'!$A$7:$A$162,0))</x:f>
        <x:v>2</x:v>
      </x:c>
      <x:c r="F533" s="18" t="n">
        <x:f>C533*E533</x:f>
        <x:v>200</x:v>
      </x:c>
      <x:c r="G533" s="18" t="n">
        <x:f>ROUNDUP(F533*(1+D533),0)</x:f>
        <x:v>204</x:v>
      </x:c>
      <x:c r="H533" s="18" t="n">
        <x:f>INDEX('Dated offers'!$F$7:$F$305,MATCH($Z533,'Dated offers'!$A$7:$A$305,0))</x:f>
        <x:v>1</x:v>
      </x:c>
      <x:c r="I533" s="18" t="n">
        <x:f>INDEX('Dated offers'!$G$7:$G$305,MATCH($Z533,'Dated offers'!$A$7:$A$305,0))</x:f>
        <x:v>1</x:v>
      </x:c>
      <x:c r="J533" s="18" t="n">
        <x:f>CEILING(MAX(G533,H533),I533)</x:f>
        <x:v>204</x:v>
      </x:c>
      <x:c r="K533" s="18" t="n">
        <x:v>204</x:v>
      </x:c>
      <x:c r="L533" s="18" t="n">
        <x:f>INDEX('Dated offers'!$I$7:$I$305,MATCH($Z533,'Dated offers'!$A$7:$A$305,0))</x:f>
        <x:v>100</x:v>
      </x:c>
      <x:c r="M533" s="25" t="n">
        <x:f>INDEX('Dated offers'!$J$7:$J$305,MATCH($Z533,'Dated offers'!$A$7:$A$305,0))</x:f>
        <x:v>0.0119</x:v>
      </x:c>
      <x:c r="N533" s="25" t="n">
        <x:f>INDEX('Dated offers'!$K$7:$K$305,MATCH($Z533,'Dated offers'!$A$7:$A$305,0))</x:f>
        <x:v>0</x:v>
      </x:c>
      <x:c r="O533" s="25" t="n">
        <x:f>F533*M533</x:f>
        <x:v>2.3800000000000003</x:v>
      </x:c>
      <x:c r="P533" s="25" t="n">
        <x:f>G533*M533</x:f>
        <x:v>2.4276</x:v>
      </x:c>
      <x:c r="Q533" s="25" t="n">
        <x:f>K533*M533+N533</x:f>
        <x:v>2.4276</x:v>
      </x:c>
      <x:c r="R533" s="18" t="n">
        <x:f>K533-G533</x:f>
        <x:v>0</x:v>
      </x:c>
      <x:c r="S533" s="18" t="n">
        <x:f>INDEX('Dated offers'!$H$7:$H$305,MATCH($Z533,'Dated offers'!$A$7:$A$305,0))</x:f>
        <x:v>4471424</x:v>
      </x:c>
      <x:c r="T533" s="2" t="str">
        <x:f>IF(K533&lt;G533,"Order below requirement",IF(K533&lt;L533,"Below price tier",IF(ISNUMBER(S533),IF(K533&gt;S533,"Quantity exceeds snapshot","Within quantity snapshot"),"Stock not stated")))</x:f>
        <x:v>Within quantity snapshot</x:v>
      </x:c>
      <x:c r="U533" s="2" t="str">
        <x:f>INDEX('Dated offers'!$C$7:$C$305,MATCH($Z533,'Dated offers'!$A$7:$A$305,0))</x:f>
        <x:v>DigiKey</x:v>
      </x:c>
      <x:c r="V533" s="2" t="str">
        <x:f>INDEX('Dated offers'!$D$7:$D$305,MATCH($Z533,'Dated offers'!$A$7:$A$305,0))</x:f>
        <x:v>Not stated</x:v>
      </x:c>
      <x:c r="W533" s="24" t="n">
        <x:f>INDEX('Dated offers'!$E$7:$E$305,MATCH($Z533,'Dated offers'!$A$7:$A$305,0))</x:f>
        <x:v>46307.47807256944</x:v>
      </x:c>
      <x:c r="X533" s="2" t="b">
        <x:f>INDEX('Dated offers'!$N$7:$N$305,MATCH($Z533,'Dated offers'!$A$7:$A$305,0))</x:f>
        <x:v>0</x:v>
      </x:c>
      <x:c r="Y533" s="2" t="str">
        <x:f>INDEX('Dated offers'!$O$7:$O$305,MATCH($Z533,'Dated offers'!$A$7:$A$305,0))</x:f>
        <x:v>Unreserved inventory snapshot</x:v>
      </x:c>
      <x:c r="Z533" s="17" t="str">
        <x:v>OF0214</x:v>
      </x:c>
      <x:c r="AA533" s="2"/>
      <x:c r="AB533" s="2" t="str">
        <x:f>INDEX('Dated offers'!$Q$7:$Q$305,MATCH($Z533,'Dated offers'!$A$7:$A$305,0))</x:f>
        <x:v>https://www.digikey.com/en/products/detail/murata-electronics/GRM1555C1H270JA01D/3175188</x:v>
      </x:c>
    </x:row>
    <x:row r="534" ht="24" customHeight="1">
      <x:c r="A534" s="2" t="str">
        <x:v>100 boards / 2% planning</x:v>
      </x:c>
      <x:c r="B534" s="17" t="str">
        <x:v>GRM155R71C104KA88D</x:v>
      </x:c>
      <x:c r="C534" s="18" t="n">
        <x:v>100</x:v>
      </x:c>
      <x:c r="D534" s="27" t="n">
        <x:v>0.02</x:v>
      </x:c>
      <x:c r="E534" s="18" t="n">
        <x:f>INDEX('Assembly BOM'!$C$7:$C$162,MATCH($B534,'Assembly BOM'!$A$7:$A$162,0))</x:f>
        <x:v>5</x:v>
      </x:c>
      <x:c r="F534" s="18" t="n">
        <x:f>C534*E534</x:f>
        <x:v>500</x:v>
      </x:c>
      <x:c r="G534" s="18" t="n">
        <x:f>ROUNDUP(F534*(1+D534),0)</x:f>
        <x:v>510</x:v>
      </x:c>
      <x:c r="H534" s="18" t="n">
        <x:f>INDEX('Dated offers'!$F$7:$F$305,MATCH($Z534,'Dated offers'!$A$7:$A$305,0))</x:f>
        <x:v>100</x:v>
      </x:c>
      <x:c r="I534" s="18" t="n">
        <x:f>INDEX('Dated offers'!$G$7:$G$305,MATCH($Z534,'Dated offers'!$A$7:$A$305,0))</x:f>
        <x:v>100</x:v>
      </x:c>
      <x:c r="J534" s="18" t="n">
        <x:f>CEILING(MAX(G534,H534),I534)</x:f>
        <x:v>600</x:v>
      </x:c>
      <x:c r="K534" s="18" t="n">
        <x:v>600</x:v>
      </x:c>
      <x:c r="L534" s="18" t="n">
        <x:f>INDEX('Dated offers'!$I$7:$I$305,MATCH($Z534,'Dated offers'!$A$7:$A$305,0))</x:f>
        <x:v>100</x:v>
      </x:c>
      <x:c r="M534" s="25" t="n">
        <x:f>INDEX('Dated offers'!$J$7:$J$305,MATCH($Z534,'Dated offers'!$A$7:$A$305,0))</x:f>
        <x:v>0.0052</x:v>
      </x:c>
      <x:c r="N534" s="25" t="n">
        <x:f>INDEX('Dated offers'!$K$7:$K$305,MATCH($Z534,'Dated offers'!$A$7:$A$305,0))</x:f>
        <x:v>0</x:v>
      </x:c>
      <x:c r="O534" s="25" t="n">
        <x:f>F534*M534</x:f>
        <x:v>2.6</x:v>
      </x:c>
      <x:c r="P534" s="25" t="n">
        <x:f>G534*M534</x:f>
        <x:v>2.6519999999999997</x:v>
      </x:c>
      <x:c r="Q534" s="25" t="n">
        <x:f>K534*M534+N534</x:f>
        <x:v>3.1199999999999997</x:v>
      </x:c>
      <x:c r="R534" s="18" t="n">
        <x:f>K534-G534</x:f>
        <x:v>90</x:v>
      </x:c>
      <x:c r="S534" s="18" t="n">
        <x:f>INDEX('Dated offers'!$H$7:$H$305,MATCH($Z534,'Dated offers'!$A$7:$A$305,0))</x:f>
        <x:v>957800</x:v>
      </x:c>
      <x:c r="T534" s="2" t="str">
        <x:f>IF(K534&lt;G534,"Order below requirement",IF(K534&lt;L534,"Below price tier",IF(ISNUMBER(S534),IF(K534&gt;S534,"Quantity exceeds snapshot","Within quantity snapshot"),"Stock not stated")))</x:f>
        <x:v>Within quantity snapshot</x:v>
      </x:c>
      <x:c r="U534" s="2" t="str">
        <x:f>INDEX('Dated offers'!$C$7:$C$305,MATCH($Z534,'Dated offers'!$A$7:$A$305,0))</x:f>
        <x:v>LCSC</x:v>
      </x:c>
      <x:c r="V534" s="2" t="str">
        <x:f>INDEX('Dated offers'!$D$7:$D$305,MATCH($Z534,'Dated offers'!$A$7:$A$305,0))</x:f>
        <x:v>C71629</x:v>
      </x:c>
      <x:c r="W534" s="24" t="n">
        <x:f>INDEX('Dated offers'!$E$7:$E$305,MATCH($Z534,'Dated offers'!$A$7:$A$305,0))</x:f>
        <x:v>46307.44742510417</x:v>
      </x:c>
      <x:c r="X534" s="2" t="b">
        <x:f>INDEX('Dated offers'!$N$7:$N$305,MATCH($Z534,'Dated offers'!$A$7:$A$305,0))</x:f>
        <x:v>0</x:v>
      </x:c>
      <x:c r="Y534" s="2" t="str">
        <x:f>INDEX('Dated offers'!$O$7:$O$305,MATCH($Z534,'Dated offers'!$A$7:$A$305,0))</x:f>
        <x:v>Unreserved inventory snapshot</x:v>
      </x:c>
      <x:c r="Z534" s="17" t="str">
        <x:v>OF0060</x:v>
      </x:c>
      <x:c r="AA534" s="2"/>
      <x:c r="AB534" s="2" t="str">
        <x:f>INDEX('Dated offers'!$Q$7:$Q$305,MATCH($Z534,'Dated offers'!$A$7:$A$305,0))</x:f>
        <x:v>https://www.lcsc.com/product-detail/C71629.html</x:v>
      </x:c>
    </x:row>
    <x:row r="535" ht="24" customHeight="1">
      <x:c r="A535" s="2" t="str">
        <x:v>100 boards / 2% planning</x:v>
      </x:c>
      <x:c r="B535" s="17" t="str">
        <x:v>GRM155R71E222KA01D</x:v>
      </x:c>
      <x:c r="C535" s="18" t="n">
        <x:v>100</x:v>
      </x:c>
      <x:c r="D535" s="27" t="n">
        <x:v>0.02</x:v>
      </x:c>
      <x:c r="E535" s="18" t="n">
        <x:f>INDEX('Assembly BOM'!$C$7:$C$162,MATCH($B535,'Assembly BOM'!$A$7:$A$162,0))</x:f>
        <x:v>3</x:v>
      </x:c>
      <x:c r="F535" s="18" t="n">
        <x:f>C535*E535</x:f>
        <x:v>300</x:v>
      </x:c>
      <x:c r="G535" s="18" t="n">
        <x:f>ROUNDUP(F535*(1+D535),0)</x:f>
        <x:v>306</x:v>
      </x:c>
      <x:c r="H535" s="18" t="n">
        <x:f>INDEX('Dated offers'!$F$7:$F$305,MATCH($Z535,'Dated offers'!$A$7:$A$305,0))</x:f>
        <x:v>1</x:v>
      </x:c>
      <x:c r="I535" s="18" t="n">
        <x:f>INDEX('Dated offers'!$G$7:$G$305,MATCH($Z535,'Dated offers'!$A$7:$A$305,0))</x:f>
        <x:v>1</x:v>
      </x:c>
      <x:c r="J535" s="18" t="n">
        <x:f>CEILING(MAX(G535,H535),I535)</x:f>
        <x:v>306</x:v>
      </x:c>
      <x:c r="K535" s="18" t="n">
        <x:v>306</x:v>
      </x:c>
      <x:c r="L535" s="18" t="n">
        <x:f>INDEX('Dated offers'!$I$7:$I$305,MATCH($Z535,'Dated offers'!$A$7:$A$305,0))</x:f>
        <x:v>100</x:v>
      </x:c>
      <x:c r="M535" s="25" t="n">
        <x:f>INDEX('Dated offers'!$J$7:$J$305,MATCH($Z535,'Dated offers'!$A$7:$A$305,0))</x:f>
        <x:v>0.0113</x:v>
      </x:c>
      <x:c r="N535" s="25" t="n">
        <x:f>INDEX('Dated offers'!$K$7:$K$305,MATCH($Z535,'Dated offers'!$A$7:$A$305,0))</x:f>
        <x:v>0</x:v>
      </x:c>
      <x:c r="O535" s="25" t="n">
        <x:f>F535*M535</x:f>
        <x:v>3.3899999999999997</x:v>
      </x:c>
      <x:c r="P535" s="25" t="n">
        <x:f>G535*M535</x:f>
        <x:v>3.4577999999999998</x:v>
      </x:c>
      <x:c r="Q535" s="25" t="n">
        <x:f>K535*M535+N535</x:f>
        <x:v>3.4577999999999998</x:v>
      </x:c>
      <x:c r="R535" s="18" t="n">
        <x:f>K535-G535</x:f>
        <x:v>0</x:v>
      </x:c>
      <x:c r="S535" s="18" t="n">
        <x:f>INDEX('Dated offers'!$H$7:$H$305,MATCH($Z535,'Dated offers'!$A$7:$A$305,0))</x:f>
        <x:v>85441</x:v>
      </x:c>
      <x:c r="T535" s="2" t="str">
        <x:f>IF(K535&lt;G535,"Order below requirement",IF(K535&lt;L535,"Below price tier",IF(ISNUMBER(S535),IF(K535&gt;S535,"Quantity exceeds snapshot","Within quantity snapshot"),"Stock not stated")))</x:f>
        <x:v>Within quantity snapshot</x:v>
      </x:c>
      <x:c r="U535" s="2" t="str">
        <x:f>INDEX('Dated offers'!$C$7:$C$305,MATCH($Z535,'Dated offers'!$A$7:$A$305,0))</x:f>
        <x:v>DigiKey</x:v>
      </x:c>
      <x:c r="V535" s="2" t="str">
        <x:f>INDEX('Dated offers'!$D$7:$D$305,MATCH($Z535,'Dated offers'!$A$7:$A$305,0))</x:f>
        <x:v>Not stated</x:v>
      </x:c>
      <x:c r="W535" s="24" t="n">
        <x:f>INDEX('Dated offers'!$E$7:$E$305,MATCH($Z535,'Dated offers'!$A$7:$A$305,0))</x:f>
        <x:v>46307.47807256944</x:v>
      </x:c>
      <x:c r="X535" s="2" t="b">
        <x:f>INDEX('Dated offers'!$N$7:$N$305,MATCH($Z535,'Dated offers'!$A$7:$A$305,0))</x:f>
        <x:v>0</x:v>
      </x:c>
      <x:c r="Y535" s="2" t="str">
        <x:f>INDEX('Dated offers'!$O$7:$O$305,MATCH($Z535,'Dated offers'!$A$7:$A$305,0))</x:f>
        <x:v>Unreserved inventory snapshot</x:v>
      </x:c>
      <x:c r="Z535" s="17" t="str">
        <x:v>OF0215</x:v>
      </x:c>
      <x:c r="AA535" s="2"/>
      <x:c r="AB535" s="2" t="str">
        <x:f>INDEX('Dated offers'!$Q$7:$Q$305,MATCH($Z535,'Dated offers'!$A$7:$A$305,0))</x:f>
        <x:v>https://www.digikey.com/en/products/detail/murata-electronics/GRM155R71E222KA01D/2175226</x:v>
      </x:c>
    </x:row>
    <x:row r="536" ht="24" customHeight="1">
      <x:c r="A536" s="2" t="str">
        <x:v>100 boards / 2% planning</x:v>
      </x:c>
      <x:c r="B536" s="17" t="str">
        <x:v>GRM188R72A104KA35D</x:v>
      </x:c>
      <x:c r="C536" s="18" t="n">
        <x:v>100</x:v>
      </x:c>
      <x:c r="D536" s="27" t="n">
        <x:v>0.02</x:v>
      </x:c>
      <x:c r="E536" s="18" t="n">
        <x:f>INDEX('Assembly BOM'!$C$7:$C$162,MATCH($B536,'Assembly BOM'!$A$7:$A$162,0))</x:f>
        <x:v>3</x:v>
      </x:c>
      <x:c r="F536" s="18" t="n">
        <x:f>C536*E536</x:f>
        <x:v>300</x:v>
      </x:c>
      <x:c r="G536" s="18" t="n">
        <x:f>ROUNDUP(F536*(1+D536),0)</x:f>
        <x:v>306</x:v>
      </x:c>
      <x:c r="H536" s="18" t="n">
        <x:f>INDEX('Dated offers'!$F$7:$F$305,MATCH($Z536,'Dated offers'!$A$7:$A$305,0))</x:f>
        <x:v>1</x:v>
      </x:c>
      <x:c r="I536" s="18" t="n">
        <x:f>INDEX('Dated offers'!$G$7:$G$305,MATCH($Z536,'Dated offers'!$A$7:$A$305,0))</x:f>
        <x:v>1</x:v>
      </x:c>
      <x:c r="J536" s="18" t="n">
        <x:f>CEILING(MAX(G536,H536),I536)</x:f>
        <x:v>306</x:v>
      </x:c>
      <x:c r="K536" s="18" t="n">
        <x:v>306</x:v>
      </x:c>
      <x:c r="L536" s="18" t="n">
        <x:f>INDEX('Dated offers'!$I$7:$I$305,MATCH($Z536,'Dated offers'!$A$7:$A$305,0))</x:f>
        <x:v>100</x:v>
      </x:c>
      <x:c r="M536" s="25" t="n">
        <x:f>INDEX('Dated offers'!$J$7:$J$305,MATCH($Z536,'Dated offers'!$A$7:$A$305,0))</x:f>
        <x:v>0.0532</x:v>
      </x:c>
      <x:c r="N536" s="25" t="n">
        <x:f>INDEX('Dated offers'!$K$7:$K$305,MATCH($Z536,'Dated offers'!$A$7:$A$305,0))</x:f>
        <x:v>0</x:v>
      </x:c>
      <x:c r="O536" s="25" t="n">
        <x:f>F536*M536</x:f>
        <x:v>15.959999999999999</x:v>
      </x:c>
      <x:c r="P536" s="25" t="n">
        <x:f>G536*M536</x:f>
        <x:v>16.2792</x:v>
      </x:c>
      <x:c r="Q536" s="25" t="n">
        <x:f>K536*M536+N536</x:f>
        <x:v>16.2792</x:v>
      </x:c>
      <x:c r="R536" s="18" t="n">
        <x:f>K536-G536</x:f>
        <x:v>0</x:v>
      </x:c>
      <x:c r="S536" s="18" t="n">
        <x:f>INDEX('Dated offers'!$H$7:$H$305,MATCH($Z536,'Dated offers'!$A$7:$A$305,0))</x:f>
        <x:v>404101</x:v>
      </x:c>
      <x:c r="T536" s="2" t="str">
        <x:f>IF(K536&lt;G536,"Order below requirement",IF(K536&lt;L536,"Below price tier",IF(ISNUMBER(S536),IF(K536&gt;S536,"Quantity exceeds snapshot","Within quantity snapshot"),"Stock not stated")))</x:f>
        <x:v>Within quantity snapshot</x:v>
      </x:c>
      <x:c r="U536" s="2" t="str">
        <x:f>INDEX('Dated offers'!$C$7:$C$305,MATCH($Z536,'Dated offers'!$A$7:$A$305,0))</x:f>
        <x:v>DigiKey</x:v>
      </x:c>
      <x:c r="V536" s="2" t="str">
        <x:f>INDEX('Dated offers'!$D$7:$D$305,MATCH($Z536,'Dated offers'!$A$7:$A$305,0))</x:f>
        <x:v>Exact GRM188R72A104KA35D Cut Tape</x:v>
      </x:c>
      <x:c r="W536" s="24" t="n">
        <x:f>INDEX('Dated offers'!$E$7:$E$305,MATCH($Z536,'Dated offers'!$A$7:$A$305,0))</x:f>
        <x:v>46307.7145725</x:v>
      </x:c>
      <x:c r="X536" s="2" t="b">
        <x:f>INDEX('Dated offers'!$N$7:$N$305,MATCH($Z536,'Dated offers'!$A$7:$A$305,0))</x:f>
        <x:v>0</x:v>
      </x:c>
      <x:c r="Y536" s="2" t="str">
        <x:f>INDEX('Dated offers'!$O$7:$O$305,MATCH($Z536,'Dated offers'!$A$7:$A$305,0))</x:f>
        <x:v>Unreserved inventory snapshot</x:v>
      </x:c>
      <x:c r="Z536" s="17" t="str">
        <x:v>OF0216</x:v>
      </x:c>
      <x:c r="AA536" s="2"/>
      <x:c r="AB536" s="2" t="str">
        <x:f>INDEX('Dated offers'!$Q$7:$Q$305,MATCH($Z536,'Dated offers'!$A$7:$A$305,0))</x:f>
        <x:v>https://www.digikey.com/en/products/detail/murata-electronics/GRM188R72A104KA35D/702826</x:v>
      </x:c>
    </x:row>
    <x:row r="537" ht="24" customHeight="1">
      <x:c r="A537" s="2" t="str">
        <x:v>100 boards / 2% planning</x:v>
      </x:c>
      <x:c r="B537" s="17" t="str">
        <x:v>GRM31C5C1H224JE02L</x:v>
      </x:c>
      <x:c r="C537" s="18" t="n">
        <x:v>100</x:v>
      </x:c>
      <x:c r="D537" s="27" t="n">
        <x:v>0.02</x:v>
      </x:c>
      <x:c r="E537" s="18" t="n">
        <x:f>INDEX('Assembly BOM'!$C$7:$C$162,MATCH($B537,'Assembly BOM'!$A$7:$A$162,0))</x:f>
        <x:v>1</x:v>
      </x:c>
      <x:c r="F537" s="18" t="n">
        <x:f>C537*E537</x:f>
        <x:v>100</x:v>
      </x:c>
      <x:c r="G537" s="18" t="n">
        <x:f>ROUNDUP(F537*(1+D537),0)</x:f>
        <x:v>102</x:v>
      </x:c>
      <x:c r="H537" s="18" t="n">
        <x:f>INDEX('Dated offers'!$F$7:$F$305,MATCH($Z537,'Dated offers'!$A$7:$A$305,0))</x:f>
        <x:v>5</x:v>
      </x:c>
      <x:c r="I537" s="18" t="n">
        <x:f>INDEX('Dated offers'!$G$7:$G$305,MATCH($Z537,'Dated offers'!$A$7:$A$305,0))</x:f>
        <x:v>5</x:v>
      </x:c>
      <x:c r="J537" s="18" t="n">
        <x:f>CEILING(MAX(G537,H537),I537)</x:f>
        <x:v>105</x:v>
      </x:c>
      <x:c r="K537" s="18" t="n">
        <x:v>105</x:v>
      </x:c>
      <x:c r="L537" s="18" t="n">
        <x:f>INDEX('Dated offers'!$I$7:$I$305,MATCH($Z537,'Dated offers'!$A$7:$A$305,0))</x:f>
        <x:v>50</x:v>
      </x:c>
      <x:c r="M537" s="25" t="n">
        <x:f>INDEX('Dated offers'!$J$7:$J$305,MATCH($Z537,'Dated offers'!$A$7:$A$305,0))</x:f>
        <x:v>0.2897</x:v>
      </x:c>
      <x:c r="N537" s="25" t="n">
        <x:f>INDEX('Dated offers'!$K$7:$K$305,MATCH($Z537,'Dated offers'!$A$7:$A$305,0))</x:f>
        <x:v>0</x:v>
      </x:c>
      <x:c r="O537" s="25" t="n">
        <x:f>F537*M537</x:f>
        <x:v>28.970000000000002</x:v>
      </x:c>
      <x:c r="P537" s="25" t="n">
        <x:f>G537*M537</x:f>
        <x:v>29.549400000000002</x:v>
      </x:c>
      <x:c r="Q537" s="25" t="n">
        <x:f>K537*M537+N537</x:f>
        <x:v>30.4185</x:v>
      </x:c>
      <x:c r="R537" s="18" t="n">
        <x:f>K537-G537</x:f>
        <x:v>3</x:v>
      </x:c>
      <x:c r="S537" s="18" t="n">
        <x:f>INDEX('Dated offers'!$H$7:$H$305,MATCH($Z537,'Dated offers'!$A$7:$A$305,0))</x:f>
        <x:v>68865</x:v>
      </x:c>
      <x:c r="T537" s="2" t="str">
        <x:f>IF(K537&lt;G537,"Order below requirement",IF(K537&lt;L537,"Below price tier",IF(ISNUMBER(S537),IF(K537&gt;S537,"Quantity exceeds snapshot","Within quantity snapshot"),"Stock not stated")))</x:f>
        <x:v>Within quantity snapshot</x:v>
      </x:c>
      <x:c r="U537" s="2" t="str">
        <x:f>INDEX('Dated offers'!$C$7:$C$305,MATCH($Z537,'Dated offers'!$A$7:$A$305,0))</x:f>
        <x:v>LCSC</x:v>
      </x:c>
      <x:c r="V537" s="2" t="str">
        <x:f>INDEX('Dated offers'!$D$7:$D$305,MATCH($Z537,'Dated offers'!$A$7:$A$305,0))</x:f>
        <x:v>C464977</x:v>
      </x:c>
      <x:c r="W537" s="24" t="n">
        <x:f>INDEX('Dated offers'!$E$7:$E$305,MATCH($Z537,'Dated offers'!$A$7:$A$305,0))</x:f>
        <x:v>46307.619585625</x:v>
      </x:c>
      <x:c r="X537" s="2" t="b">
        <x:f>INDEX('Dated offers'!$N$7:$N$305,MATCH($Z537,'Dated offers'!$A$7:$A$305,0))</x:f>
        <x:v>0</x:v>
      </x:c>
      <x:c r="Y537" s="2" t="str">
        <x:f>INDEX('Dated offers'!$O$7:$O$305,MATCH($Z537,'Dated offers'!$A$7:$A$305,0))</x:f>
        <x:v>Unreserved inventory snapshot</x:v>
      </x:c>
      <x:c r="Z537" s="17" t="str">
        <x:v>OF0217</x:v>
      </x:c>
      <x:c r="AA537" s="2"/>
      <x:c r="AB537" s="2" t="str">
        <x:f>INDEX('Dated offers'!$Q$7:$Q$305,MATCH($Z537,'Dated offers'!$A$7:$A$305,0))</x:f>
        <x:v>https://www.lcsc.com/product-detail/C464977.html</x:v>
      </x:c>
    </x:row>
    <x:row r="538" ht="24" customHeight="1">
      <x:c r="A538" s="2" t="str">
        <x:v>100 boards / 2% planning</x:v>
      </x:c>
      <x:c r="B538" s="17" t="str">
        <x:v>GRM31C5C2A683JA01L</x:v>
      </x:c>
      <x:c r="C538" s="18" t="n">
        <x:v>100</x:v>
      </x:c>
      <x:c r="D538" s="27" t="n">
        <x:v>0.02</x:v>
      </x:c>
      <x:c r="E538" s="18" t="n">
        <x:f>INDEX('Assembly BOM'!$C$7:$C$162,MATCH($B538,'Assembly BOM'!$A$7:$A$162,0))</x:f>
        <x:v>1</x:v>
      </x:c>
      <x:c r="F538" s="18" t="n">
        <x:f>C538*E538</x:f>
        <x:v>100</x:v>
      </x:c>
      <x:c r="G538" s="18" t="n">
        <x:f>ROUNDUP(F538*(1+D538),0)</x:f>
        <x:v>102</x:v>
      </x:c>
      <x:c r="H538" s="18" t="n">
        <x:f>INDEX('Dated offers'!$F$7:$F$305,MATCH($Z538,'Dated offers'!$A$7:$A$305,0))</x:f>
        <x:v>1</x:v>
      </x:c>
      <x:c r="I538" s="18" t="n">
        <x:f>INDEX('Dated offers'!$G$7:$G$305,MATCH($Z538,'Dated offers'!$A$7:$A$305,0))</x:f>
        <x:v>1</x:v>
      </x:c>
      <x:c r="J538" s="18" t="n">
        <x:f>CEILING(MAX(G538,H538),I538)</x:f>
        <x:v>102</x:v>
      </x:c>
      <x:c r="K538" s="18" t="n">
        <x:v>102</x:v>
      </x:c>
      <x:c r="L538" s="18" t="n">
        <x:f>INDEX('Dated offers'!$I$7:$I$305,MATCH($Z538,'Dated offers'!$A$7:$A$305,0))</x:f>
        <x:v>100</x:v>
      </x:c>
      <x:c r="M538" s="25" t="n">
        <x:f>INDEX('Dated offers'!$J$7:$J$305,MATCH($Z538,'Dated offers'!$A$7:$A$305,0))</x:f>
        <x:v>0.2061</x:v>
      </x:c>
      <x:c r="N538" s="25" t="n">
        <x:f>INDEX('Dated offers'!$K$7:$K$305,MATCH($Z538,'Dated offers'!$A$7:$A$305,0))</x:f>
        <x:v>0</x:v>
      </x:c>
      <x:c r="O538" s="25" t="n">
        <x:f>F538*M538</x:f>
        <x:v>20.61</x:v>
      </x:c>
      <x:c r="P538" s="25" t="n">
        <x:f>G538*M538</x:f>
        <x:v>21.0222</x:v>
      </x:c>
      <x:c r="Q538" s="25" t="n">
        <x:f>K538*M538+N538</x:f>
        <x:v>21.0222</x:v>
      </x:c>
      <x:c r="R538" s="18" t="n">
        <x:f>K538-G538</x:f>
        <x:v>0</x:v>
      </x:c>
      <x:c r="S538" s="18" t="n">
        <x:f>INDEX('Dated offers'!$H$7:$H$305,MATCH($Z538,'Dated offers'!$A$7:$A$305,0))</x:f>
        <x:v>22417</x:v>
      </x:c>
      <x:c r="T538" s="2" t="str">
        <x:f>IF(K538&lt;G538,"Order below requirement",IF(K538&lt;L538,"Below price tier",IF(ISNUMBER(S538),IF(K538&gt;S538,"Quantity exceeds snapshot","Within quantity snapshot"),"Stock not stated")))</x:f>
        <x:v>Within quantity snapshot</x:v>
      </x:c>
      <x:c r="U538" s="2" t="str">
        <x:f>INDEX('Dated offers'!$C$7:$C$305,MATCH($Z538,'Dated offers'!$A$7:$A$305,0))</x:f>
        <x:v>DigiKey</x:v>
      </x:c>
      <x:c r="V538" s="2" t="str">
        <x:f>INDEX('Dated offers'!$D$7:$D$305,MATCH($Z538,'Dated offers'!$A$7:$A$305,0))</x:f>
        <x:v>Not stated</x:v>
      </x:c>
      <x:c r="W538" s="24" t="n">
        <x:f>INDEX('Dated offers'!$E$7:$E$305,MATCH($Z538,'Dated offers'!$A$7:$A$305,0))</x:f>
        <x:v>46307.47807262732</x:v>
      </x:c>
      <x:c r="X538" s="2" t="b">
        <x:f>INDEX('Dated offers'!$N$7:$N$305,MATCH($Z538,'Dated offers'!$A$7:$A$305,0))</x:f>
        <x:v>0</x:v>
      </x:c>
      <x:c r="Y538" s="2" t="str">
        <x:f>INDEX('Dated offers'!$O$7:$O$305,MATCH($Z538,'Dated offers'!$A$7:$A$305,0))</x:f>
        <x:v>Unreserved inventory snapshot</x:v>
      </x:c>
      <x:c r="Z538" s="17" t="str">
        <x:v>OF0218</x:v>
      </x:c>
      <x:c r="AA538" s="2"/>
      <x:c r="AB538" s="2" t="str">
        <x:f>INDEX('Dated offers'!$Q$7:$Q$305,MATCH($Z538,'Dated offers'!$A$7:$A$305,0))</x:f>
        <x:v>https://www.digikey.com/en/products/detail/murata-electronics/GRM31C5C2A683JA01L/10704119</x:v>
      </x:c>
    </x:row>
    <x:row r="539" ht="24" customHeight="1">
      <x:c r="A539" s="2" t="str">
        <x:v>100 boards / 2% planning</x:v>
      </x:c>
      <x:c r="B539" s="17" t="str">
        <x:v>H2414QR</x:v>
      </x:c>
      <x:c r="C539" s="18" t="n">
        <x:v>100</x:v>
      </x:c>
      <x:c r="D539" s="27" t="n">
        <x:v>0.02</x:v>
      </x:c>
      <x:c r="E539" s="18" t="n">
        <x:f>INDEX('Assembly BOM'!$C$7:$C$162,MATCH($B539,'Assembly BOM'!$A$7:$A$162,0))</x:f>
        <x:v>1</x:v>
      </x:c>
      <x:c r="F539" s="18" t="n">
        <x:f>C539*E539</x:f>
        <x:v>100</x:v>
      </x:c>
      <x:c r="G539" s="18" t="n">
        <x:f>ROUNDUP(F539*(1+D539),0)</x:f>
        <x:v>102</x:v>
      </x:c>
      <x:c r="H539" s="18" t="n">
        <x:f>INDEX('Dated offers'!$F$7:$F$305,MATCH($Z539,'Dated offers'!$A$7:$A$305,0))</x:f>
        <x:v>1</x:v>
      </x:c>
      <x:c r="I539" s="18" t="n">
        <x:f>INDEX('Dated offers'!$G$7:$G$305,MATCH($Z539,'Dated offers'!$A$7:$A$305,0))</x:f>
        <x:v>1</x:v>
      </x:c>
      <x:c r="J539" s="18" t="n">
        <x:f>CEILING(MAX(G539,H539),I539)</x:f>
        <x:v>102</x:v>
      </x:c>
      <x:c r="K539" s="18" t="n">
        <x:v>102</x:v>
      </x:c>
      <x:c r="L539" s="18" t="n">
        <x:f>INDEX('Dated offers'!$I$7:$I$305,MATCH($Z539,'Dated offers'!$A$7:$A$305,0))</x:f>
        <x:v>100</x:v>
      </x:c>
      <x:c r="M539" s="25" t="n">
        <x:f>INDEX('Dated offers'!$J$7:$J$305,MATCH($Z539,'Dated offers'!$A$7:$A$305,0))</x:f>
        <x:v>0.6439</x:v>
      </x:c>
      <x:c r="N539" s="25" t="n">
        <x:f>INDEX('Dated offers'!$K$7:$K$305,MATCH($Z539,'Dated offers'!$A$7:$A$305,0))</x:f>
        <x:v>0</x:v>
      </x:c>
      <x:c r="O539" s="25" t="n">
        <x:f>F539*M539</x:f>
        <x:v>64.39</x:v>
      </x:c>
      <x:c r="P539" s="25" t="n">
        <x:f>G539*M539</x:f>
        <x:v>65.6778</x:v>
      </x:c>
      <x:c r="Q539" s="25" t="n">
        <x:f>K539*M539+N539</x:f>
        <x:v>65.6778</x:v>
      </x:c>
      <x:c r="R539" s="18" t="n">
        <x:f>K539-G539</x:f>
        <x:v>0</x:v>
      </x:c>
      <x:c r="S539" s="18" t="n">
        <x:f>INDEX('Dated offers'!$H$7:$H$305,MATCH($Z539,'Dated offers'!$A$7:$A$305,0))</x:f>
        <x:v>606</x:v>
      </x:c>
      <x:c r="T539" s="2" t="str">
        <x:f>IF(K539&lt;G539,"Order below requirement",IF(K539&lt;L539,"Below price tier",IF(ISNUMBER(S539),IF(K539&gt;S539,"Quantity exceeds snapshot","Within quantity snapshot"),"Stock not stated")))</x:f>
        <x:v>Within quantity snapshot</x:v>
      </x:c>
      <x:c r="U539" s="2" t="str">
        <x:f>INDEX('Dated offers'!$C$7:$C$305,MATCH($Z539,'Dated offers'!$A$7:$A$305,0))</x:f>
        <x:v>LCSC</x:v>
      </x:c>
      <x:c r="V539" s="2" t="str">
        <x:f>INDEX('Dated offers'!$D$7:$D$305,MATCH($Z539,'Dated offers'!$A$7:$A$305,0))</x:f>
        <x:v>C4155001</x:v>
      </x:c>
      <x:c r="W539" s="24" t="n">
        <x:f>INDEX('Dated offers'!$E$7:$E$305,MATCH($Z539,'Dated offers'!$A$7:$A$305,0))</x:f>
        <x:v>46307.447437002316</x:v>
      </x:c>
      <x:c r="X539" s="2" t="b">
        <x:f>INDEX('Dated offers'!$N$7:$N$305,MATCH($Z539,'Dated offers'!$A$7:$A$305,0))</x:f>
        <x:v>0</x:v>
      </x:c>
      <x:c r="Y539" s="2" t="str">
        <x:f>INDEX('Dated offers'!$O$7:$O$305,MATCH($Z539,'Dated offers'!$A$7:$A$305,0))</x:f>
        <x:v>Unreserved inventory snapshot</x:v>
      </x:c>
      <x:c r="Z539" s="17" t="str">
        <x:v>OF0219</x:v>
      </x:c>
      <x:c r="AA539" s="2"/>
      <x:c r="AB539" s="2" t="str">
        <x:f>INDEX('Dated offers'!$Q$7:$Q$305,MATCH($Z539,'Dated offers'!$A$7:$A$305,0))</x:f>
        <x:v>https://www.lcsc.com/product-detail/C4155001.html</x:v>
      </x:c>
    </x:row>
    <x:row r="540" ht="24" customHeight="1">
      <x:c r="A540" s="2" t="str">
        <x:v>100 boards / 2% planning</x:v>
      </x:c>
      <x:c r="B540" s="17" t="str">
        <x:v>KGM05ACG1H150FH</x:v>
      </x:c>
      <x:c r="C540" s="18" t="n">
        <x:v>100</x:v>
      </x:c>
      <x:c r="D540" s="27" t="n">
        <x:v>0.02</x:v>
      </x:c>
      <x:c r="E540" s="18" t="n">
        <x:f>INDEX('Assembly BOM'!$C$7:$C$162,MATCH($B540,'Assembly BOM'!$A$7:$A$162,0))</x:f>
        <x:v>2</x:v>
      </x:c>
      <x:c r="F540" s="18" t="n">
        <x:f>C540*E540</x:f>
        <x:v>200</x:v>
      </x:c>
      <x:c r="G540" s="18" t="n">
        <x:f>ROUNDUP(F540*(1+D540),0)</x:f>
        <x:v>204</x:v>
      </x:c>
      <x:c r="H540" s="18" t="n">
        <x:f>INDEX('Dated offers'!$F$7:$F$305,MATCH($Z540,'Dated offers'!$A$7:$A$305,0))</x:f>
        <x:v>1</x:v>
      </x:c>
      <x:c r="I540" s="18" t="n">
        <x:f>INDEX('Dated offers'!$G$7:$G$305,MATCH($Z540,'Dated offers'!$A$7:$A$305,0))</x:f>
        <x:v>1</x:v>
      </x:c>
      <x:c r="J540" s="18" t="n">
        <x:f>CEILING(MAX(G540,H540),I540)</x:f>
        <x:v>204</x:v>
      </x:c>
      <x:c r="K540" s="18" t="n">
        <x:v>204</x:v>
      </x:c>
      <x:c r="L540" s="18" t="n">
        <x:f>INDEX('Dated offers'!$I$7:$I$305,MATCH($Z540,'Dated offers'!$A$7:$A$305,0))</x:f>
        <x:v>100</x:v>
      </x:c>
      <x:c r="M540" s="25" t="n">
        <x:f>INDEX('Dated offers'!$J$7:$J$305,MATCH($Z540,'Dated offers'!$A$7:$A$305,0))</x:f>
        <x:v>0.2879</x:v>
      </x:c>
      <x:c r="N540" s="25" t="n">
        <x:f>INDEX('Dated offers'!$K$7:$K$305,MATCH($Z540,'Dated offers'!$A$7:$A$305,0))</x:f>
        <x:v>0</x:v>
      </x:c>
      <x:c r="O540" s="25" t="n">
        <x:f>F540*M540</x:f>
        <x:v>57.58</x:v>
      </x:c>
      <x:c r="P540" s="25" t="n">
        <x:f>G540*M540</x:f>
        <x:v>58.7316</x:v>
      </x:c>
      <x:c r="Q540" s="25" t="n">
        <x:f>K540*M540+N540</x:f>
        <x:v>58.7316</x:v>
      </x:c>
      <x:c r="R540" s="18" t="n">
        <x:f>K540-G540</x:f>
        <x:v>0</x:v>
      </x:c>
      <x:c r="S540" s="18" t="n">
        <x:f>INDEX('Dated offers'!$H$7:$H$305,MATCH($Z540,'Dated offers'!$A$7:$A$305,0))</x:f>
        <x:v>36414</x:v>
      </x:c>
      <x:c r="T540" s="2" t="str">
        <x:f>IF(K540&lt;G540,"Order below requirement",IF(K540&lt;L540,"Below price tier",IF(ISNUMBER(S540),IF(K540&gt;S540,"Quantity exceeds snapshot","Within quantity snapshot"),"Stock not stated")))</x:f>
        <x:v>Within quantity snapshot</x:v>
      </x:c>
      <x:c r="U540" s="2" t="str">
        <x:f>INDEX('Dated offers'!$C$7:$C$305,MATCH($Z540,'Dated offers'!$A$7:$A$305,0))</x:f>
        <x:v>DigiKey</x:v>
      </x:c>
      <x:c r="V540" s="2" t="str">
        <x:f>INDEX('Dated offers'!$D$7:$D$305,MATCH($Z540,'Dated offers'!$A$7:$A$305,0))</x:f>
        <x:v>Not stated</x:v>
      </x:c>
      <x:c r="W540" s="24" t="n">
        <x:f>INDEX('Dated offers'!$E$7:$E$305,MATCH($Z540,'Dated offers'!$A$7:$A$305,0))</x:f>
        <x:v>46307.47807253472</x:v>
      </x:c>
      <x:c r="X540" s="2" t="b">
        <x:f>INDEX('Dated offers'!$N$7:$N$305,MATCH($Z540,'Dated offers'!$A$7:$A$305,0))</x:f>
        <x:v>0</x:v>
      </x:c>
      <x:c r="Y540" s="2" t="str">
        <x:f>INDEX('Dated offers'!$O$7:$O$305,MATCH($Z540,'Dated offers'!$A$7:$A$305,0))</x:f>
        <x:v>Unreserved inventory snapshot</x:v>
      </x:c>
      <x:c r="Z540" s="17" t="str">
        <x:v>OF0220</x:v>
      </x:c>
      <x:c r="AA540" s="2"/>
      <x:c r="AB540" s="2" t="str">
        <x:f>INDEX('Dated offers'!$Q$7:$Q$305,MATCH($Z540,'Dated offers'!$A$7:$A$305,0))</x:f>
        <x:v>https://www.digikey.com/en/products/detail/kyocera-avx/KGM05ACG1H150FH/1597388</x:v>
      </x:c>
    </x:row>
    <x:row r="541" ht="24" customHeight="1">
      <x:c r="A541" s="2" t="str">
        <x:v>100 boards / 2% planning</x:v>
      </x:c>
      <x:c r="B541" s="17" t="str">
        <x:v>L4CL1206LR050DNR-A</x:v>
      </x:c>
      <x:c r="C541" s="18" t="n">
        <x:v>100</x:v>
      </x:c>
      <x:c r="D541" s="27" t="n">
        <x:v>0.02</x:v>
      </x:c>
      <x:c r="E541" s="18" t="n">
        <x:f>INDEX('Assembly BOM'!$C$7:$C$162,MATCH($B541,'Assembly BOM'!$A$7:$A$162,0))</x:f>
        <x:v>1</x:v>
      </x:c>
      <x:c r="F541" s="18" t="n">
        <x:f>C541*E541</x:f>
        <x:v>100</x:v>
      </x:c>
      <x:c r="G541" s="18" t="n">
        <x:f>ROUNDUP(F541*(1+D541),0)</x:f>
        <x:v>102</x:v>
      </x:c>
      <x:c r="H541" s="18" t="n">
        <x:f>INDEX('Dated offers'!$F$7:$F$305,MATCH($Z541,'Dated offers'!$A$7:$A$305,0))</x:f>
        <x:v>1</x:v>
      </x:c>
      <x:c r="I541" s="18" t="n">
        <x:f>INDEX('Dated offers'!$G$7:$G$305,MATCH($Z541,'Dated offers'!$A$7:$A$305,0))</x:f>
        <x:v>1</x:v>
      </x:c>
      <x:c r="J541" s="18" t="n">
        <x:f>CEILING(MAX(G541,H541),I541)</x:f>
        <x:v>102</x:v>
      </x:c>
      <x:c r="K541" s="18" t="n">
        <x:v>102</x:v>
      </x:c>
      <x:c r="L541" s="18" t="n">
        <x:f>INDEX('Dated offers'!$I$7:$I$305,MATCH($Z541,'Dated offers'!$A$7:$A$305,0))</x:f>
        <x:v>100</x:v>
      </x:c>
      <x:c r="M541" s="25" t="n">
        <x:f>INDEX('Dated offers'!$J$7:$J$305,MATCH($Z541,'Dated offers'!$A$7:$A$305,0))</x:f>
        <x:v>0.7217</x:v>
      </x:c>
      <x:c r="N541" s="25" t="n">
        <x:f>INDEX('Dated offers'!$K$7:$K$305,MATCH($Z541,'Dated offers'!$A$7:$A$305,0))</x:f>
        <x:v>0</x:v>
      </x:c>
      <x:c r="O541" s="25" t="n">
        <x:f>F541*M541</x:f>
        <x:v>72.17</x:v>
      </x:c>
      <x:c r="P541" s="25" t="n">
        <x:f>G541*M541</x:f>
        <x:v>73.6134</x:v>
      </x:c>
      <x:c r="Q541" s="25" t="n">
        <x:f>K541*M541+N541</x:f>
        <x:v>73.6134</x:v>
      </x:c>
      <x:c r="R541" s="18" t="n">
        <x:f>K541-G541</x:f>
        <x:v>0</x:v>
      </x:c>
      <x:c r="S541" s="18" t="n">
        <x:f>INDEX('Dated offers'!$H$7:$H$305,MATCH($Z541,'Dated offers'!$A$7:$A$305,0))</x:f>
        <x:v>4377</x:v>
      </x:c>
      <x:c r="T541" s="2" t="str">
        <x:f>IF(K541&lt;G541,"Order below requirement",IF(K541&lt;L541,"Below price tier",IF(ISNUMBER(S541),IF(K541&gt;S541,"Quantity exceeds snapshot","Within quantity snapshot"),"Stock not stated")))</x:f>
        <x:v>Within quantity snapshot</x:v>
      </x:c>
      <x:c r="U541" s="2" t="str">
        <x:f>INDEX('Dated offers'!$C$7:$C$305,MATCH($Z541,'Dated offers'!$A$7:$A$305,0))</x:f>
        <x:v>DigiKey</x:v>
      </x:c>
      <x:c r="V541" s="2" t="str">
        <x:f>INDEX('Dated offers'!$D$7:$D$305,MATCH($Z541,'Dated offers'!$A$7:$A$305,0))</x:f>
        <x:v>Not stated</x:v>
      </x:c>
      <x:c r="W541" s="24" t="n">
        <x:f>INDEX('Dated offers'!$E$7:$E$305,MATCH($Z541,'Dated offers'!$A$7:$A$305,0))</x:f>
        <x:v>46307.47807273148</x:v>
      </x:c>
      <x:c r="X541" s="2" t="b">
        <x:f>INDEX('Dated offers'!$N$7:$N$305,MATCH($Z541,'Dated offers'!$A$7:$A$305,0))</x:f>
        <x:v>0</x:v>
      </x:c>
      <x:c r="Y541" s="2" t="str">
        <x:f>INDEX('Dated offers'!$O$7:$O$305,MATCH($Z541,'Dated offers'!$A$7:$A$305,0))</x:f>
        <x:v>Unreserved inventory snapshot</x:v>
      </x:c>
      <x:c r="Z541" s="17" t="str">
        <x:v>OF0221</x:v>
      </x:c>
      <x:c r="AA541" s="2"/>
      <x:c r="AB541" s="2" t="str">
        <x:f>INDEX('Dated offers'!$Q$7:$Q$305,MATCH($Z541,'Dated offers'!$A$7:$A$305,0))</x:f>
        <x:v>https://www.digikey.com/en/products/detail/littelfuse-inc/L4CL1206LR050DNR-A/21737223</x:v>
      </x:c>
    </x:row>
    <x:row r="542" ht="24" customHeight="1">
      <x:c r="A542" s="2" t="str">
        <x:v>100 boards / 2% planning</x:v>
      </x:c>
      <x:c r="B542" s="17" t="str">
        <x:v>LQW15AN24NH00D</x:v>
      </x:c>
      <x:c r="C542" s="18" t="n">
        <x:v>100</x:v>
      </x:c>
      <x:c r="D542" s="27" t="n">
        <x:v>0.02</x:v>
      </x:c>
      <x:c r="E542" s="18" t="n">
        <x:f>INDEX('Assembly BOM'!$C$7:$C$162,MATCH($B542,'Assembly BOM'!$A$7:$A$162,0))</x:f>
        <x:v>1</x:v>
      </x:c>
      <x:c r="F542" s="18" t="n">
        <x:f>C542*E542</x:f>
        <x:v>100</x:v>
      </x:c>
      <x:c r="G542" s="18" t="n">
        <x:f>ROUNDUP(F542*(1+D542),0)</x:f>
        <x:v>102</x:v>
      </x:c>
      <x:c r="H542" s="18" t="n">
        <x:f>INDEX('Dated offers'!$F$7:$F$305,MATCH($Z542,'Dated offers'!$A$7:$A$305,0))</x:f>
        <x:v>1</x:v>
      </x:c>
      <x:c r="I542" s="18" t="n">
        <x:f>INDEX('Dated offers'!$G$7:$G$305,MATCH($Z542,'Dated offers'!$A$7:$A$305,0))</x:f>
        <x:v>1</x:v>
      </x:c>
      <x:c r="J542" s="18" t="n">
        <x:f>CEILING(MAX(G542,H542),I542)</x:f>
        <x:v>102</x:v>
      </x:c>
      <x:c r="K542" s="18" t="n">
        <x:v>102</x:v>
      </x:c>
      <x:c r="L542" s="18" t="n">
        <x:f>INDEX('Dated offers'!$I$7:$I$305,MATCH($Z542,'Dated offers'!$A$7:$A$305,0))</x:f>
        <x:v>100</x:v>
      </x:c>
      <x:c r="M542" s="25" t="n">
        <x:f>INDEX('Dated offers'!$J$7:$J$305,MATCH($Z542,'Dated offers'!$A$7:$A$305,0))</x:f>
        <x:v>0.0757</x:v>
      </x:c>
      <x:c r="N542" s="25" t="n">
        <x:f>INDEX('Dated offers'!$K$7:$K$305,MATCH($Z542,'Dated offers'!$A$7:$A$305,0))</x:f>
        <x:v>0</x:v>
      </x:c>
      <x:c r="O542" s="25" t="n">
        <x:f>F542*M542</x:f>
        <x:v>7.57</x:v>
      </x:c>
      <x:c r="P542" s="25" t="n">
        <x:f>G542*M542</x:f>
        <x:v>7.7214</x:v>
      </x:c>
      <x:c r="Q542" s="25" t="n">
        <x:f>K542*M542+N542</x:f>
        <x:v>7.7214</x:v>
      </x:c>
      <x:c r="R542" s="18" t="n">
        <x:f>K542-G542</x:f>
        <x:v>0</x:v>
      </x:c>
      <x:c r="S542" s="18" t="n">
        <x:f>INDEX('Dated offers'!$H$7:$H$305,MATCH($Z542,'Dated offers'!$A$7:$A$305,0))</x:f>
        <x:v>11410</x:v>
      </x:c>
      <x:c r="T542" s="2" t="str">
        <x:f>IF(K542&lt;G542,"Order below requirement",IF(K542&lt;L542,"Below price tier",IF(ISNUMBER(S542),IF(K542&gt;S542,"Quantity exceeds snapshot","Within quantity snapshot"),"Stock not stated")))</x:f>
        <x:v>Within quantity snapshot</x:v>
      </x:c>
      <x:c r="U542" s="2" t="str">
        <x:f>INDEX('Dated offers'!$C$7:$C$305,MATCH($Z542,'Dated offers'!$A$7:$A$305,0))</x:f>
        <x:v>DigiKey</x:v>
      </x:c>
      <x:c r="V542" s="2" t="str">
        <x:f>INDEX('Dated offers'!$D$7:$D$305,MATCH($Z542,'Dated offers'!$A$7:$A$305,0))</x:f>
        <x:v>Not stated</x:v>
      </x:c>
      <x:c r="W542" s="24" t="n">
        <x:f>INDEX('Dated offers'!$E$7:$E$305,MATCH($Z542,'Dated offers'!$A$7:$A$305,0))</x:f>
        <x:v>46307.47807253472</x:v>
      </x:c>
      <x:c r="X542" s="2" t="b">
        <x:f>INDEX('Dated offers'!$N$7:$N$305,MATCH($Z542,'Dated offers'!$A$7:$A$305,0))</x:f>
        <x:v>0</x:v>
      </x:c>
      <x:c r="Y542" s="2" t="str">
        <x:f>INDEX('Dated offers'!$O$7:$O$305,MATCH($Z542,'Dated offers'!$A$7:$A$305,0))</x:f>
        <x:v>Unreserved inventory snapshot</x:v>
      </x:c>
      <x:c r="Z542" s="17" t="str">
        <x:v>OF0222</x:v>
      </x:c>
      <x:c r="AA542" s="2"/>
      <x:c r="AB542" s="2" t="str">
        <x:f>INDEX('Dated offers'!$Q$7:$Q$305,MATCH($Z542,'Dated offers'!$A$7:$A$305,0))</x:f>
        <x:v>https://www.digikey.com/en/products/detail/murata-electronics/LQW15AN24NH00D/700017</x:v>
      </x:c>
    </x:row>
    <x:row r="543" ht="24" customHeight="1">
      <x:c r="A543" s="2" t="str">
        <x:v>100 boards / 2% planning</x:v>
      </x:c>
      <x:c r="B543" s="17" t="str">
        <x:v>LTST-C190KGKT</x:v>
      </x:c>
      <x:c r="C543" s="18" t="n">
        <x:v>100</x:v>
      </x:c>
      <x:c r="D543" s="27" t="n">
        <x:v>0.02</x:v>
      </x:c>
      <x:c r="E543" s="18" t="n">
        <x:f>INDEX('Assembly BOM'!$C$7:$C$162,MATCH($B543,'Assembly BOM'!$A$7:$A$162,0))</x:f>
        <x:v>2</x:v>
      </x:c>
      <x:c r="F543" s="18" t="n">
        <x:f>C543*E543</x:f>
        <x:v>200</x:v>
      </x:c>
      <x:c r="G543" s="18" t="n">
        <x:f>ROUNDUP(F543*(1+D543),0)</x:f>
        <x:v>204</x:v>
      </x:c>
      <x:c r="H543" s="18" t="n">
        <x:f>INDEX('Dated offers'!$F$7:$F$305,MATCH($Z543,'Dated offers'!$A$7:$A$305,0))</x:f>
        <x:v>50</x:v>
      </x:c>
      <x:c r="I543" s="18" t="n">
        <x:f>INDEX('Dated offers'!$G$7:$G$305,MATCH($Z543,'Dated offers'!$A$7:$A$305,0))</x:f>
        <x:v>50</x:v>
      </x:c>
      <x:c r="J543" s="18" t="n">
        <x:f>CEILING(MAX(G543,H543),I543)</x:f>
        <x:v>250</x:v>
      </x:c>
      <x:c r="K543" s="18" t="n">
        <x:v>250</x:v>
      </x:c>
      <x:c r="L543" s="18" t="n">
        <x:f>INDEX('Dated offers'!$I$7:$I$305,MATCH($Z543,'Dated offers'!$A$7:$A$305,0))</x:f>
        <x:v>50</x:v>
      </x:c>
      <x:c r="M543" s="25" t="n">
        <x:f>INDEX('Dated offers'!$J$7:$J$305,MATCH($Z543,'Dated offers'!$A$7:$A$305,0))</x:f>
        <x:v>0.0168</x:v>
      </x:c>
      <x:c r="N543" s="25" t="n">
        <x:f>INDEX('Dated offers'!$K$7:$K$305,MATCH($Z543,'Dated offers'!$A$7:$A$305,0))</x:f>
        <x:v>0</x:v>
      </x:c>
      <x:c r="O543" s="25" t="n">
        <x:f>F543*M543</x:f>
        <x:v>3.36</x:v>
      </x:c>
      <x:c r="P543" s="25" t="n">
        <x:f>G543*M543</x:f>
        <x:v>3.4271999999999996</x:v>
      </x:c>
      <x:c r="Q543" s="25" t="n">
        <x:f>K543*M543+N543</x:f>
        <x:v>4.2</x:v>
      </x:c>
      <x:c r="R543" s="18" t="n">
        <x:f>K543-G543</x:f>
        <x:v>46</x:v>
      </x:c>
      <x:c r="S543" s="18" t="n">
        <x:f>INDEX('Dated offers'!$H$7:$H$305,MATCH($Z543,'Dated offers'!$A$7:$A$305,0))</x:f>
        <x:v>280550</x:v>
      </x:c>
      <x:c r="T543" s="2" t="str">
        <x:f>IF(K543&lt;G543,"Order below requirement",IF(K543&lt;L543,"Below price tier",IF(ISNUMBER(S543),IF(K543&gt;S543,"Quantity exceeds snapshot","Within quantity snapshot"),"Stock not stated")))</x:f>
        <x:v>Within quantity snapshot</x:v>
      </x:c>
      <x:c r="U543" s="2" t="str">
        <x:f>INDEX('Dated offers'!$C$7:$C$305,MATCH($Z543,'Dated offers'!$A$7:$A$305,0))</x:f>
        <x:v>LCSC</x:v>
      </x:c>
      <x:c r="V543" s="2" t="str">
        <x:f>INDEX('Dated offers'!$D$7:$D$305,MATCH($Z543,'Dated offers'!$A$7:$A$305,0))</x:f>
        <x:v>C125094</x:v>
      </x:c>
      <x:c r="W543" s="24" t="n">
        <x:f>INDEX('Dated offers'!$E$7:$E$305,MATCH($Z543,'Dated offers'!$A$7:$A$305,0))</x:f>
        <x:v>46307.44744065972</x:v>
      </x:c>
      <x:c r="X543" s="2" t="b">
        <x:f>INDEX('Dated offers'!$N$7:$N$305,MATCH($Z543,'Dated offers'!$A$7:$A$305,0))</x:f>
        <x:v>0</x:v>
      </x:c>
      <x:c r="Y543" s="2" t="str">
        <x:f>INDEX('Dated offers'!$O$7:$O$305,MATCH($Z543,'Dated offers'!$A$7:$A$305,0))</x:f>
        <x:v>Unreserved inventory snapshot</x:v>
      </x:c>
      <x:c r="Z543" s="17" t="str">
        <x:v>OF0069</x:v>
      </x:c>
      <x:c r="AA543" s="2"/>
      <x:c r="AB543" s="2" t="str">
        <x:f>INDEX('Dated offers'!$Q$7:$Q$305,MATCH($Z543,'Dated offers'!$A$7:$A$305,0))</x:f>
        <x:v>https://www.lcsc.com/product-detail/C125094.html</x:v>
      </x:c>
    </x:row>
    <x:row r="544" ht="24" customHeight="1">
      <x:c r="A544" s="2" t="str">
        <x:v>100 boards / 2% planning</x:v>
      </x:c>
      <x:c r="B544" s="17" t="str">
        <x:v>LTST-C190KSKT</x:v>
      </x:c>
      <x:c r="C544" s="18" t="n">
        <x:v>100</x:v>
      </x:c>
      <x:c r="D544" s="27" t="n">
        <x:v>0.02</x:v>
      </x:c>
      <x:c r="E544" s="18" t="n">
        <x:f>INDEX('Assembly BOM'!$C$7:$C$162,MATCH($B544,'Assembly BOM'!$A$7:$A$162,0))</x:f>
        <x:v>1</x:v>
      </x:c>
      <x:c r="F544" s="18" t="n">
        <x:f>C544*E544</x:f>
        <x:v>100</x:v>
      </x:c>
      <x:c r="G544" s="18" t="n">
        <x:f>ROUNDUP(F544*(1+D544),0)</x:f>
        <x:v>102</x:v>
      </x:c>
      <x:c r="H544" s="18" t="n">
        <x:f>INDEX('Dated offers'!$F$7:$F$305,MATCH($Z544,'Dated offers'!$A$7:$A$305,0))</x:f>
        <x:v>20</x:v>
      </x:c>
      <x:c r="I544" s="18" t="n">
        <x:f>INDEX('Dated offers'!$G$7:$G$305,MATCH($Z544,'Dated offers'!$A$7:$A$305,0))</x:f>
        <x:v>20</x:v>
      </x:c>
      <x:c r="J544" s="18" t="n">
        <x:f>CEILING(MAX(G544,H544),I544)</x:f>
        <x:v>120</x:v>
      </x:c>
      <x:c r="K544" s="18" t="n">
        <x:v>120</x:v>
      </x:c>
      <x:c r="L544" s="18" t="n">
        <x:f>INDEX('Dated offers'!$I$7:$I$305,MATCH($Z544,'Dated offers'!$A$7:$A$305,0))</x:f>
        <x:v>20</x:v>
      </x:c>
      <x:c r="M544" s="25" t="n">
        <x:f>INDEX('Dated offers'!$J$7:$J$305,MATCH($Z544,'Dated offers'!$A$7:$A$305,0))</x:f>
        <x:v>0.0235</x:v>
      </x:c>
      <x:c r="N544" s="25" t="n">
        <x:f>INDEX('Dated offers'!$K$7:$K$305,MATCH($Z544,'Dated offers'!$A$7:$A$305,0))</x:f>
        <x:v>0</x:v>
      </x:c>
      <x:c r="O544" s="25" t="n">
        <x:f>F544*M544</x:f>
        <x:v>2.35</x:v>
      </x:c>
      <x:c r="P544" s="25" t="n">
        <x:f>G544*M544</x:f>
        <x:v>2.397</x:v>
      </x:c>
      <x:c r="Q544" s="25" t="n">
        <x:f>K544*M544+N544</x:f>
        <x:v>2.82</x:v>
      </x:c>
      <x:c r="R544" s="18" t="n">
        <x:f>K544-G544</x:f>
        <x:v>18</x:v>
      </x:c>
      <x:c r="S544" s="18" t="n">
        <x:f>INDEX('Dated offers'!$H$7:$H$305,MATCH($Z544,'Dated offers'!$A$7:$A$305,0))</x:f>
        <x:v>100880</x:v>
      </x:c>
      <x:c r="T544" s="2" t="str">
        <x:f>IF(K544&lt;G544,"Order below requirement",IF(K544&lt;L544,"Below price tier",IF(ISNUMBER(S544),IF(K544&gt;S544,"Quantity exceeds snapshot","Within quantity snapshot"),"Stock not stated")))</x:f>
        <x:v>Within quantity snapshot</x:v>
      </x:c>
      <x:c r="U544" s="2" t="str">
        <x:f>INDEX('Dated offers'!$C$7:$C$305,MATCH($Z544,'Dated offers'!$A$7:$A$305,0))</x:f>
        <x:v>LCSC</x:v>
      </x:c>
      <x:c r="V544" s="2" t="str">
        <x:f>INDEX('Dated offers'!$D$7:$D$305,MATCH($Z544,'Dated offers'!$A$7:$A$305,0))</x:f>
        <x:v>C125095</x:v>
      </x:c>
      <x:c r="W544" s="24" t="n">
        <x:f>INDEX('Dated offers'!$E$7:$E$305,MATCH($Z544,'Dated offers'!$A$7:$A$305,0))</x:f>
        <x:v>46307.44744263889</x:v>
      </x:c>
      <x:c r="X544" s="2" t="b">
        <x:f>INDEX('Dated offers'!$N$7:$N$305,MATCH($Z544,'Dated offers'!$A$7:$A$305,0))</x:f>
        <x:v>0</x:v>
      </x:c>
      <x:c r="Y544" s="2" t="str">
        <x:f>INDEX('Dated offers'!$O$7:$O$305,MATCH($Z544,'Dated offers'!$A$7:$A$305,0))</x:f>
        <x:v>Unreserved inventory snapshot</x:v>
      </x:c>
      <x:c r="Z544" s="17" t="str">
        <x:v>OF0070</x:v>
      </x:c>
      <x:c r="AA544" s="2"/>
      <x:c r="AB544" s="2" t="str">
        <x:f>INDEX('Dated offers'!$Q$7:$Q$305,MATCH($Z544,'Dated offers'!$A$7:$A$305,0))</x:f>
        <x:v>https://www.lcsc.com/product-detail/C125095.html</x:v>
      </x:c>
    </x:row>
    <x:row r="545" ht="24" customHeight="1">
      <x:c r="A545" s="2" t="str">
        <x:v>100 boards / 2% planning</x:v>
      </x:c>
      <x:c r="B545" s="17" t="str">
        <x:v>MMSZ5240B-7-F</x:v>
      </x:c>
      <x:c r="C545" s="18" t="n">
        <x:v>100</x:v>
      </x:c>
      <x:c r="D545" s="27" t="n">
        <x:v>0.02</x:v>
      </x:c>
      <x:c r="E545" s="18" t="n">
        <x:f>INDEX('Assembly BOM'!$C$7:$C$162,MATCH($B545,'Assembly BOM'!$A$7:$A$162,0))</x:f>
        <x:v>1</x:v>
      </x:c>
      <x:c r="F545" s="18" t="n">
        <x:f>C545*E545</x:f>
        <x:v>100</x:v>
      </x:c>
      <x:c r="G545" s="18" t="n">
        <x:f>ROUNDUP(F545*(1+D545),0)</x:f>
        <x:v>102</x:v>
      </x:c>
      <x:c r="H545" s="18" t="n">
        <x:f>INDEX('Dated offers'!$F$7:$F$305,MATCH($Z545,'Dated offers'!$A$7:$A$305,0))</x:f>
        <x:v>1</x:v>
      </x:c>
      <x:c r="I545" s="18" t="n">
        <x:f>INDEX('Dated offers'!$G$7:$G$305,MATCH($Z545,'Dated offers'!$A$7:$A$305,0))</x:f>
        <x:v>1</x:v>
      </x:c>
      <x:c r="J545" s="18" t="n">
        <x:f>CEILING(MAX(G545,H545),I545)</x:f>
        <x:v>102</x:v>
      </x:c>
      <x:c r="K545" s="18" t="n">
        <x:v>102</x:v>
      </x:c>
      <x:c r="L545" s="18" t="n">
        <x:f>INDEX('Dated offers'!$I$7:$I$305,MATCH($Z545,'Dated offers'!$A$7:$A$305,0))</x:f>
        <x:v>100</x:v>
      </x:c>
      <x:c r="M545" s="25" t="n">
        <x:f>INDEX('Dated offers'!$J$7:$J$305,MATCH($Z545,'Dated offers'!$A$7:$A$305,0))</x:f>
        <x:v>0.0787</x:v>
      </x:c>
      <x:c r="N545" s="25" t="n">
        <x:f>INDEX('Dated offers'!$K$7:$K$305,MATCH($Z545,'Dated offers'!$A$7:$A$305,0))</x:f>
        <x:v>0</x:v>
      </x:c>
      <x:c r="O545" s="25" t="n">
        <x:f>F545*M545</x:f>
        <x:v>7.870000000000001</x:v>
      </x:c>
      <x:c r="P545" s="25" t="n">
        <x:f>G545*M545</x:f>
        <x:v>8.0274</x:v>
      </x:c>
      <x:c r="Q545" s="25" t="n">
        <x:f>K545*M545+N545</x:f>
        <x:v>8.0274</x:v>
      </x:c>
      <x:c r="R545" s="18" t="n">
        <x:f>K545-G545</x:f>
        <x:v>0</x:v>
      </x:c>
      <x:c r="S545" s="18" t="n">
        <x:f>INDEX('Dated offers'!$H$7:$H$305,MATCH($Z545,'Dated offers'!$A$7:$A$305,0))</x:f>
        <x:v>4023</x:v>
      </x:c>
      <x:c r="T545" s="2" t="str">
        <x:f>IF(K545&lt;G545,"Order below requirement",IF(K545&lt;L545,"Below price tier",IF(ISNUMBER(S545),IF(K545&gt;S545,"Quantity exceeds snapshot","Within quantity snapshot"),"Stock not stated")))</x:f>
        <x:v>Within quantity snapshot</x:v>
      </x:c>
      <x:c r="U545" s="2" t="str">
        <x:f>INDEX('Dated offers'!$C$7:$C$305,MATCH($Z545,'Dated offers'!$A$7:$A$305,0))</x:f>
        <x:v>DigiKey</x:v>
      </x:c>
      <x:c r="V545" s="2" t="str">
        <x:f>INDEX('Dated offers'!$D$7:$D$305,MATCH($Z545,'Dated offers'!$A$7:$A$305,0))</x:f>
        <x:v>Not stated</x:v>
      </x:c>
      <x:c r="W545" s="24" t="n">
        <x:f>INDEX('Dated offers'!$E$7:$E$305,MATCH($Z545,'Dated offers'!$A$7:$A$305,0))</x:f>
        <x:v>46307.47807266204</x:v>
      </x:c>
      <x:c r="X545" s="2" t="b">
        <x:f>INDEX('Dated offers'!$N$7:$N$305,MATCH($Z545,'Dated offers'!$A$7:$A$305,0))</x:f>
        <x:v>0</x:v>
      </x:c>
      <x:c r="Y545" s="2" t="str">
        <x:f>INDEX('Dated offers'!$O$7:$O$305,MATCH($Z545,'Dated offers'!$A$7:$A$305,0))</x:f>
        <x:v>Unreserved inventory snapshot</x:v>
      </x:c>
      <x:c r="Z545" s="17" t="str">
        <x:v>OF0223</x:v>
      </x:c>
      <x:c r="AA545" s="2"/>
      <x:c r="AB545" s="2" t="str">
        <x:f>INDEX('Dated offers'!$Q$7:$Q$305,MATCH($Z545,'Dated offers'!$A$7:$A$305,0))</x:f>
        <x:v>https://www.digikey.com/en/products/detail/diodes-incorporated/MMSZ5240B-7-F/814369</x:v>
      </x:c>
    </x:row>
    <x:row r="546" ht="24" customHeight="1">
      <x:c r="A546" s="2" t="str">
        <x:v>100 boards / 2% planning</x:v>
      </x:c>
      <x:c r="B546" s="17" t="str">
        <x:v>MP2329GG-P</x:v>
      </x:c>
      <x:c r="C546" s="18" t="n">
        <x:v>100</x:v>
      </x:c>
      <x:c r="D546" s="27" t="n">
        <x:v>0.02</x:v>
      </x:c>
      <x:c r="E546" s="18" t="n">
        <x:f>INDEX('Assembly BOM'!$C$7:$C$162,MATCH($B546,'Assembly BOM'!$A$7:$A$162,0))</x:f>
        <x:v>1</x:v>
      </x:c>
      <x:c r="F546" s="18" t="n">
        <x:f>C546*E546</x:f>
        <x:v>100</x:v>
      </x:c>
      <x:c r="G546" s="18" t="n">
        <x:f>ROUNDUP(F546*(1+D546),0)</x:f>
        <x:v>102</x:v>
      </x:c>
      <x:c r="H546" s="18" t="n">
        <x:f>INDEX('Dated offers'!$F$7:$F$305,MATCH($Z546,'Dated offers'!$A$7:$A$305,0))</x:f>
        <x:v>1</x:v>
      </x:c>
      <x:c r="I546" s="18" t="n">
        <x:f>INDEX('Dated offers'!$G$7:$G$305,MATCH($Z546,'Dated offers'!$A$7:$A$305,0))</x:f>
        <x:v>1</x:v>
      </x:c>
      <x:c r="J546" s="18" t="n">
        <x:f>CEILING(MAX(G546,H546),I546)</x:f>
        <x:v>102</x:v>
      </x:c>
      <x:c r="K546" s="18" t="n">
        <x:v>102</x:v>
      </x:c>
      <x:c r="L546" s="18" t="n">
        <x:f>INDEX('Dated offers'!$I$7:$I$305,MATCH($Z546,'Dated offers'!$A$7:$A$305,0))</x:f>
        <x:v>100</x:v>
      </x:c>
      <x:c r="M546" s="25" t="n">
        <x:f>INDEX('Dated offers'!$J$7:$J$305,MATCH($Z546,'Dated offers'!$A$7:$A$305,0))</x:f>
        <x:v>1.15</x:v>
      </x:c>
      <x:c r="N546" s="25" t="n">
        <x:f>INDEX('Dated offers'!$K$7:$K$305,MATCH($Z546,'Dated offers'!$A$7:$A$305,0))</x:f>
        <x:v>0</x:v>
      </x:c>
      <x:c r="O546" s="25" t="n">
        <x:f>F546*M546</x:f>
        <x:v>114.99999999999999</x:v>
      </x:c>
      <x:c r="P546" s="25" t="n">
        <x:f>G546*M546</x:f>
        <x:v>117.3</x:v>
      </x:c>
      <x:c r="Q546" s="25" t="n">
        <x:f>K546*M546+N546</x:f>
        <x:v>117.3</x:v>
      </x:c>
      <x:c r="R546" s="18" t="n">
        <x:f>K546-G546</x:f>
        <x:v>0</x:v>
      </x:c>
      <x:c r="S546" s="18" t="n">
        <x:f>INDEX('Dated offers'!$H$7:$H$305,MATCH($Z546,'Dated offers'!$A$7:$A$305,0))</x:f>
        <x:v>11638</x:v>
      </x:c>
      <x:c r="T546" s="2" t="str">
        <x:f>IF(K546&lt;G546,"Order below requirement",IF(K546&lt;L546,"Below price tier",IF(ISNUMBER(S546),IF(K546&gt;S546,"Quantity exceeds snapshot","Within quantity snapshot"),"Stock not stated")))</x:f>
        <x:v>Within quantity snapshot</x:v>
      </x:c>
      <x:c r="U546" s="2" t="str">
        <x:f>INDEX('Dated offers'!$C$7:$C$305,MATCH($Z546,'Dated offers'!$A$7:$A$305,0))</x:f>
        <x:v>MPS direct</x:v>
      </x:c>
      <x:c r="V546" s="2" t="str">
        <x:f>INDEX('Dated offers'!$D$7:$D$305,MATCH($Z546,'Dated offers'!$A$7:$A$305,0))</x:f>
        <x:v>MP2329GG-P or primary same-die GG-Z reel alias</x:v>
      </x:c>
      <x:c r="W546" s="24" t="n">
        <x:f>INDEX('Dated offers'!$E$7:$E$305,MATCH($Z546,'Dated offers'!$A$7:$A$305,0))</x:f>
        <x:v>46307</x:v>
      </x:c>
      <x:c r="X546" s="2" t="b">
        <x:f>INDEX('Dated offers'!$N$7:$N$305,MATCH($Z546,'Dated offers'!$A$7:$A$305,0))</x:f>
        <x:v>0</x:v>
      </x:c>
      <x:c r="Y546" s="2" t="str">
        <x:f>INDEX('Dated offers'!$O$7:$O$305,MATCH($Z546,'Dated offers'!$A$7:$A$305,0))</x:f>
        <x:v>Scheduled MPS availability / supplier acceptance</x:v>
      </x:c>
      <x:c r="Z546" s="17" t="str">
        <x:v>OF0224</x:v>
      </x:c>
      <x:c r="AA546" s="2"/>
      <x:c r="AB546" s="2" t="str">
        <x:f>INDEX('Dated offers'!$Q$7:$Q$305,MATCH($Z546,'Dated offers'!$A$7:$A$305,0))</x:f>
        <x:v>https://www.monolithicpower.com/en/products/power-management/mp2329.html</x:v>
      </x:c>
    </x:row>
    <x:row r="547" ht="24" customHeight="1">
      <x:c r="A547" s="2" t="str">
        <x:v>100 boards / 2% planning</x:v>
      </x:c>
      <x:c r="B547" s="17" t="str">
        <x:v>MP4583GQVE-Z</x:v>
      </x:c>
      <x:c r="C547" s="18" t="n">
        <x:v>100</x:v>
      </x:c>
      <x:c r="D547" s="27" t="n">
        <x:v>0.02</x:v>
      </x:c>
      <x:c r="E547" s="18" t="n">
        <x:f>INDEX('Assembly BOM'!$C$7:$C$162,MATCH($B547,'Assembly BOM'!$A$7:$A$162,0))</x:f>
        <x:v>1</x:v>
      </x:c>
      <x:c r="F547" s="18" t="n">
        <x:f>C547*E547</x:f>
        <x:v>100</x:v>
      </x:c>
      <x:c r="G547" s="18" t="n">
        <x:f>ROUNDUP(F547*(1+D547),0)</x:f>
        <x:v>102</x:v>
      </x:c>
      <x:c r="H547" s="18" t="n">
        <x:f>INDEX('Dated offers'!$F$7:$F$305,MATCH($Z547,'Dated offers'!$A$7:$A$305,0))</x:f>
        <x:v>1</x:v>
      </x:c>
      <x:c r="I547" s="18" t="n">
        <x:f>INDEX('Dated offers'!$G$7:$G$305,MATCH($Z547,'Dated offers'!$A$7:$A$305,0))</x:f>
        <x:v>1</x:v>
      </x:c>
      <x:c r="J547" s="18" t="n">
        <x:f>CEILING(MAX(G547,H547),I547)</x:f>
        <x:v>102</x:v>
      </x:c>
      <x:c r="K547" s="18" t="n">
        <x:v>102</x:v>
      </x:c>
      <x:c r="L547" s="18" t="n">
        <x:f>INDEX('Dated offers'!$I$7:$I$305,MATCH($Z547,'Dated offers'!$A$7:$A$305,0))</x:f>
        <x:v>100</x:v>
      </x:c>
      <x:c r="M547" s="25" t="n">
        <x:f>INDEX('Dated offers'!$J$7:$J$305,MATCH($Z547,'Dated offers'!$A$7:$A$305,0))</x:f>
        <x:v>1.72</x:v>
      </x:c>
      <x:c r="N547" s="25" t="n">
        <x:f>INDEX('Dated offers'!$K$7:$K$305,MATCH($Z547,'Dated offers'!$A$7:$A$305,0))</x:f>
        <x:v>0</x:v>
      </x:c>
      <x:c r="O547" s="25" t="n">
        <x:f>F547*M547</x:f>
        <x:v>172</x:v>
      </x:c>
      <x:c r="P547" s="25" t="n">
        <x:f>G547*M547</x:f>
        <x:v>175.44</x:v>
      </x:c>
      <x:c r="Q547" s="25" t="n">
        <x:f>K547*M547+N547</x:f>
        <x:v>175.44</x:v>
      </x:c>
      <x:c r="R547" s="18" t="n">
        <x:f>K547-G547</x:f>
        <x:v>0</x:v>
      </x:c>
      <x:c r="S547" s="18" t="n">
        <x:f>INDEX('Dated offers'!$H$7:$H$305,MATCH($Z547,'Dated offers'!$A$7:$A$305,0))</x:f>
        <x:v>100</x:v>
      </x:c>
      <x:c r="T547" s="2" t="str">
        <x:f>IF(K547&lt;G547,"Order below requirement",IF(K547&lt;L547,"Below price tier",IF(ISNUMBER(S547),IF(K547&gt;S547,"Quantity exceeds snapshot","Within quantity snapshot"),"Stock not stated")))</x:f>
        <x:v>Quantity exceeds snapshot</x:v>
      </x:c>
      <x:c r="U547" s="2" t="str">
        <x:f>INDEX('Dated offers'!$C$7:$C$305,MATCH($Z547,'Dated offers'!$A$7:$A$305,0))</x:f>
        <x:v>MPS direct</x:v>
      </x:c>
      <x:c r="V547" s="2" t="str">
        <x:f>INDEX('Dated offers'!$D$7:$D$305,MATCH($Z547,'Dated offers'!$A$7:$A$305,0))</x:f>
        <x:v>MP4583GQVE-Z</x:v>
      </x:c>
      <x:c r="W547" s="24" t="n">
        <x:f>INDEX('Dated offers'!$E$7:$E$305,MATCH($Z547,'Dated offers'!$A$7:$A$305,0))</x:f>
        <x:v>46307.475412395834</x:v>
      </x:c>
      <x:c r="X547" s="2" t="b">
        <x:f>INDEX('Dated offers'!$N$7:$N$305,MATCH($Z547,'Dated offers'!$A$7:$A$305,0))</x:f>
        <x:v>0</x:v>
      </x:c>
      <x:c r="Y547" s="2" t="str">
        <x:f>INDEX('Dated offers'!$O$7:$O$305,MATCH($Z547,'Dated offers'!$A$7:$A$305,0))</x:f>
        <x:v>MPS company inventory/limit must cover lot</x:v>
      </x:c>
      <x:c r="Z547" s="17" t="str">
        <x:v>OF0225</x:v>
      </x:c>
      <x:c r="AA547" s="2"/>
      <x:c r="AB547" s="2" t="str">
        <x:f>INDEX('Dated offers'!$Q$7:$Q$305,MATCH($Z547,'Dated offers'!$A$7:$A$305,0))</x:f>
        <x:v>https://www.monolithicpower.com/en/products/mp4583.html</x:v>
      </x:c>
    </x:row>
    <x:row r="548" ht="24" customHeight="1">
      <x:c r="A548" s="2" t="str">
        <x:v>100 boards / 2% planning</x:v>
      </x:c>
      <x:c r="B548" s="17" t="str">
        <x:v>NCA9536DQJ</x:v>
      </x:c>
      <x:c r="C548" s="18" t="n">
        <x:v>100</x:v>
      </x:c>
      <x:c r="D548" s="27" t="n">
        <x:v>0.02</x:v>
      </x:c>
      <x:c r="E548" s="18" t="n">
        <x:f>INDEX('Assembly BOM'!$C$7:$C$162,MATCH($B548,'Assembly BOM'!$A$7:$A$162,0))</x:f>
        <x:v>1</x:v>
      </x:c>
      <x:c r="F548" s="18" t="n">
        <x:f>C548*E548</x:f>
        <x:v>100</x:v>
      </x:c>
      <x:c r="G548" s="18" t="n">
        <x:f>ROUNDUP(F548*(1+D548),0)</x:f>
        <x:v>102</x:v>
      </x:c>
      <x:c r="H548" s="18" t="n">
        <x:f>INDEX('Dated offers'!$F$7:$F$305,MATCH($Z548,'Dated offers'!$A$7:$A$305,0))</x:f>
        <x:v>1</x:v>
      </x:c>
      <x:c r="I548" s="18" t="n">
        <x:f>INDEX('Dated offers'!$G$7:$G$305,MATCH($Z548,'Dated offers'!$A$7:$A$305,0))</x:f>
        <x:v>1</x:v>
      </x:c>
      <x:c r="J548" s="18" t="n">
        <x:f>CEILING(MAX(G548,H548),I548)</x:f>
        <x:v>102</x:v>
      </x:c>
      <x:c r="K548" s="18" t="n">
        <x:v>102</x:v>
      </x:c>
      <x:c r="L548" s="18" t="n">
        <x:f>INDEX('Dated offers'!$I$7:$I$305,MATCH($Z548,'Dated offers'!$A$7:$A$305,0))</x:f>
        <x:v>100</x:v>
      </x:c>
      <x:c r="M548" s="25" t="n">
        <x:f>INDEX('Dated offers'!$J$7:$J$305,MATCH($Z548,'Dated offers'!$A$7:$A$305,0))</x:f>
        <x:v>0.4527</x:v>
      </x:c>
      <x:c r="N548" s="25" t="n">
        <x:f>INDEX('Dated offers'!$K$7:$K$305,MATCH($Z548,'Dated offers'!$A$7:$A$305,0))</x:f>
        <x:v>0</x:v>
      </x:c>
      <x:c r="O548" s="25" t="n">
        <x:f>F548*M548</x:f>
        <x:v>45.269999999999996</x:v>
      </x:c>
      <x:c r="P548" s="25" t="n">
        <x:f>G548*M548</x:f>
        <x:v>46.175399999999996</x:v>
      </x:c>
      <x:c r="Q548" s="25" t="n">
        <x:f>K548*M548+N548</x:f>
        <x:v>46.175399999999996</x:v>
      </x:c>
      <x:c r="R548" s="18" t="n">
        <x:f>K548-G548</x:f>
        <x:v>0</x:v>
      </x:c>
      <x:c r="S548" s="18" t="n">
        <x:f>INDEX('Dated offers'!$H$7:$H$305,MATCH($Z548,'Dated offers'!$A$7:$A$305,0))</x:f>
        <x:v>648</x:v>
      </x:c>
      <x:c r="T548" s="2" t="str">
        <x:f>IF(K548&lt;G548,"Order below requirement",IF(K548&lt;L548,"Below price tier",IF(ISNUMBER(S548),IF(K548&gt;S548,"Quantity exceeds snapshot","Within quantity snapshot"),"Stock not stated")))</x:f>
        <x:v>Within quantity snapshot</x:v>
      </x:c>
      <x:c r="U548" s="2" t="str">
        <x:f>INDEX('Dated offers'!$C$7:$C$305,MATCH($Z548,'Dated offers'!$A$7:$A$305,0))</x:f>
        <x:v>DigiKey</x:v>
      </x:c>
      <x:c r="V548" s="2" t="str">
        <x:f>INDEX('Dated offers'!$D$7:$D$305,MATCH($Z548,'Dated offers'!$A$7:$A$305,0))</x:f>
        <x:v>1727-NCA9536DQJCT-ND</x:v>
      </x:c>
      <x:c r="W548" s="24" t="n">
        <x:f>INDEX('Dated offers'!$E$7:$E$305,MATCH($Z548,'Dated offers'!$A$7:$A$305,0))</x:f>
        <x:v>46307.733225972224</x:v>
      </x:c>
      <x:c r="X548" s="2" t="b">
        <x:f>INDEX('Dated offers'!$N$7:$N$305,MATCH($Z548,'Dated offers'!$A$7:$A$305,0))</x:f>
        <x:v>0</x:v>
      </x:c>
      <x:c r="Y548" s="2" t="str">
        <x:f>INDEX('Dated offers'!$O$7:$O$305,MATCH($Z548,'Dated offers'!$A$7:$A$305,0))</x:f>
        <x:v>Unreserved inventory snapshot</x:v>
      </x:c>
      <x:c r="Z548" s="17" t="str">
        <x:v>OF0226</x:v>
      </x:c>
      <x:c r="AA548" s="2"/>
      <x:c r="AB548" s="2" t="str">
        <x:f>INDEX('Dated offers'!$Q$7:$Q$305,MATCH($Z548,'Dated offers'!$A$7:$A$305,0))</x:f>
        <x:v>https://www.digikey.com/en/products/detail/nexperia-usa-inc/NCA9536DQJ/29535394</x:v>
      </x:c>
    </x:row>
    <x:row r="549" ht="24" customHeight="1">
      <x:c r="A549" s="2" t="str">
        <x:v>100 boards / 2% planning</x:v>
      </x:c>
      <x:c r="B549" s="17" t="str">
        <x:v>NX3008NBK,215</x:v>
      </x:c>
      <x:c r="C549" s="18" t="n">
        <x:v>100</x:v>
      </x:c>
      <x:c r="D549" s="27" t="n">
        <x:v>0.02</x:v>
      </x:c>
      <x:c r="E549" s="18" t="n">
        <x:f>INDEX('Assembly BOM'!$C$7:$C$162,MATCH($B549,'Assembly BOM'!$A$7:$A$162,0))</x:f>
        <x:v>3</x:v>
      </x:c>
      <x:c r="F549" s="18" t="n">
        <x:f>C549*E549</x:f>
        <x:v>300</x:v>
      </x:c>
      <x:c r="G549" s="18" t="n">
        <x:f>ROUNDUP(F549*(1+D549),0)</x:f>
        <x:v>306</x:v>
      </x:c>
      <x:c r="H549" s="18" t="n">
        <x:f>INDEX('Dated offers'!$F$7:$F$305,MATCH($Z549,'Dated offers'!$A$7:$A$305,0))</x:f>
        <x:v>1</x:v>
      </x:c>
      <x:c r="I549" s="18" t="n">
        <x:f>INDEX('Dated offers'!$G$7:$G$305,MATCH($Z549,'Dated offers'!$A$7:$A$305,0))</x:f>
        <x:v>1</x:v>
      </x:c>
      <x:c r="J549" s="18" t="n">
        <x:f>CEILING(MAX(G549,H549),I549)</x:f>
        <x:v>306</x:v>
      </x:c>
      <x:c r="K549" s="18" t="n">
        <x:v>306</x:v>
      </x:c>
      <x:c r="L549" s="18" t="n">
        <x:f>INDEX('Dated offers'!$I$7:$I$305,MATCH($Z549,'Dated offers'!$A$7:$A$305,0))</x:f>
        <x:v>100</x:v>
      </x:c>
      <x:c r="M549" s="25" t="n">
        <x:f>INDEX('Dated offers'!$J$7:$J$305,MATCH($Z549,'Dated offers'!$A$7:$A$305,0))</x:f>
        <x:v>0.0796</x:v>
      </x:c>
      <x:c r="N549" s="25" t="n">
        <x:f>INDEX('Dated offers'!$K$7:$K$305,MATCH($Z549,'Dated offers'!$A$7:$A$305,0))</x:f>
        <x:v>0</x:v>
      </x:c>
      <x:c r="O549" s="25" t="n">
        <x:f>F549*M549</x:f>
        <x:v>23.880000000000003</x:v>
      </x:c>
      <x:c r="P549" s="25" t="n">
        <x:f>G549*M549</x:f>
        <x:v>24.3576</x:v>
      </x:c>
      <x:c r="Q549" s="25" t="n">
        <x:f>K549*M549+N549</x:f>
        <x:v>24.3576</x:v>
      </x:c>
      <x:c r="R549" s="18" t="n">
        <x:f>K549-G549</x:f>
        <x:v>0</x:v>
      </x:c>
      <x:c r="S549" s="18" t="n">
        <x:f>INDEX('Dated offers'!$H$7:$H$305,MATCH($Z549,'Dated offers'!$A$7:$A$305,0))</x:f>
        <x:v>3387</x:v>
      </x:c>
      <x:c r="T549" s="2" t="str">
        <x:f>IF(K549&lt;G549,"Order below requirement",IF(K549&lt;L549,"Below price tier",IF(ISNUMBER(S549),IF(K549&gt;S549,"Quantity exceeds snapshot","Within quantity snapshot"),"Stock not stated")))</x:f>
        <x:v>Within quantity snapshot</x:v>
      </x:c>
      <x:c r="U549" s="2" t="str">
        <x:f>INDEX('Dated offers'!$C$7:$C$305,MATCH($Z549,'Dated offers'!$A$7:$A$305,0))</x:f>
        <x:v>DigiKey</x:v>
      </x:c>
      <x:c r="V549" s="2" t="str">
        <x:f>INDEX('Dated offers'!$D$7:$D$305,MATCH($Z549,'Dated offers'!$A$7:$A$305,0))</x:f>
        <x:v>Not stated</x:v>
      </x:c>
      <x:c r="W549" s="24" t="n">
        <x:f>INDEX('Dated offers'!$E$7:$E$305,MATCH($Z549,'Dated offers'!$A$7:$A$305,0))</x:f>
        <x:v>46307.47807267361</x:v>
      </x:c>
      <x:c r="X549" s="2" t="b">
        <x:f>INDEX('Dated offers'!$N$7:$N$305,MATCH($Z549,'Dated offers'!$A$7:$A$305,0))</x:f>
        <x:v>0</x:v>
      </x:c>
      <x:c r="Y549" s="2" t="str">
        <x:f>INDEX('Dated offers'!$O$7:$O$305,MATCH($Z549,'Dated offers'!$A$7:$A$305,0))</x:f>
        <x:v>Unreserved inventory snapshot</x:v>
      </x:c>
      <x:c r="Z549" s="17" t="str">
        <x:v>OF0227</x:v>
      </x:c>
      <x:c r="AA549" s="2"/>
      <x:c r="AB549" s="2" t="str">
        <x:f>INDEX('Dated offers'!$Q$7:$Q$305,MATCH($Z549,'Dated offers'!$A$7:$A$305,0))</x:f>
        <x:v>https://www.digikey.com/en/products/detail/nexperia-usa-inc/NX3008NBK-215/2779967</x:v>
      </x:c>
    </x:row>
    <x:row r="550" ht="24" customHeight="1">
      <x:c r="A550" s="2" t="str">
        <x:v>100 boards / 2% planning</x:v>
      </x:c>
      <x:c r="B550" s="17" t="str">
        <x:v>PSMN015-100YLX</x:v>
      </x:c>
      <x:c r="C550" s="18" t="n">
        <x:v>100</x:v>
      </x:c>
      <x:c r="D550" s="27" t="n">
        <x:v>0.02</x:v>
      </x:c>
      <x:c r="E550" s="18" t="n">
        <x:f>INDEX('Assembly BOM'!$C$7:$C$162,MATCH($B550,'Assembly BOM'!$A$7:$A$162,0))</x:f>
        <x:v>1</x:v>
      </x:c>
      <x:c r="F550" s="18" t="n">
        <x:f>C550*E550</x:f>
        <x:v>100</x:v>
      </x:c>
      <x:c r="G550" s="18" t="n">
        <x:f>ROUNDUP(F550*(1+D550),0)</x:f>
        <x:v>102</x:v>
      </x:c>
      <x:c r="H550" s="18" t="n">
        <x:f>INDEX('Dated offers'!$F$7:$F$305,MATCH($Z550,'Dated offers'!$A$7:$A$305,0))</x:f>
        <x:v>1</x:v>
      </x:c>
      <x:c r="I550" s="18" t="n">
        <x:f>INDEX('Dated offers'!$G$7:$G$305,MATCH($Z550,'Dated offers'!$A$7:$A$305,0))</x:f>
        <x:v>1</x:v>
      </x:c>
      <x:c r="J550" s="18" t="n">
        <x:f>CEILING(MAX(G550,H550),I550)</x:f>
        <x:v>102</x:v>
      </x:c>
      <x:c r="K550" s="18" t="n">
        <x:v>102</x:v>
      </x:c>
      <x:c r="L550" s="18" t="n">
        <x:f>INDEX('Dated offers'!$I$7:$I$305,MATCH($Z550,'Dated offers'!$A$7:$A$305,0))</x:f>
        <x:v>100</x:v>
      </x:c>
      <x:c r="M550" s="25" t="n">
        <x:f>INDEX('Dated offers'!$J$7:$J$305,MATCH($Z550,'Dated offers'!$A$7:$A$305,0))</x:f>
        <x:v>0.8312</x:v>
      </x:c>
      <x:c r="N550" s="25" t="n">
        <x:f>INDEX('Dated offers'!$K$7:$K$305,MATCH($Z550,'Dated offers'!$A$7:$A$305,0))</x:f>
        <x:v>0</x:v>
      </x:c>
      <x:c r="O550" s="25" t="n">
        <x:f>F550*M550</x:f>
        <x:v>83.12</x:v>
      </x:c>
      <x:c r="P550" s="25" t="n">
        <x:f>G550*M550</x:f>
        <x:v>84.78240000000001</x:v>
      </x:c>
      <x:c r="Q550" s="25" t="n">
        <x:f>K550*M550+N550</x:f>
        <x:v>84.78240000000001</x:v>
      </x:c>
      <x:c r="R550" s="18" t="n">
        <x:f>K550-G550</x:f>
        <x:v>0</x:v>
      </x:c>
      <x:c r="S550" s="18" t="n">
        <x:f>INDEX('Dated offers'!$H$7:$H$305,MATCH($Z550,'Dated offers'!$A$7:$A$305,0))</x:f>
        <x:v>825</x:v>
      </x:c>
      <x:c r="T550" s="2" t="str">
        <x:f>IF(K550&lt;G550,"Order below requirement",IF(K550&lt;L550,"Below price tier",IF(ISNUMBER(S550),IF(K550&gt;S550,"Quantity exceeds snapshot","Within quantity snapshot"),"Stock not stated")))</x:f>
        <x:v>Within quantity snapshot</x:v>
      </x:c>
      <x:c r="U550" s="2" t="str">
        <x:f>INDEX('Dated offers'!$C$7:$C$305,MATCH($Z550,'Dated offers'!$A$7:$A$305,0))</x:f>
        <x:v>DigiKey</x:v>
      </x:c>
      <x:c r="V550" s="2" t="str">
        <x:f>INDEX('Dated offers'!$D$7:$D$305,MATCH($Z550,'Dated offers'!$A$7:$A$305,0))</x:f>
        <x:v>Not stated</x:v>
      </x:c>
      <x:c r="W550" s="24" t="n">
        <x:f>INDEX('Dated offers'!$E$7:$E$305,MATCH($Z550,'Dated offers'!$A$7:$A$305,0))</x:f>
        <x:v>46307.4780725463</x:v>
      </x:c>
      <x:c r="X550" s="2" t="b">
        <x:f>INDEX('Dated offers'!$N$7:$N$305,MATCH($Z550,'Dated offers'!$A$7:$A$305,0))</x:f>
        <x:v>0</x:v>
      </x:c>
      <x:c r="Y550" s="2" t="str">
        <x:f>INDEX('Dated offers'!$O$7:$O$305,MATCH($Z550,'Dated offers'!$A$7:$A$305,0))</x:f>
        <x:v>Unreserved inventory snapshot</x:v>
      </x:c>
      <x:c r="Z550" s="17" t="str">
        <x:v>OF0228</x:v>
      </x:c>
      <x:c r="AA550" s="2"/>
      <x:c r="AB550" s="2" t="str">
        <x:f>INDEX('Dated offers'!$Q$7:$Q$305,MATCH($Z550,'Dated offers'!$A$7:$A$305,0))</x:f>
        <x:v>https://www.digikey.com/en/products/detail/nexperia-usa-inc/PSMN015-100YLX/5981419</x:v>
      </x:c>
    </x:row>
    <x:row r="551" ht="24" customHeight="1">
      <x:c r="A551" s="2" t="str">
        <x:v>100 boards / 2% planning</x:v>
      </x:c>
      <x:c r="B551" s="17" t="str">
        <x:v>RC0402FR-07130KL</x:v>
      </x:c>
      <x:c r="C551" s="18" t="n">
        <x:v>100</x:v>
      </x:c>
      <x:c r="D551" s="27" t="n">
        <x:v>0.02</x:v>
      </x:c>
      <x:c r="E551" s="18" t="n">
        <x:f>INDEX('Assembly BOM'!$C$7:$C$162,MATCH($B551,'Assembly BOM'!$A$7:$A$162,0))</x:f>
        <x:v>1</x:v>
      </x:c>
      <x:c r="F551" s="18" t="n">
        <x:f>C551*E551</x:f>
        <x:v>100</x:v>
      </x:c>
      <x:c r="G551" s="18" t="n">
        <x:f>ROUNDUP(F551*(1+D551),0)</x:f>
        <x:v>102</x:v>
      </x:c>
      <x:c r="H551" s="18" t="n">
        <x:f>INDEX('Dated offers'!$F$7:$F$305,MATCH($Z551,'Dated offers'!$A$7:$A$305,0))</x:f>
        <x:v>100</x:v>
      </x:c>
      <x:c r="I551" s="18" t="n">
        <x:f>INDEX('Dated offers'!$G$7:$G$305,MATCH($Z551,'Dated offers'!$A$7:$A$305,0))</x:f>
        <x:v>100</x:v>
      </x:c>
      <x:c r="J551" s="18" t="n">
        <x:f>CEILING(MAX(G551,H551),I551)</x:f>
        <x:v>200</x:v>
      </x:c>
      <x:c r="K551" s="18" t="n">
        <x:v>200</x:v>
      </x:c>
      <x:c r="L551" s="18" t="n">
        <x:f>INDEX('Dated offers'!$I$7:$I$305,MATCH($Z551,'Dated offers'!$A$7:$A$305,0))</x:f>
        <x:v>100</x:v>
      </x:c>
      <x:c r="M551" s="25" t="n">
        <x:f>INDEX('Dated offers'!$J$7:$J$305,MATCH($Z551,'Dated offers'!$A$7:$A$305,0))</x:f>
        <x:v>0.0032</x:v>
      </x:c>
      <x:c r="N551" s="25" t="n">
        <x:f>INDEX('Dated offers'!$K$7:$K$305,MATCH($Z551,'Dated offers'!$A$7:$A$305,0))</x:f>
        <x:v>0</x:v>
      </x:c>
      <x:c r="O551" s="25" t="n">
        <x:f>F551*M551</x:f>
        <x:v>0.32</x:v>
      </x:c>
      <x:c r="P551" s="25" t="n">
        <x:f>G551*M551</x:f>
        <x:v>0.3264</x:v>
      </x:c>
      <x:c r="Q551" s="25" t="n">
        <x:f>K551*M551+N551</x:f>
        <x:v>0.64</x:v>
      </x:c>
      <x:c r="R551" s="18" t="n">
        <x:f>K551-G551</x:f>
        <x:v>98</x:v>
      </x:c>
      <x:c r="S551" s="18" t="n">
        <x:f>INDEX('Dated offers'!$H$7:$H$305,MATCH($Z551,'Dated offers'!$A$7:$A$305,0))</x:f>
        <x:v>902900</x:v>
      </x:c>
      <x:c r="T551" s="2" t="str">
        <x:f>IF(K551&lt;G551,"Order below requirement",IF(K551&lt;L551,"Below price tier",IF(ISNUMBER(S551),IF(K551&gt;S551,"Quantity exceeds snapshot","Within quantity snapshot"),"Stock not stated")))</x:f>
        <x:v>Within quantity snapshot</x:v>
      </x:c>
      <x:c r="U551" s="2" t="str">
        <x:f>INDEX('Dated offers'!$C$7:$C$305,MATCH($Z551,'Dated offers'!$A$7:$A$305,0))</x:f>
        <x:v>LCSC</x:v>
      </x:c>
      <x:c r="V551" s="2" t="str">
        <x:f>INDEX('Dated offers'!$D$7:$D$305,MATCH($Z551,'Dated offers'!$A$7:$A$305,0))</x:f>
        <x:v>C93946</x:v>
      </x:c>
      <x:c r="W551" s="24" t="n">
        <x:f>INDEX('Dated offers'!$E$7:$E$305,MATCH($Z551,'Dated offers'!$A$7:$A$305,0))</x:f>
        <x:v>46307.44744263889</x:v>
      </x:c>
      <x:c r="X551" s="2" t="b">
        <x:f>INDEX('Dated offers'!$N$7:$N$305,MATCH($Z551,'Dated offers'!$A$7:$A$305,0))</x:f>
        <x:v>0</x:v>
      </x:c>
      <x:c r="Y551" s="2" t="str">
        <x:f>INDEX('Dated offers'!$O$7:$O$305,MATCH($Z551,'Dated offers'!$A$7:$A$305,0))</x:f>
        <x:v>Unreserved inventory snapshot</x:v>
      </x:c>
      <x:c r="Z551" s="17" t="str">
        <x:v>OF0077</x:v>
      </x:c>
      <x:c r="AA551" s="2"/>
      <x:c r="AB551" s="2" t="str">
        <x:f>INDEX('Dated offers'!$Q$7:$Q$305,MATCH($Z551,'Dated offers'!$A$7:$A$305,0))</x:f>
        <x:v>https://www.lcsc.com/product-detail/C93946.html</x:v>
      </x:c>
    </x:row>
    <x:row r="552" ht="24" customHeight="1">
      <x:c r="A552" s="2" t="str">
        <x:v>100 boards / 2% planning</x:v>
      </x:c>
      <x:c r="B552" s="17" t="str">
        <x:v>RC0402FR-071K8L</x:v>
      </x:c>
      <x:c r="C552" s="18" t="n">
        <x:v>100</x:v>
      </x:c>
      <x:c r="D552" s="27" t="n">
        <x:v>0.02</x:v>
      </x:c>
      <x:c r="E552" s="18" t="n">
        <x:f>INDEX('Assembly BOM'!$C$7:$C$162,MATCH($B552,'Assembly BOM'!$A$7:$A$162,0))</x:f>
        <x:v>1</x:v>
      </x:c>
      <x:c r="F552" s="18" t="n">
        <x:f>C552*E552</x:f>
        <x:v>100</x:v>
      </x:c>
      <x:c r="G552" s="18" t="n">
        <x:f>ROUNDUP(F552*(1+D552),0)</x:f>
        <x:v>102</x:v>
      </x:c>
      <x:c r="H552" s="18" t="n">
        <x:f>INDEX('Dated offers'!$F$7:$F$305,MATCH($Z552,'Dated offers'!$A$7:$A$305,0))</x:f>
        <x:v>100</x:v>
      </x:c>
      <x:c r="I552" s="18" t="n">
        <x:f>INDEX('Dated offers'!$G$7:$G$305,MATCH($Z552,'Dated offers'!$A$7:$A$305,0))</x:f>
        <x:v>100</x:v>
      </x:c>
      <x:c r="J552" s="18" t="n">
        <x:f>CEILING(MAX(G552,H552),I552)</x:f>
        <x:v>200</x:v>
      </x:c>
      <x:c r="K552" s="18" t="n">
        <x:v>200</x:v>
      </x:c>
      <x:c r="L552" s="18" t="n">
        <x:f>INDEX('Dated offers'!$I$7:$I$305,MATCH($Z552,'Dated offers'!$A$7:$A$305,0))</x:f>
        <x:v>100</x:v>
      </x:c>
      <x:c r="M552" s="25" t="n">
        <x:f>INDEX('Dated offers'!$J$7:$J$305,MATCH($Z552,'Dated offers'!$A$7:$A$305,0))</x:f>
        <x:v>0.0034</x:v>
      </x:c>
      <x:c r="N552" s="25" t="n">
        <x:f>INDEX('Dated offers'!$K$7:$K$305,MATCH($Z552,'Dated offers'!$A$7:$A$305,0))</x:f>
        <x:v>0</x:v>
      </x:c>
      <x:c r="O552" s="25" t="n">
        <x:f>F552*M552</x:f>
        <x:v>0.33999999999999997</x:v>
      </x:c>
      <x:c r="P552" s="25" t="n">
        <x:f>G552*M552</x:f>
        <x:v>0.3468</x:v>
      </x:c>
      <x:c r="Q552" s="25" t="n">
        <x:f>K552*M552+N552</x:f>
        <x:v>0.6799999999999999</x:v>
      </x:c>
      <x:c r="R552" s="18" t="n">
        <x:f>K552-G552</x:f>
        <x:v>98</x:v>
      </x:c>
      <x:c r="S552" s="18" t="n">
        <x:f>INDEX('Dated offers'!$H$7:$H$305,MATCH($Z552,'Dated offers'!$A$7:$A$305,0))</x:f>
        <x:v>128100</x:v>
      </x:c>
      <x:c r="T552" s="2" t="str">
        <x:f>IF(K552&lt;G552,"Order below requirement",IF(K552&lt;L552,"Below price tier",IF(ISNUMBER(S552),IF(K552&gt;S552,"Quantity exceeds snapshot","Within quantity snapshot"),"Stock not stated")))</x:f>
        <x:v>Within quantity snapshot</x:v>
      </x:c>
      <x:c r="U552" s="2" t="str">
        <x:f>INDEX('Dated offers'!$C$7:$C$305,MATCH($Z552,'Dated offers'!$A$7:$A$305,0))</x:f>
        <x:v>LCSC</x:v>
      </x:c>
      <x:c r="V552" s="2" t="str">
        <x:f>INDEX('Dated offers'!$D$7:$D$305,MATCH($Z552,'Dated offers'!$A$7:$A$305,0))</x:f>
        <x:v>C163481</x:v>
      </x:c>
      <x:c r="W552" s="24" t="n">
        <x:f>INDEX('Dated offers'!$E$7:$E$305,MATCH($Z552,'Dated offers'!$A$7:$A$305,0))</x:f>
        <x:v>46307.447445798614</x:v>
      </x:c>
      <x:c r="X552" s="2" t="b">
        <x:f>INDEX('Dated offers'!$N$7:$N$305,MATCH($Z552,'Dated offers'!$A$7:$A$305,0))</x:f>
        <x:v>0</x:v>
      </x:c>
      <x:c r="Y552" s="2" t="str">
        <x:f>INDEX('Dated offers'!$O$7:$O$305,MATCH($Z552,'Dated offers'!$A$7:$A$305,0))</x:f>
        <x:v>Unreserved inventory snapshot</x:v>
      </x:c>
      <x:c r="Z552" s="17" t="str">
        <x:v>OF0078</x:v>
      </x:c>
      <x:c r="AA552" s="2"/>
      <x:c r="AB552" s="2" t="str">
        <x:f>INDEX('Dated offers'!$Q$7:$Q$305,MATCH($Z552,'Dated offers'!$A$7:$A$305,0))</x:f>
        <x:v>https://www.lcsc.com/product-detail/C163481.html</x:v>
      </x:c>
    </x:row>
    <x:row r="553" ht="24" customHeight="1">
      <x:c r="A553" s="2" t="str">
        <x:v>100 boards / 2% planning</x:v>
      </x:c>
      <x:c r="B553" s="17" t="str">
        <x:v>RC0402FR-07240RL</x:v>
      </x:c>
      <x:c r="C553" s="18" t="n">
        <x:v>100</x:v>
      </x:c>
      <x:c r="D553" s="27" t="n">
        <x:v>0.02</x:v>
      </x:c>
      <x:c r="E553" s="18" t="n">
        <x:f>INDEX('Assembly BOM'!$C$7:$C$162,MATCH($B553,'Assembly BOM'!$A$7:$A$162,0))</x:f>
        <x:v>1</x:v>
      </x:c>
      <x:c r="F553" s="18" t="n">
        <x:f>C553*E553</x:f>
        <x:v>100</x:v>
      </x:c>
      <x:c r="G553" s="18" t="n">
        <x:f>ROUNDUP(F553*(1+D553),0)</x:f>
        <x:v>102</x:v>
      </x:c>
      <x:c r="H553" s="18" t="n">
        <x:f>INDEX('Dated offers'!$F$7:$F$305,MATCH($Z553,'Dated offers'!$A$7:$A$305,0))</x:f>
        <x:v>1</x:v>
      </x:c>
      <x:c r="I553" s="18" t="n">
        <x:f>INDEX('Dated offers'!$G$7:$G$305,MATCH($Z553,'Dated offers'!$A$7:$A$305,0))</x:f>
        <x:v>1</x:v>
      </x:c>
      <x:c r="J553" s="18" t="n">
        <x:f>CEILING(MAX(G553,H553),I553)</x:f>
        <x:v>102</x:v>
      </x:c>
      <x:c r="K553" s="18" t="n">
        <x:v>102</x:v>
      </x:c>
      <x:c r="L553" s="18" t="n">
        <x:f>INDEX('Dated offers'!$I$7:$I$305,MATCH($Z553,'Dated offers'!$A$7:$A$305,0))</x:f>
        <x:v>100</x:v>
      </x:c>
      <x:c r="M553" s="25" t="n">
        <x:f>INDEX('Dated offers'!$J$7:$J$305,MATCH($Z553,'Dated offers'!$A$7:$A$305,0))</x:f>
        <x:v>0.0097</x:v>
      </x:c>
      <x:c r="N553" s="25" t="n">
        <x:f>INDEX('Dated offers'!$K$7:$K$305,MATCH($Z553,'Dated offers'!$A$7:$A$305,0))</x:f>
        <x:v>0</x:v>
      </x:c>
      <x:c r="O553" s="25" t="n">
        <x:f>F553*M553</x:f>
        <x:v>0.97</x:v>
      </x:c>
      <x:c r="P553" s="25" t="n">
        <x:f>G553*M553</x:f>
        <x:v>0.9894000000000001</x:v>
      </x:c>
      <x:c r="Q553" s="25" t="n">
        <x:f>K553*M553+N553</x:f>
        <x:v>0.9894000000000001</x:v>
      </x:c>
      <x:c r="R553" s="18" t="n">
        <x:f>K553-G553</x:f>
        <x:v>0</x:v>
      </x:c>
      <x:c r="S553" s="18" t="n">
        <x:f>INDEX('Dated offers'!$H$7:$H$305,MATCH($Z553,'Dated offers'!$A$7:$A$305,0))</x:f>
        <x:v>880015</x:v>
      </x:c>
      <x:c r="T553" s="2" t="str">
        <x:f>IF(K553&lt;G553,"Order below requirement",IF(K553&lt;L553,"Below price tier",IF(ISNUMBER(S553),IF(K553&gt;S553,"Quantity exceeds snapshot","Within quantity snapshot"),"Stock not stated")))</x:f>
        <x:v>Within quantity snapshot</x:v>
      </x:c>
      <x:c r="U553" s="2" t="str">
        <x:f>INDEX('Dated offers'!$C$7:$C$305,MATCH($Z553,'Dated offers'!$A$7:$A$305,0))</x:f>
        <x:v>DigiKey</x:v>
      </x:c>
      <x:c r="V553" s="2" t="str">
        <x:f>INDEX('Dated offers'!$D$7:$D$305,MATCH($Z553,'Dated offers'!$A$7:$A$305,0))</x:f>
        <x:v>Not stated</x:v>
      </x:c>
      <x:c r="W553" s="24" t="n">
        <x:f>INDEX('Dated offers'!$E$7:$E$305,MATCH($Z553,'Dated offers'!$A$7:$A$305,0))</x:f>
        <x:v>46307.47807267361</x:v>
      </x:c>
      <x:c r="X553" s="2" t="b">
        <x:f>INDEX('Dated offers'!$N$7:$N$305,MATCH($Z553,'Dated offers'!$A$7:$A$305,0))</x:f>
        <x:v>0</x:v>
      </x:c>
      <x:c r="Y553" s="2" t="str">
        <x:f>INDEX('Dated offers'!$O$7:$O$305,MATCH($Z553,'Dated offers'!$A$7:$A$305,0))</x:f>
        <x:v>Unreserved inventory snapshot</x:v>
      </x:c>
      <x:c r="Z553" s="17" t="str">
        <x:v>OF0229</x:v>
      </x:c>
      <x:c r="AA553" s="2"/>
      <x:c r="AB553" s="2" t="str">
        <x:f>INDEX('Dated offers'!$Q$7:$Q$305,MATCH($Z553,'Dated offers'!$A$7:$A$305,0))</x:f>
        <x:v>https://www.digikey.com/en/products/detail/yageo/RC0402FR-07240RL/2827564</x:v>
      </x:c>
    </x:row>
    <x:row r="554" ht="24" customHeight="1">
      <x:c r="A554" s="2" t="str">
        <x:v>100 boards / 2% planning</x:v>
      </x:c>
      <x:c r="B554" s="17" t="str">
        <x:v>RC0402FR-073K6L</x:v>
      </x:c>
      <x:c r="C554" s="18" t="n">
        <x:v>100</x:v>
      </x:c>
      <x:c r="D554" s="27" t="n">
        <x:v>0.02</x:v>
      </x:c>
      <x:c r="E554" s="18" t="n">
        <x:f>INDEX('Assembly BOM'!$C$7:$C$162,MATCH($B554,'Assembly BOM'!$A$7:$A$162,0))</x:f>
        <x:v>1</x:v>
      </x:c>
      <x:c r="F554" s="18" t="n">
        <x:f>C554*E554</x:f>
        <x:v>100</x:v>
      </x:c>
      <x:c r="G554" s="18" t="n">
        <x:f>ROUNDUP(F554*(1+D554),0)</x:f>
        <x:v>102</x:v>
      </x:c>
      <x:c r="H554" s="18" t="n">
        <x:f>INDEX('Dated offers'!$F$7:$F$305,MATCH($Z554,'Dated offers'!$A$7:$A$305,0))</x:f>
        <x:v>100</x:v>
      </x:c>
      <x:c r="I554" s="18" t="n">
        <x:f>INDEX('Dated offers'!$G$7:$G$305,MATCH($Z554,'Dated offers'!$A$7:$A$305,0))</x:f>
        <x:v>100</x:v>
      </x:c>
      <x:c r="J554" s="18" t="n">
        <x:f>CEILING(MAX(G554,H554),I554)</x:f>
        <x:v>200</x:v>
      </x:c>
      <x:c r="K554" s="18" t="n">
        <x:v>200</x:v>
      </x:c>
      <x:c r="L554" s="18" t="n">
        <x:f>INDEX('Dated offers'!$I$7:$I$305,MATCH($Z554,'Dated offers'!$A$7:$A$305,0))</x:f>
        <x:v>100</x:v>
      </x:c>
      <x:c r="M554" s="25" t="n">
        <x:f>INDEX('Dated offers'!$J$7:$J$305,MATCH($Z554,'Dated offers'!$A$7:$A$305,0))</x:f>
        <x:v>0.002</x:v>
      </x:c>
      <x:c r="N554" s="25" t="n">
        <x:f>INDEX('Dated offers'!$K$7:$K$305,MATCH($Z554,'Dated offers'!$A$7:$A$305,0))</x:f>
        <x:v>0</x:v>
      </x:c>
      <x:c r="O554" s="25" t="n">
        <x:f>F554*M554</x:f>
        <x:v>0.2</x:v>
      </x:c>
      <x:c r="P554" s="25" t="n">
        <x:f>G554*M554</x:f>
        <x:v>0.20400000000000001</x:v>
      </x:c>
      <x:c r="Q554" s="25" t="n">
        <x:f>K554*M554+N554</x:f>
        <x:v>0.4</x:v>
      </x:c>
      <x:c r="R554" s="18" t="n">
        <x:f>K554-G554</x:f>
        <x:v>98</x:v>
      </x:c>
      <x:c r="S554" s="18" t="n">
        <x:f>INDEX('Dated offers'!$H$7:$H$305,MATCH($Z554,'Dated offers'!$A$7:$A$305,0))</x:f>
        <x:v>556600</x:v>
      </x:c>
      <x:c r="T554" s="2" t="str">
        <x:f>IF(K554&lt;G554,"Order below requirement",IF(K554&lt;L554,"Below price tier",IF(ISNUMBER(S554),IF(K554&gt;S554,"Quantity exceeds snapshot","Within quantity snapshot"),"Stock not stated")))</x:f>
        <x:v>Within quantity snapshot</x:v>
      </x:c>
      <x:c r="U554" s="2" t="str">
        <x:f>INDEX('Dated offers'!$C$7:$C$305,MATCH($Z554,'Dated offers'!$A$7:$A$305,0))</x:f>
        <x:v>LCSC</x:v>
      </x:c>
      <x:c r="V554" s="2" t="str">
        <x:f>INDEX('Dated offers'!$D$7:$D$305,MATCH($Z554,'Dated offers'!$A$7:$A$305,0))</x:f>
        <x:v>C137990</x:v>
      </x:c>
      <x:c r="W554" s="24" t="n">
        <x:f>INDEX('Dated offers'!$E$7:$E$305,MATCH($Z554,'Dated offers'!$A$7:$A$305,0))</x:f>
        <x:v>46307.44744980324</x:v>
      </x:c>
      <x:c r="X554" s="2" t="b">
        <x:f>INDEX('Dated offers'!$N$7:$N$305,MATCH($Z554,'Dated offers'!$A$7:$A$305,0))</x:f>
        <x:v>0</x:v>
      </x:c>
      <x:c r="Y554" s="2" t="str">
        <x:f>INDEX('Dated offers'!$O$7:$O$305,MATCH($Z554,'Dated offers'!$A$7:$A$305,0))</x:f>
        <x:v>Unreserved inventory snapshot</x:v>
      </x:c>
      <x:c r="Z554" s="17" t="str">
        <x:v>OF0080</x:v>
      </x:c>
      <x:c r="AA554" s="2"/>
      <x:c r="AB554" s="2" t="str">
        <x:f>INDEX('Dated offers'!$Q$7:$Q$305,MATCH($Z554,'Dated offers'!$A$7:$A$305,0))</x:f>
        <x:v>https://www.lcsc.com/product-detail/C137990.html</x:v>
      </x:c>
    </x:row>
    <x:row r="555" ht="24" customHeight="1">
      <x:c r="A555" s="2" t="str">
        <x:v>100 boards / 2% planning</x:v>
      </x:c>
      <x:c r="B555" s="17" t="str">
        <x:v>RC0603FR-0710KL</x:v>
      </x:c>
      <x:c r="C555" s="18" t="n">
        <x:v>100</x:v>
      </x:c>
      <x:c r="D555" s="27" t="n">
        <x:v>0.02</x:v>
      </x:c>
      <x:c r="E555" s="18" t="n">
        <x:f>INDEX('Assembly BOM'!$C$7:$C$162,MATCH($B555,'Assembly BOM'!$A$7:$A$162,0))</x:f>
        <x:v>4</x:v>
      </x:c>
      <x:c r="F555" s="18" t="n">
        <x:f>C555*E555</x:f>
        <x:v>400</x:v>
      </x:c>
      <x:c r="G555" s="18" t="n">
        <x:f>ROUNDUP(F555*(1+D555),0)</x:f>
        <x:v>408</x:v>
      </x:c>
      <x:c r="H555" s="18" t="n">
        <x:f>INDEX('Dated offers'!$F$7:$F$305,MATCH($Z555,'Dated offers'!$A$7:$A$305,0))</x:f>
        <x:v>100</x:v>
      </x:c>
      <x:c r="I555" s="18" t="n">
        <x:f>INDEX('Dated offers'!$G$7:$G$305,MATCH($Z555,'Dated offers'!$A$7:$A$305,0))</x:f>
        <x:v>100</x:v>
      </x:c>
      <x:c r="J555" s="18" t="n">
        <x:f>CEILING(MAX(G555,H555),I555)</x:f>
        <x:v>500</x:v>
      </x:c>
      <x:c r="K555" s="18" t="n">
        <x:v>500</x:v>
      </x:c>
      <x:c r="L555" s="18" t="n">
        <x:f>INDEX('Dated offers'!$I$7:$I$305,MATCH($Z555,'Dated offers'!$A$7:$A$305,0))</x:f>
        <x:v>100</x:v>
      </x:c>
      <x:c r="M555" s="25" t="n">
        <x:f>INDEX('Dated offers'!$J$7:$J$305,MATCH($Z555,'Dated offers'!$A$7:$A$305,0))</x:f>
        <x:v>0.0034</x:v>
      </x:c>
      <x:c r="N555" s="25" t="n">
        <x:f>INDEX('Dated offers'!$K$7:$K$305,MATCH($Z555,'Dated offers'!$A$7:$A$305,0))</x:f>
        <x:v>0</x:v>
      </x:c>
      <x:c r="O555" s="25" t="n">
        <x:f>F555*M555</x:f>
        <x:v>1.3599999999999999</x:v>
      </x:c>
      <x:c r="P555" s="25" t="n">
        <x:f>G555*M555</x:f>
        <x:v>1.3872</x:v>
      </x:c>
      <x:c r="Q555" s="25" t="n">
        <x:f>K555*M555+N555</x:f>
        <x:v>1.7</x:v>
      </x:c>
      <x:c r="R555" s="18" t="n">
        <x:f>K555-G555</x:f>
        <x:v>92</x:v>
      </x:c>
      <x:c r="S555" s="18" t="n">
        <x:f>INDEX('Dated offers'!$H$7:$H$305,MATCH($Z555,'Dated offers'!$A$7:$A$305,0))</x:f>
        <x:v>4714200</x:v>
      </x:c>
      <x:c r="T555" s="2" t="str">
        <x:f>IF(K555&lt;G555,"Order below requirement",IF(K555&lt;L555,"Below price tier",IF(ISNUMBER(S555),IF(K555&gt;S555,"Quantity exceeds snapshot","Within quantity snapshot"),"Stock not stated")))</x:f>
        <x:v>Within quantity snapshot</x:v>
      </x:c>
      <x:c r="U555" s="2" t="str">
        <x:f>INDEX('Dated offers'!$C$7:$C$305,MATCH($Z555,'Dated offers'!$A$7:$A$305,0))</x:f>
        <x:v>LCSC</x:v>
      </x:c>
      <x:c r="V555" s="2" t="str">
        <x:f>INDEX('Dated offers'!$D$7:$D$305,MATCH($Z555,'Dated offers'!$A$7:$A$305,0))</x:f>
        <x:v>C98220</x:v>
      </x:c>
      <x:c r="W555" s="24" t="n">
        <x:f>INDEX('Dated offers'!$E$7:$E$305,MATCH($Z555,'Dated offers'!$A$7:$A$305,0))</x:f>
        <x:v>46307.44744924769</x:v>
      </x:c>
      <x:c r="X555" s="2" t="b">
        <x:f>INDEX('Dated offers'!$N$7:$N$305,MATCH($Z555,'Dated offers'!$A$7:$A$305,0))</x:f>
        <x:v>0</x:v>
      </x:c>
      <x:c r="Y555" s="2" t="str">
        <x:f>INDEX('Dated offers'!$O$7:$O$305,MATCH($Z555,'Dated offers'!$A$7:$A$305,0))</x:f>
        <x:v>Unreserved inventory snapshot</x:v>
      </x:c>
      <x:c r="Z555" s="17" t="str">
        <x:v>OF0081</x:v>
      </x:c>
      <x:c r="AA555" s="2"/>
      <x:c r="AB555" s="2" t="str">
        <x:f>INDEX('Dated offers'!$Q$7:$Q$305,MATCH($Z555,'Dated offers'!$A$7:$A$305,0))</x:f>
        <x:v>https://www.lcsc.com/product-detail/C98220.html</x:v>
      </x:c>
    </x:row>
    <x:row r="556" ht="24" customHeight="1">
      <x:c r="A556" s="2" t="str">
        <x:v>100 boards / 2% planning</x:v>
      </x:c>
      <x:c r="B556" s="17" t="str">
        <x:v>RC0603FR-0710RL</x:v>
      </x:c>
      <x:c r="C556" s="18" t="n">
        <x:v>100</x:v>
      </x:c>
      <x:c r="D556" s="27" t="n">
        <x:v>0.02</x:v>
      </x:c>
      <x:c r="E556" s="18" t="n">
        <x:f>INDEX('Assembly BOM'!$C$7:$C$162,MATCH($B556,'Assembly BOM'!$A$7:$A$162,0))</x:f>
        <x:v>1</x:v>
      </x:c>
      <x:c r="F556" s="18" t="n">
        <x:f>C556*E556</x:f>
        <x:v>100</x:v>
      </x:c>
      <x:c r="G556" s="18" t="n">
        <x:f>ROUNDUP(F556*(1+D556),0)</x:f>
        <x:v>102</x:v>
      </x:c>
      <x:c r="H556" s="18" t="n">
        <x:f>INDEX('Dated offers'!$F$7:$F$305,MATCH($Z556,'Dated offers'!$A$7:$A$305,0))</x:f>
        <x:v>100</x:v>
      </x:c>
      <x:c r="I556" s="18" t="n">
        <x:f>INDEX('Dated offers'!$G$7:$G$305,MATCH($Z556,'Dated offers'!$A$7:$A$305,0))</x:f>
        <x:v>100</x:v>
      </x:c>
      <x:c r="J556" s="18" t="n">
        <x:f>CEILING(MAX(G556,H556),I556)</x:f>
        <x:v>200</x:v>
      </x:c>
      <x:c r="K556" s="18" t="n">
        <x:v>200</x:v>
      </x:c>
      <x:c r="L556" s="18" t="n">
        <x:f>INDEX('Dated offers'!$I$7:$I$305,MATCH($Z556,'Dated offers'!$A$7:$A$305,0))</x:f>
        <x:v>100</x:v>
      </x:c>
      <x:c r="M556" s="25" t="n">
        <x:f>INDEX('Dated offers'!$J$7:$J$305,MATCH($Z556,'Dated offers'!$A$7:$A$305,0))</x:f>
        <x:v>0.0065</x:v>
      </x:c>
      <x:c r="N556" s="25" t="n">
        <x:f>INDEX('Dated offers'!$K$7:$K$305,MATCH($Z556,'Dated offers'!$A$7:$A$305,0))</x:f>
        <x:v>0</x:v>
      </x:c>
      <x:c r="O556" s="25" t="n">
        <x:f>F556*M556</x:f>
        <x:v>0.65</x:v>
      </x:c>
      <x:c r="P556" s="25" t="n">
        <x:f>G556*M556</x:f>
        <x:v>0.6629999999999999</x:v>
      </x:c>
      <x:c r="Q556" s="25" t="n">
        <x:f>K556*M556+N556</x:f>
        <x:v>1.3</x:v>
      </x:c>
      <x:c r="R556" s="18" t="n">
        <x:f>K556-G556</x:f>
        <x:v>98</x:v>
      </x:c>
      <x:c r="S556" s="18" t="n">
        <x:f>INDEX('Dated offers'!$H$7:$H$305,MATCH($Z556,'Dated offers'!$A$7:$A$305,0))</x:f>
        <x:v>5557100</x:v>
      </x:c>
      <x:c r="T556" s="2" t="str">
        <x:f>IF(K556&lt;G556,"Order below requirement",IF(K556&lt;L556,"Below price tier",IF(ISNUMBER(S556),IF(K556&gt;S556,"Quantity exceeds snapshot","Within quantity snapshot"),"Stock not stated")))</x:f>
        <x:v>Within quantity snapshot</x:v>
      </x:c>
      <x:c r="U556" s="2" t="str">
        <x:f>INDEX('Dated offers'!$C$7:$C$305,MATCH($Z556,'Dated offers'!$A$7:$A$305,0))</x:f>
        <x:v>LCSC</x:v>
      </x:c>
      <x:c r="V556" s="2" t="str">
        <x:f>INDEX('Dated offers'!$D$7:$D$305,MATCH($Z556,'Dated offers'!$A$7:$A$305,0))</x:f>
        <x:v>C109318</x:v>
      </x:c>
      <x:c r="W556" s="24" t="n">
        <x:f>INDEX('Dated offers'!$E$7:$E$305,MATCH($Z556,'Dated offers'!$A$7:$A$305,0))</x:f>
        <x:v>46307.44745208333</x:v>
      </x:c>
      <x:c r="X556" s="2" t="b">
        <x:f>INDEX('Dated offers'!$N$7:$N$305,MATCH($Z556,'Dated offers'!$A$7:$A$305,0))</x:f>
        <x:v>0</x:v>
      </x:c>
      <x:c r="Y556" s="2" t="str">
        <x:f>INDEX('Dated offers'!$O$7:$O$305,MATCH($Z556,'Dated offers'!$A$7:$A$305,0))</x:f>
        <x:v>Unreserved inventory snapshot</x:v>
      </x:c>
      <x:c r="Z556" s="17" t="str">
        <x:v>OF0082</x:v>
      </x:c>
      <x:c r="AA556" s="2"/>
      <x:c r="AB556" s="2" t="str">
        <x:f>INDEX('Dated offers'!$Q$7:$Q$305,MATCH($Z556,'Dated offers'!$A$7:$A$305,0))</x:f>
        <x:v>https://www.lcsc.com/product-detail/C109318.html</x:v>
      </x:c>
    </x:row>
    <x:row r="557" ht="24" customHeight="1">
      <x:c r="A557" s="2" t="str">
        <x:v>100 boards / 2% planning</x:v>
      </x:c>
      <x:c r="B557" s="17" t="str">
        <x:v>RC0603FR-0716KL</x:v>
      </x:c>
      <x:c r="C557" s="18" t="n">
        <x:v>100</x:v>
      </x:c>
      <x:c r="D557" s="27" t="n">
        <x:v>0.02</x:v>
      </x:c>
      <x:c r="E557" s="18" t="n">
        <x:f>INDEX('Assembly BOM'!$C$7:$C$162,MATCH($B557,'Assembly BOM'!$A$7:$A$162,0))</x:f>
        <x:v>1</x:v>
      </x:c>
      <x:c r="F557" s="18" t="n">
        <x:f>C557*E557</x:f>
        <x:v>100</x:v>
      </x:c>
      <x:c r="G557" s="18" t="n">
        <x:f>ROUNDUP(F557*(1+D557),0)</x:f>
        <x:v>102</x:v>
      </x:c>
      <x:c r="H557" s="18" t="n">
        <x:f>INDEX('Dated offers'!$F$7:$F$305,MATCH($Z557,'Dated offers'!$A$7:$A$305,0))</x:f>
        <x:v>100</x:v>
      </x:c>
      <x:c r="I557" s="18" t="n">
        <x:f>INDEX('Dated offers'!$G$7:$G$305,MATCH($Z557,'Dated offers'!$A$7:$A$305,0))</x:f>
        <x:v>100</x:v>
      </x:c>
      <x:c r="J557" s="18" t="n">
        <x:f>CEILING(MAX(G557,H557),I557)</x:f>
        <x:v>200</x:v>
      </x:c>
      <x:c r="K557" s="18" t="n">
        <x:v>200</x:v>
      </x:c>
      <x:c r="L557" s="18" t="n">
        <x:f>INDEX('Dated offers'!$I$7:$I$305,MATCH($Z557,'Dated offers'!$A$7:$A$305,0))</x:f>
        <x:v>100</x:v>
      </x:c>
      <x:c r="M557" s="25" t="n">
        <x:f>INDEX('Dated offers'!$J$7:$J$305,MATCH($Z557,'Dated offers'!$A$7:$A$305,0))</x:f>
        <x:v>0.005</x:v>
      </x:c>
      <x:c r="N557" s="25" t="n">
        <x:f>INDEX('Dated offers'!$K$7:$K$305,MATCH($Z557,'Dated offers'!$A$7:$A$305,0))</x:f>
        <x:v>0</x:v>
      </x:c>
      <x:c r="O557" s="25" t="n">
        <x:f>F557*M557</x:f>
        <x:v>0.5</x:v>
      </x:c>
      <x:c r="P557" s="25" t="n">
        <x:f>G557*M557</x:f>
        <x:v>0.51</x:v>
      </x:c>
      <x:c r="Q557" s="25" t="n">
        <x:f>K557*M557+N557</x:f>
        <x:v>1</x:v>
      </x:c>
      <x:c r="R557" s="18" t="n">
        <x:f>K557-G557</x:f>
        <x:v>98</x:v>
      </x:c>
      <x:c r="S557" s="18" t="n">
        <x:f>INDEX('Dated offers'!$H$7:$H$305,MATCH($Z557,'Dated offers'!$A$7:$A$305,0))</x:f>
        <x:v>311100</x:v>
      </x:c>
      <x:c r="T557" s="2" t="str">
        <x:f>IF(K557&lt;G557,"Order below requirement",IF(K557&lt;L557,"Below price tier",IF(ISNUMBER(S557),IF(K557&gt;S557,"Quantity exceeds snapshot","Within quantity snapshot"),"Stock not stated")))</x:f>
        <x:v>Within quantity snapshot</x:v>
      </x:c>
      <x:c r="U557" s="2" t="str">
        <x:f>INDEX('Dated offers'!$C$7:$C$305,MATCH($Z557,'Dated offers'!$A$7:$A$305,0))</x:f>
        <x:v>LCSC</x:v>
      </x:c>
      <x:c r="V557" s="2" t="str">
        <x:f>INDEX('Dated offers'!$D$7:$D$305,MATCH($Z557,'Dated offers'!$A$7:$A$305,0))</x:f>
        <x:v>C137788</x:v>
      </x:c>
      <x:c r="W557" s="24" t="n">
        <x:f>INDEX('Dated offers'!$E$7:$E$305,MATCH($Z557,'Dated offers'!$A$7:$A$305,0))</x:f>
        <x:v>46307.447455416666</x:v>
      </x:c>
      <x:c r="X557" s="2" t="b">
        <x:f>INDEX('Dated offers'!$N$7:$N$305,MATCH($Z557,'Dated offers'!$A$7:$A$305,0))</x:f>
        <x:v>0</x:v>
      </x:c>
      <x:c r="Y557" s="2" t="str">
        <x:f>INDEX('Dated offers'!$O$7:$O$305,MATCH($Z557,'Dated offers'!$A$7:$A$305,0))</x:f>
        <x:v>Unreserved inventory snapshot</x:v>
      </x:c>
      <x:c r="Z557" s="17" t="str">
        <x:v>OF0083</x:v>
      </x:c>
      <x:c r="AA557" s="2"/>
      <x:c r="AB557" s="2" t="str">
        <x:f>INDEX('Dated offers'!$Q$7:$Q$305,MATCH($Z557,'Dated offers'!$A$7:$A$305,0))</x:f>
        <x:v>https://www.lcsc.com/product-detail/C137788.html</x:v>
      </x:c>
    </x:row>
    <x:row r="558" ht="24" customHeight="1">
      <x:c r="A558" s="2" t="str">
        <x:v>100 boards / 2% planning</x:v>
      </x:c>
      <x:c r="B558" s="17" t="str">
        <x:v>RC0603FR-0718K2L</x:v>
      </x:c>
      <x:c r="C558" s="18" t="n">
        <x:v>100</x:v>
      </x:c>
      <x:c r="D558" s="27" t="n">
        <x:v>0.02</x:v>
      </x:c>
      <x:c r="E558" s="18" t="n">
        <x:f>INDEX('Assembly BOM'!$C$7:$C$162,MATCH($B558,'Assembly BOM'!$A$7:$A$162,0))</x:f>
        <x:v>1</x:v>
      </x:c>
      <x:c r="F558" s="18" t="n">
        <x:f>C558*E558</x:f>
        <x:v>100</x:v>
      </x:c>
      <x:c r="G558" s="18" t="n">
        <x:f>ROUNDUP(F558*(1+D558),0)</x:f>
        <x:v>102</x:v>
      </x:c>
      <x:c r="H558" s="18" t="n">
        <x:f>INDEX('Dated offers'!$F$7:$F$305,MATCH($Z558,'Dated offers'!$A$7:$A$305,0))</x:f>
        <x:v>1</x:v>
      </x:c>
      <x:c r="I558" s="18" t="n">
        <x:f>INDEX('Dated offers'!$G$7:$G$305,MATCH($Z558,'Dated offers'!$A$7:$A$305,0))</x:f>
        <x:v>1</x:v>
      </x:c>
      <x:c r="J558" s="18" t="n">
        <x:f>CEILING(MAX(G558,H558),I558)</x:f>
        <x:v>102</x:v>
      </x:c>
      <x:c r="K558" s="18" t="n">
        <x:v>102</x:v>
      </x:c>
      <x:c r="L558" s="18" t="n">
        <x:f>INDEX('Dated offers'!$I$7:$I$305,MATCH($Z558,'Dated offers'!$A$7:$A$305,0))</x:f>
        <x:v>100</x:v>
      </x:c>
      <x:c r="M558" s="25" t="n">
        <x:f>INDEX('Dated offers'!$J$7:$J$305,MATCH($Z558,'Dated offers'!$A$7:$A$305,0))</x:f>
        <x:v>0.0122</x:v>
      </x:c>
      <x:c r="N558" s="25" t="n">
        <x:f>INDEX('Dated offers'!$K$7:$K$305,MATCH($Z558,'Dated offers'!$A$7:$A$305,0))</x:f>
        <x:v>0</x:v>
      </x:c>
      <x:c r="O558" s="25" t="n">
        <x:f>F558*M558</x:f>
        <x:v>1.22</x:v>
      </x:c>
      <x:c r="P558" s="25" t="n">
        <x:f>G558*M558</x:f>
        <x:v>1.2444000000000002</x:v>
      </x:c>
      <x:c r="Q558" s="25" t="n">
        <x:f>K558*M558+N558</x:f>
        <x:v>1.2444000000000002</x:v>
      </x:c>
      <x:c r="R558" s="18" t="n">
        <x:f>K558-G558</x:f>
        <x:v>0</x:v>
      </x:c>
      <x:c r="S558" s="18" t="n">
        <x:f>INDEX('Dated offers'!$H$7:$H$305,MATCH($Z558,'Dated offers'!$A$7:$A$305,0))</x:f>
        <x:v>88477</x:v>
      </x:c>
      <x:c r="T558" s="2" t="str">
        <x:f>IF(K558&lt;G558,"Order below requirement",IF(K558&lt;L558,"Below price tier",IF(ISNUMBER(S558),IF(K558&gt;S558,"Quantity exceeds snapshot","Within quantity snapshot"),"Stock not stated")))</x:f>
        <x:v>Within quantity snapshot</x:v>
      </x:c>
      <x:c r="U558" s="2" t="str">
        <x:f>INDEX('Dated offers'!$C$7:$C$305,MATCH($Z558,'Dated offers'!$A$7:$A$305,0))</x:f>
        <x:v>DigiKey</x:v>
      </x:c>
      <x:c r="V558" s="2" t="str">
        <x:f>INDEX('Dated offers'!$D$7:$D$305,MATCH($Z558,'Dated offers'!$A$7:$A$305,0))</x:f>
        <x:v>Not stated</x:v>
      </x:c>
      <x:c r="W558" s="24" t="n">
        <x:f>INDEX('Dated offers'!$E$7:$E$305,MATCH($Z558,'Dated offers'!$A$7:$A$305,0))</x:f>
        <x:v>46307.47807252315</x:v>
      </x:c>
      <x:c r="X558" s="2" t="b">
        <x:f>INDEX('Dated offers'!$N$7:$N$305,MATCH($Z558,'Dated offers'!$A$7:$A$305,0))</x:f>
        <x:v>0</x:v>
      </x:c>
      <x:c r="Y558" s="2" t="str">
        <x:f>INDEX('Dated offers'!$O$7:$O$305,MATCH($Z558,'Dated offers'!$A$7:$A$305,0))</x:f>
        <x:v>Unreserved inventory snapshot</x:v>
      </x:c>
      <x:c r="Z558" s="17" t="str">
        <x:v>OF0230</x:v>
      </x:c>
      <x:c r="AA558" s="2"/>
      <x:c r="AB558" s="2" t="str">
        <x:f>INDEX('Dated offers'!$Q$7:$Q$305,MATCH($Z558,'Dated offers'!$A$7:$A$305,0))</x:f>
        <x:v>https://www.digikey.com/en/products/detail/yageo/RC0603FR-0718K2L/729938</x:v>
      </x:c>
    </x:row>
    <x:row r="559" ht="24" customHeight="1">
      <x:c r="A559" s="2" t="str">
        <x:v>100 boards / 2% planning</x:v>
      </x:c>
      <x:c r="B559" s="17" t="str">
        <x:v>RC0603FR-071KL</x:v>
      </x:c>
      <x:c r="C559" s="18" t="n">
        <x:v>100</x:v>
      </x:c>
      <x:c r="D559" s="27" t="n">
        <x:v>0.02</x:v>
      </x:c>
      <x:c r="E559" s="18" t="n">
        <x:f>INDEX('Assembly BOM'!$C$7:$C$162,MATCH($B559,'Assembly BOM'!$A$7:$A$162,0))</x:f>
        <x:v>1</x:v>
      </x:c>
      <x:c r="F559" s="18" t="n">
        <x:f>C559*E559</x:f>
        <x:v>100</x:v>
      </x:c>
      <x:c r="G559" s="18" t="n">
        <x:f>ROUNDUP(F559*(1+D559),0)</x:f>
        <x:v>102</x:v>
      </x:c>
      <x:c r="H559" s="18" t="n">
        <x:f>INDEX('Dated offers'!$F$7:$F$305,MATCH($Z559,'Dated offers'!$A$7:$A$305,0))</x:f>
        <x:v>100</x:v>
      </x:c>
      <x:c r="I559" s="18" t="n">
        <x:f>INDEX('Dated offers'!$G$7:$G$305,MATCH($Z559,'Dated offers'!$A$7:$A$305,0))</x:f>
        <x:v>100</x:v>
      </x:c>
      <x:c r="J559" s="18" t="n">
        <x:f>CEILING(MAX(G559,H559),I559)</x:f>
        <x:v>200</x:v>
      </x:c>
      <x:c r="K559" s="18" t="n">
        <x:v>200</x:v>
      </x:c>
      <x:c r="L559" s="18" t="n">
        <x:f>INDEX('Dated offers'!$I$7:$I$305,MATCH($Z559,'Dated offers'!$A$7:$A$305,0))</x:f>
        <x:v>100</x:v>
      </x:c>
      <x:c r="M559" s="25" t="n">
        <x:f>INDEX('Dated offers'!$J$7:$J$305,MATCH($Z559,'Dated offers'!$A$7:$A$305,0))</x:f>
        <x:v>0.0037</x:v>
      </x:c>
      <x:c r="N559" s="25" t="n">
        <x:f>INDEX('Dated offers'!$K$7:$K$305,MATCH($Z559,'Dated offers'!$A$7:$A$305,0))</x:f>
        <x:v>0</x:v>
      </x:c>
      <x:c r="O559" s="25" t="n">
        <x:f>F559*M559</x:f>
        <x:v>0.37</x:v>
      </x:c>
      <x:c r="P559" s="25" t="n">
        <x:f>G559*M559</x:f>
        <x:v>0.3774</x:v>
      </x:c>
      <x:c r="Q559" s="25" t="n">
        <x:f>K559*M559+N559</x:f>
        <x:v>0.74</x:v>
      </x:c>
      <x:c r="R559" s="18" t="n">
        <x:f>K559-G559</x:f>
        <x:v>98</x:v>
      </x:c>
      <x:c r="S559" s="18" t="n">
        <x:f>INDEX('Dated offers'!$H$7:$H$305,MATCH($Z559,'Dated offers'!$A$7:$A$305,0))</x:f>
        <x:v>9834600</x:v>
      </x:c>
      <x:c r="T559" s="2" t="str">
        <x:f>IF(K559&lt;G559,"Order below requirement",IF(K559&lt;L559,"Below price tier",IF(ISNUMBER(S559),IF(K559&gt;S559,"Quantity exceeds snapshot","Within quantity snapshot"),"Stock not stated")))</x:f>
        <x:v>Within quantity snapshot</x:v>
      </x:c>
      <x:c r="U559" s="2" t="str">
        <x:f>INDEX('Dated offers'!$C$7:$C$305,MATCH($Z559,'Dated offers'!$A$7:$A$305,0))</x:f>
        <x:v>LCSC</x:v>
      </x:c>
      <x:c r="V559" s="2" t="str">
        <x:f>INDEX('Dated offers'!$D$7:$D$305,MATCH($Z559,'Dated offers'!$A$7:$A$305,0))</x:f>
        <x:v>C22548</x:v>
      </x:c>
      <x:c r="W559" s="24" t="n">
        <x:f>INDEX('Dated offers'!$E$7:$E$305,MATCH($Z559,'Dated offers'!$A$7:$A$305,0))</x:f>
        <x:v>46307.44745611111</x:v>
      </x:c>
      <x:c r="X559" s="2" t="b">
        <x:f>INDEX('Dated offers'!$N$7:$N$305,MATCH($Z559,'Dated offers'!$A$7:$A$305,0))</x:f>
        <x:v>0</x:v>
      </x:c>
      <x:c r="Y559" s="2" t="str">
        <x:f>INDEX('Dated offers'!$O$7:$O$305,MATCH($Z559,'Dated offers'!$A$7:$A$305,0))</x:f>
        <x:v>Unreserved inventory snapshot</x:v>
      </x:c>
      <x:c r="Z559" s="17" t="str">
        <x:v>OF0085</x:v>
      </x:c>
      <x:c r="AA559" s="2"/>
      <x:c r="AB559" s="2" t="str">
        <x:f>INDEX('Dated offers'!$Q$7:$Q$305,MATCH($Z559,'Dated offers'!$A$7:$A$305,0))</x:f>
        <x:v>https://www.lcsc.com/product-detail/C22548.html</x:v>
      </x:c>
    </x:row>
    <x:row r="560" ht="24" customHeight="1">
      <x:c r="A560" s="2" t="str">
        <x:v>100 boards / 2% planning</x:v>
      </x:c>
      <x:c r="B560" s="17" t="str">
        <x:v>RC1206FR-071ML</x:v>
      </x:c>
      <x:c r="C560" s="18" t="n">
        <x:v>100</x:v>
      </x:c>
      <x:c r="D560" s="27" t="n">
        <x:v>0.02</x:v>
      </x:c>
      <x:c r="E560" s="18" t="n">
        <x:f>INDEX('Assembly BOM'!$C$7:$C$162,MATCH($B560,'Assembly BOM'!$A$7:$A$162,0))</x:f>
        <x:v>1</x:v>
      </x:c>
      <x:c r="F560" s="18" t="n">
        <x:f>C560*E560</x:f>
        <x:v>100</x:v>
      </x:c>
      <x:c r="G560" s="18" t="n">
        <x:f>ROUNDUP(F560*(1+D560),0)</x:f>
        <x:v>102</x:v>
      </x:c>
      <x:c r="H560" s="18" t="n">
        <x:f>INDEX('Dated offers'!$F$7:$F$305,MATCH($Z560,'Dated offers'!$A$7:$A$305,0))</x:f>
        <x:v>50</x:v>
      </x:c>
      <x:c r="I560" s="18" t="n">
        <x:f>INDEX('Dated offers'!$G$7:$G$305,MATCH($Z560,'Dated offers'!$A$7:$A$305,0))</x:f>
        <x:v>50</x:v>
      </x:c>
      <x:c r="J560" s="18" t="n">
        <x:f>CEILING(MAX(G560,H560),I560)</x:f>
        <x:v>150</x:v>
      </x:c>
      <x:c r="K560" s="18" t="n">
        <x:v>150</x:v>
      </x:c>
      <x:c r="L560" s="18" t="n">
        <x:f>INDEX('Dated offers'!$I$7:$I$305,MATCH($Z560,'Dated offers'!$A$7:$A$305,0))</x:f>
        <x:v>50</x:v>
      </x:c>
      <x:c r="M560" s="25" t="n">
        <x:f>INDEX('Dated offers'!$J$7:$J$305,MATCH($Z560,'Dated offers'!$A$7:$A$305,0))</x:f>
        <x:v>0.0122</x:v>
      </x:c>
      <x:c r="N560" s="25" t="n">
        <x:f>INDEX('Dated offers'!$K$7:$K$305,MATCH($Z560,'Dated offers'!$A$7:$A$305,0))</x:f>
        <x:v>0</x:v>
      </x:c>
      <x:c r="O560" s="25" t="n">
        <x:f>F560*M560</x:f>
        <x:v>1.22</x:v>
      </x:c>
      <x:c r="P560" s="25" t="n">
        <x:f>G560*M560</x:f>
        <x:v>1.2444000000000002</x:v>
      </x:c>
      <x:c r="Q560" s="25" t="n">
        <x:f>K560*M560+N560</x:f>
        <x:v>1.83</x:v>
      </x:c>
      <x:c r="R560" s="18" t="n">
        <x:f>K560-G560</x:f>
        <x:v>48</x:v>
      </x:c>
      <x:c r="S560" s="18" t="n">
        <x:f>INDEX('Dated offers'!$H$7:$H$305,MATCH($Z560,'Dated offers'!$A$7:$A$305,0))</x:f>
        <x:v>645150</x:v>
      </x:c>
      <x:c r="T560" s="2" t="str">
        <x:f>IF(K560&lt;G560,"Order below requirement",IF(K560&lt;L560,"Below price tier",IF(ISNUMBER(S560),IF(K560&gt;S560,"Quantity exceeds snapshot","Within quantity snapshot"),"Stock not stated")))</x:f>
        <x:v>Within quantity snapshot</x:v>
      </x:c>
      <x:c r="U560" s="2" t="str">
        <x:f>INDEX('Dated offers'!$C$7:$C$305,MATCH($Z560,'Dated offers'!$A$7:$A$305,0))</x:f>
        <x:v>LCSC</x:v>
      </x:c>
      <x:c r="V560" s="2" t="str">
        <x:f>INDEX('Dated offers'!$D$7:$D$305,MATCH($Z560,'Dated offers'!$A$7:$A$305,0))</x:f>
        <x:v>C108083</x:v>
      </x:c>
      <x:c r="W560" s="24" t="n">
        <x:f>INDEX('Dated offers'!$E$7:$E$305,MATCH($Z560,'Dated offers'!$A$7:$A$305,0))</x:f>
        <x:v>46307.44745853009</x:v>
      </x:c>
      <x:c r="X560" s="2" t="b">
        <x:f>INDEX('Dated offers'!$N$7:$N$305,MATCH($Z560,'Dated offers'!$A$7:$A$305,0))</x:f>
        <x:v>0</x:v>
      </x:c>
      <x:c r="Y560" s="2" t="str">
        <x:f>INDEX('Dated offers'!$O$7:$O$305,MATCH($Z560,'Dated offers'!$A$7:$A$305,0))</x:f>
        <x:v>Unreserved inventory snapshot</x:v>
      </x:c>
      <x:c r="Z560" s="17" t="str">
        <x:v>OF0086</x:v>
      </x:c>
      <x:c r="AA560" s="2"/>
      <x:c r="AB560" s="2" t="str">
        <x:f>INDEX('Dated offers'!$Q$7:$Q$305,MATCH($Z560,'Dated offers'!$A$7:$A$305,0))</x:f>
        <x:v>https://www.lcsc.com/product-detail/C108083.html</x:v>
      </x:c>
    </x:row>
    <x:row r="561" ht="24" customHeight="1">
      <x:c r="A561" s="2" t="str">
        <x:v>100 boards / 2% planning</x:v>
      </x:c>
      <x:c r="B561" s="17" t="str">
        <x:v>RG1608N-222-W-T1</x:v>
      </x:c>
      <x:c r="C561" s="18" t="n">
        <x:v>100</x:v>
      </x:c>
      <x:c r="D561" s="27" t="n">
        <x:v>0.02</x:v>
      </x:c>
      <x:c r="E561" s="18" t="n">
        <x:f>INDEX('Assembly BOM'!$C$7:$C$162,MATCH($B561,'Assembly BOM'!$A$7:$A$162,0))</x:f>
        <x:v>2</x:v>
      </x:c>
      <x:c r="F561" s="18" t="n">
        <x:f>C561*E561</x:f>
        <x:v>200</x:v>
      </x:c>
      <x:c r="G561" s="18" t="n">
        <x:f>ROUNDUP(F561*(1+D561),0)</x:f>
        <x:v>204</x:v>
      </x:c>
      <x:c r="H561" s="18" t="n">
        <x:f>INDEX('Dated offers'!$F$7:$F$305,MATCH($Z561,'Dated offers'!$A$7:$A$305,0))</x:f>
        <x:v>1</x:v>
      </x:c>
      <x:c r="I561" s="18" t="n">
        <x:f>INDEX('Dated offers'!$G$7:$G$305,MATCH($Z561,'Dated offers'!$A$7:$A$305,0))</x:f>
        <x:v>1</x:v>
      </x:c>
      <x:c r="J561" s="18" t="n">
        <x:f>CEILING(MAX(G561,H561),I561)</x:f>
        <x:v>204</x:v>
      </x:c>
      <x:c r="K561" s="18" t="n">
        <x:v>204</x:v>
      </x:c>
      <x:c r="L561" s="18" t="n">
        <x:f>INDEX('Dated offers'!$I$7:$I$305,MATCH($Z561,'Dated offers'!$A$7:$A$305,0))</x:f>
        <x:v>100</x:v>
      </x:c>
      <x:c r="M561" s="25" t="n">
        <x:f>INDEX('Dated offers'!$J$7:$J$305,MATCH($Z561,'Dated offers'!$A$7:$A$305,0))</x:f>
        <x:v>0.4381</x:v>
      </x:c>
      <x:c r="N561" s="25" t="n">
        <x:f>INDEX('Dated offers'!$K$7:$K$305,MATCH($Z561,'Dated offers'!$A$7:$A$305,0))</x:f>
        <x:v>0</x:v>
      </x:c>
      <x:c r="O561" s="25" t="n">
        <x:f>F561*M561</x:f>
        <x:v>87.62</x:v>
      </x:c>
      <x:c r="P561" s="25" t="n">
        <x:f>G561*M561</x:f>
        <x:v>89.3724</x:v>
      </x:c>
      <x:c r="Q561" s="25" t="n">
        <x:f>K561*M561+N561</x:f>
        <x:v>89.3724</x:v>
      </x:c>
      <x:c r="R561" s="18" t="n">
        <x:f>K561-G561</x:f>
        <x:v>0</x:v>
      </x:c>
      <x:c r="S561" s="18" t="n">
        <x:f>INDEX('Dated offers'!$H$7:$H$305,MATCH($Z561,'Dated offers'!$A$7:$A$305,0))</x:f>
        <x:v>87579</x:v>
      </x:c>
      <x:c r="T561" s="2" t="str">
        <x:f>IF(K561&lt;G561,"Order below requirement",IF(K561&lt;L561,"Below price tier",IF(ISNUMBER(S561),IF(K561&gt;S561,"Quantity exceeds snapshot","Within quantity snapshot"),"Stock not stated")))</x:f>
        <x:v>Within quantity snapshot</x:v>
      </x:c>
      <x:c r="U561" s="2" t="str">
        <x:f>INDEX('Dated offers'!$C$7:$C$305,MATCH($Z561,'Dated offers'!$A$7:$A$305,0))</x:f>
        <x:v>DigiKey</x:v>
      </x:c>
      <x:c r="V561" s="2" t="str">
        <x:f>INDEX('Dated offers'!$D$7:$D$305,MATCH($Z561,'Dated offers'!$A$7:$A$305,0))</x:f>
        <x:v>Not stated</x:v>
      </x:c>
      <x:c r="W561" s="24" t="n">
        <x:f>INDEX('Dated offers'!$E$7:$E$305,MATCH($Z561,'Dated offers'!$A$7:$A$305,0))</x:f>
        <x:v>46307.47807252315</x:v>
      </x:c>
      <x:c r="X561" s="2" t="b">
        <x:f>INDEX('Dated offers'!$N$7:$N$305,MATCH($Z561,'Dated offers'!$A$7:$A$305,0))</x:f>
        <x:v>0</x:v>
      </x:c>
      <x:c r="Y561" s="2" t="str">
        <x:f>INDEX('Dated offers'!$O$7:$O$305,MATCH($Z561,'Dated offers'!$A$7:$A$305,0))</x:f>
        <x:v>Unreserved inventory snapshot</x:v>
      </x:c>
      <x:c r="Z561" s="17" t="str">
        <x:v>OF0231</x:v>
      </x:c>
      <x:c r="AA561" s="2"/>
      <x:c r="AB561" s="2" t="str">
        <x:f>INDEX('Dated offers'!$Q$7:$Q$305,MATCH($Z561,'Dated offers'!$A$7:$A$305,0))</x:f>
        <x:v>https://www.digikey.com/en/products/detail/susumu/RG1608N-222-W-T1/600605</x:v>
      </x:c>
    </x:row>
    <x:row r="562" ht="24" customHeight="1">
      <x:c r="A562" s="2" t="str">
        <x:v>100 boards / 2% planning</x:v>
      </x:c>
      <x:c r="B562" s="17" t="str">
        <x:v>RG1608N-392-W-T1</x:v>
      </x:c>
      <x:c r="C562" s="18" t="n">
        <x:v>100</x:v>
      </x:c>
      <x:c r="D562" s="27" t="n">
        <x:v>0.02</x:v>
      </x:c>
      <x:c r="E562" s="18" t="n">
        <x:f>INDEX('Assembly BOM'!$C$7:$C$162,MATCH($B562,'Assembly BOM'!$A$7:$A$162,0))</x:f>
        <x:v>1</x:v>
      </x:c>
      <x:c r="F562" s="18" t="n">
        <x:f>C562*E562</x:f>
        <x:v>100</x:v>
      </x:c>
      <x:c r="G562" s="18" t="n">
        <x:f>ROUNDUP(F562*(1+D562),0)</x:f>
        <x:v>102</x:v>
      </x:c>
      <x:c r="H562" s="18" t="n">
        <x:f>INDEX('Dated offers'!$F$7:$F$305,MATCH($Z562,'Dated offers'!$A$7:$A$305,0))</x:f>
        <x:v>1</x:v>
      </x:c>
      <x:c r="I562" s="18" t="n">
        <x:f>INDEX('Dated offers'!$G$7:$G$305,MATCH($Z562,'Dated offers'!$A$7:$A$305,0))</x:f>
        <x:v>1</x:v>
      </x:c>
      <x:c r="J562" s="18" t="n">
        <x:f>CEILING(MAX(G562,H562),I562)</x:f>
        <x:v>102</x:v>
      </x:c>
      <x:c r="K562" s="18" t="n">
        <x:v>102</x:v>
      </x:c>
      <x:c r="L562" s="18" t="n">
        <x:f>INDEX('Dated offers'!$I$7:$I$305,MATCH($Z562,'Dated offers'!$A$7:$A$305,0))</x:f>
        <x:v>100</x:v>
      </x:c>
      <x:c r="M562" s="25" t="n">
        <x:f>INDEX('Dated offers'!$J$7:$J$305,MATCH($Z562,'Dated offers'!$A$7:$A$305,0))</x:f>
        <x:v>0.4381</x:v>
      </x:c>
      <x:c r="N562" s="25" t="n">
        <x:f>INDEX('Dated offers'!$K$7:$K$305,MATCH($Z562,'Dated offers'!$A$7:$A$305,0))</x:f>
        <x:v>0</x:v>
      </x:c>
      <x:c r="O562" s="25" t="n">
        <x:f>F562*M562</x:f>
        <x:v>43.81</x:v>
      </x:c>
      <x:c r="P562" s="25" t="n">
        <x:f>G562*M562</x:f>
        <x:v>44.6862</x:v>
      </x:c>
      <x:c r="Q562" s="25" t="n">
        <x:f>K562*M562+N562</x:f>
        <x:v>44.6862</x:v>
      </x:c>
      <x:c r="R562" s="18" t="n">
        <x:f>K562-G562</x:f>
        <x:v>0</x:v>
      </x:c>
      <x:c r="S562" s="18" t="n">
        <x:f>INDEX('Dated offers'!$H$7:$H$305,MATCH($Z562,'Dated offers'!$A$7:$A$305,0))</x:f>
        <x:v>9903</x:v>
      </x:c>
      <x:c r="T562" s="2" t="str">
        <x:f>IF(K562&lt;G562,"Order below requirement",IF(K562&lt;L562,"Below price tier",IF(ISNUMBER(S562),IF(K562&gt;S562,"Quantity exceeds snapshot","Within quantity snapshot"),"Stock not stated")))</x:f>
        <x:v>Within quantity snapshot</x:v>
      </x:c>
      <x:c r="U562" s="2" t="str">
        <x:f>INDEX('Dated offers'!$C$7:$C$305,MATCH($Z562,'Dated offers'!$A$7:$A$305,0))</x:f>
        <x:v>DigiKey</x:v>
      </x:c>
      <x:c r="V562" s="2" t="str">
        <x:f>INDEX('Dated offers'!$D$7:$D$305,MATCH($Z562,'Dated offers'!$A$7:$A$305,0))</x:f>
        <x:v>Not stated</x:v>
      </x:c>
      <x:c r="W562" s="24" t="n">
        <x:f>INDEX('Dated offers'!$E$7:$E$305,MATCH($Z562,'Dated offers'!$A$7:$A$305,0))</x:f>
        <x:v>46307.47807252315</x:v>
      </x:c>
      <x:c r="X562" s="2" t="b">
        <x:f>INDEX('Dated offers'!$N$7:$N$305,MATCH($Z562,'Dated offers'!$A$7:$A$305,0))</x:f>
        <x:v>0</x:v>
      </x:c>
      <x:c r="Y562" s="2" t="str">
        <x:f>INDEX('Dated offers'!$O$7:$O$305,MATCH($Z562,'Dated offers'!$A$7:$A$305,0))</x:f>
        <x:v>Unreserved inventory snapshot</x:v>
      </x:c>
      <x:c r="Z562" s="17" t="str">
        <x:v>OF0232</x:v>
      </x:c>
      <x:c r="AA562" s="2"/>
      <x:c r="AB562" s="2" t="str">
        <x:f>INDEX('Dated offers'!$Q$7:$Q$305,MATCH($Z562,'Dated offers'!$A$7:$A$305,0))</x:f>
        <x:v>https://www.digikey.com/en/products/detail/susumu/RG1608N-392-W-T1/600611</x:v>
      </x:c>
    </x:row>
    <x:row r="563" ht="24" customHeight="1">
      <x:c r="A563" s="2" t="str">
        <x:v>100 boards / 2% planning</x:v>
      </x:c>
      <x:c r="B563" s="17" t="str">
        <x:v>RG1608N-682-W-T1</x:v>
      </x:c>
      <x:c r="C563" s="18" t="n">
        <x:v>100</x:v>
      </x:c>
      <x:c r="D563" s="27" t="n">
        <x:v>0.02</x:v>
      </x:c>
      <x:c r="E563" s="18" t="n">
        <x:f>INDEX('Assembly BOM'!$C$7:$C$162,MATCH($B563,'Assembly BOM'!$A$7:$A$162,0))</x:f>
        <x:v>1</x:v>
      </x:c>
      <x:c r="F563" s="18" t="n">
        <x:f>C563*E563</x:f>
        <x:v>100</x:v>
      </x:c>
      <x:c r="G563" s="18" t="n">
        <x:f>ROUNDUP(F563*(1+D563),0)</x:f>
        <x:v>102</x:v>
      </x:c>
      <x:c r="H563" s="18" t="n">
        <x:f>INDEX('Dated offers'!$F$7:$F$305,MATCH($Z563,'Dated offers'!$A$7:$A$305,0))</x:f>
        <x:v>1</x:v>
      </x:c>
      <x:c r="I563" s="18" t="n">
        <x:f>INDEX('Dated offers'!$G$7:$G$305,MATCH($Z563,'Dated offers'!$A$7:$A$305,0))</x:f>
        <x:v>1</x:v>
      </x:c>
      <x:c r="J563" s="18" t="n">
        <x:f>CEILING(MAX(G563,H563),I563)</x:f>
        <x:v>102</x:v>
      </x:c>
      <x:c r="K563" s="18" t="n">
        <x:v>102</x:v>
      </x:c>
      <x:c r="L563" s="18" t="n">
        <x:f>INDEX('Dated offers'!$I$7:$I$305,MATCH($Z563,'Dated offers'!$A$7:$A$305,0))</x:f>
        <x:v>100</x:v>
      </x:c>
      <x:c r="M563" s="25" t="n">
        <x:f>INDEX('Dated offers'!$J$7:$J$305,MATCH($Z563,'Dated offers'!$A$7:$A$305,0))</x:f>
        <x:v>0.4133</x:v>
      </x:c>
      <x:c r="N563" s="25" t="n">
        <x:f>INDEX('Dated offers'!$K$7:$K$305,MATCH($Z563,'Dated offers'!$A$7:$A$305,0))</x:f>
        <x:v>0</x:v>
      </x:c>
      <x:c r="O563" s="25" t="n">
        <x:f>F563*M563</x:f>
        <x:v>41.33</x:v>
      </x:c>
      <x:c r="P563" s="25" t="n">
        <x:f>G563*M563</x:f>
        <x:v>42.1566</x:v>
      </x:c>
      <x:c r="Q563" s="25" t="n">
        <x:f>K563*M563+N563</x:f>
        <x:v>42.1566</x:v>
      </x:c>
      <x:c r="R563" s="18" t="n">
        <x:f>K563-G563</x:f>
        <x:v>0</x:v>
      </x:c>
      <x:c r="S563" s="18" t="n">
        <x:f>INDEX('Dated offers'!$H$7:$H$305,MATCH($Z563,'Dated offers'!$A$7:$A$305,0))</x:f>
        <x:v>3134</x:v>
      </x:c>
      <x:c r="T563" s="2" t="str">
        <x:f>IF(K563&lt;G563,"Order below requirement",IF(K563&lt;L563,"Below price tier",IF(ISNUMBER(S563),IF(K563&gt;S563,"Quantity exceeds snapshot","Within quantity snapshot"),"Stock not stated")))</x:f>
        <x:v>Within quantity snapshot</x:v>
      </x:c>
      <x:c r="U563" s="2" t="str">
        <x:f>INDEX('Dated offers'!$C$7:$C$305,MATCH($Z563,'Dated offers'!$A$7:$A$305,0))</x:f>
        <x:v>DigiKey</x:v>
      </x:c>
      <x:c r="V563" s="2" t="str">
        <x:f>INDEX('Dated offers'!$D$7:$D$305,MATCH($Z563,'Dated offers'!$A$7:$A$305,0))</x:f>
        <x:v>Not stated</x:v>
      </x:c>
      <x:c r="W563" s="24" t="n">
        <x:f>INDEX('Dated offers'!$E$7:$E$305,MATCH($Z563,'Dated offers'!$A$7:$A$305,0))</x:f>
        <x:v>46307.478072592596</x:v>
      </x:c>
      <x:c r="X563" s="2" t="b">
        <x:f>INDEX('Dated offers'!$N$7:$N$305,MATCH($Z563,'Dated offers'!$A$7:$A$305,0))</x:f>
        <x:v>0</x:v>
      </x:c>
      <x:c r="Y563" s="2" t="str">
        <x:f>INDEX('Dated offers'!$O$7:$O$305,MATCH($Z563,'Dated offers'!$A$7:$A$305,0))</x:f>
        <x:v>Unreserved inventory snapshot</x:v>
      </x:c>
      <x:c r="Z563" s="17" t="str">
        <x:v>OF0233</x:v>
      </x:c>
      <x:c r="AA563" s="2"/>
      <x:c r="AB563" s="2" t="str">
        <x:f>INDEX('Dated offers'!$Q$7:$Q$305,MATCH($Z563,'Dated offers'!$A$7:$A$305,0))</x:f>
        <x:v>https://www.digikey.com/en/products/detail/susumu/RG1608N-682-W-T1/600805</x:v>
      </x:c>
    </x:row>
    <x:row r="564" ht="24" customHeight="1">
      <x:c r="A564" s="2" t="str">
        <x:v>100 boards / 2% planning</x:v>
      </x:c>
      <x:c r="B564" s="17" t="str">
        <x:v>RHA0J471MCN1GS</x:v>
      </x:c>
      <x:c r="C564" s="18" t="n">
        <x:v>100</x:v>
      </x:c>
      <x:c r="D564" s="27" t="n">
        <x:v>0.02</x:v>
      </x:c>
      <x:c r="E564" s="18" t="n">
        <x:f>INDEX('Assembly BOM'!$C$7:$C$162,MATCH($B564,'Assembly BOM'!$A$7:$A$162,0))</x:f>
        <x:v>1</x:v>
      </x:c>
      <x:c r="F564" s="18" t="n">
        <x:f>C564*E564</x:f>
        <x:v>100</x:v>
      </x:c>
      <x:c r="G564" s="18" t="n">
        <x:f>ROUNDUP(F564*(1+D564),0)</x:f>
        <x:v>102</x:v>
      </x:c>
      <x:c r="H564" s="18" t="n">
        <x:f>INDEX('Dated offers'!$F$7:$F$305,MATCH($Z564,'Dated offers'!$A$7:$A$305,0))</x:f>
        <x:v>1</x:v>
      </x:c>
      <x:c r="I564" s="18" t="n">
        <x:f>INDEX('Dated offers'!$G$7:$G$305,MATCH($Z564,'Dated offers'!$A$7:$A$305,0))</x:f>
        <x:v>1</x:v>
      </x:c>
      <x:c r="J564" s="18" t="n">
        <x:f>CEILING(MAX(G564,H564),I564)</x:f>
        <x:v>102</x:v>
      </x:c>
      <x:c r="K564" s="18" t="n">
        <x:v>102</x:v>
      </x:c>
      <x:c r="L564" s="18" t="n">
        <x:f>INDEX('Dated offers'!$I$7:$I$305,MATCH($Z564,'Dated offers'!$A$7:$A$305,0))</x:f>
        <x:v>100</x:v>
      </x:c>
      <x:c r="M564" s="25" t="n">
        <x:f>INDEX('Dated offers'!$J$7:$J$305,MATCH($Z564,'Dated offers'!$A$7:$A$305,0))</x:f>
        <x:v>0.6091</x:v>
      </x:c>
      <x:c r="N564" s="25" t="n">
        <x:f>INDEX('Dated offers'!$K$7:$K$305,MATCH($Z564,'Dated offers'!$A$7:$A$305,0))</x:f>
        <x:v>0</x:v>
      </x:c>
      <x:c r="O564" s="25" t="n">
        <x:f>F564*M564</x:f>
        <x:v>60.91</x:v>
      </x:c>
      <x:c r="P564" s="25" t="n">
        <x:f>G564*M564</x:f>
        <x:v>62.1282</x:v>
      </x:c>
      <x:c r="Q564" s="25" t="n">
        <x:f>K564*M564+N564</x:f>
        <x:v>62.1282</x:v>
      </x:c>
      <x:c r="R564" s="18" t="n">
        <x:f>K564-G564</x:f>
        <x:v>0</x:v>
      </x:c>
      <x:c r="S564" s="18" t="n">
        <x:f>INDEX('Dated offers'!$H$7:$H$305,MATCH($Z564,'Dated offers'!$A$7:$A$305,0))</x:f>
        <x:v>43782</x:v>
      </x:c>
      <x:c r="T564" s="2" t="str">
        <x:f>IF(K564&lt;G564,"Order below requirement",IF(K564&lt;L564,"Below price tier",IF(ISNUMBER(S564),IF(K564&gt;S564,"Quantity exceeds snapshot","Within quantity snapshot"),"Stock not stated")))</x:f>
        <x:v>Within quantity snapshot</x:v>
      </x:c>
      <x:c r="U564" s="2" t="str">
        <x:f>INDEX('Dated offers'!$C$7:$C$305,MATCH($Z564,'Dated offers'!$A$7:$A$305,0))</x:f>
        <x:v>DigiKey</x:v>
      </x:c>
      <x:c r="V564" s="2" t="str">
        <x:f>INDEX('Dated offers'!$D$7:$D$305,MATCH($Z564,'Dated offers'!$A$7:$A$305,0))</x:f>
        <x:v>Not stated</x:v>
      </x:c>
      <x:c r="W564" s="24" t="n">
        <x:f>INDEX('Dated offers'!$E$7:$E$305,MATCH($Z564,'Dated offers'!$A$7:$A$305,0))</x:f>
        <x:v>46307.47807258102</x:v>
      </x:c>
      <x:c r="X564" s="2" t="b">
        <x:f>INDEX('Dated offers'!$N$7:$N$305,MATCH($Z564,'Dated offers'!$A$7:$A$305,0))</x:f>
        <x:v>0</x:v>
      </x:c>
      <x:c r="Y564" s="2" t="str">
        <x:f>INDEX('Dated offers'!$O$7:$O$305,MATCH($Z564,'Dated offers'!$A$7:$A$305,0))</x:f>
        <x:v>Unreserved inventory snapshot</x:v>
      </x:c>
      <x:c r="Z564" s="17" t="str">
        <x:v>OF0234</x:v>
      </x:c>
      <x:c r="AA564" s="2"/>
      <x:c r="AB564" s="2" t="str">
        <x:f>INDEX('Dated offers'!$Q$7:$Q$305,MATCH($Z564,'Dated offers'!$A$7:$A$305,0))</x:f>
        <x:v>https://www.digikey.com/en/products/detail/nichicon/RHA0J471MCN1GS/2209461</x:v>
      </x:c>
    </x:row>
    <x:row r="565" ht="24" customHeight="1">
      <x:c r="A565" s="2" t="str">
        <x:v>100 boards / 2% planning</x:v>
      </x:c>
      <x:c r="B565" s="17" t="str">
        <x:v>RN73R1ETTP9650B25</x:v>
      </x:c>
      <x:c r="C565" s="18" t="n">
        <x:v>100</x:v>
      </x:c>
      <x:c r="D565" s="27" t="n">
        <x:v>0.02</x:v>
      </x:c>
      <x:c r="E565" s="18" t="n">
        <x:f>INDEX('Assembly BOM'!$C$7:$C$162,MATCH($B565,'Assembly BOM'!$A$7:$A$162,0))</x:f>
        <x:v>1</x:v>
      </x:c>
      <x:c r="F565" s="18" t="n">
        <x:f>C565*E565</x:f>
        <x:v>100</x:v>
      </x:c>
      <x:c r="G565" s="18" t="n">
        <x:f>ROUNDUP(F565*(1+D565),0)</x:f>
        <x:v>102</x:v>
      </x:c>
      <x:c r="H565" s="18" t="n">
        <x:f>INDEX('Dated offers'!$F$7:$F$305,MATCH($Z565,'Dated offers'!$A$7:$A$305,0))</x:f>
        <x:v>1</x:v>
      </x:c>
      <x:c r="I565" s="18" t="n">
        <x:f>INDEX('Dated offers'!$G$7:$G$305,MATCH($Z565,'Dated offers'!$A$7:$A$305,0))</x:f>
        <x:v>1</x:v>
      </x:c>
      <x:c r="J565" s="18" t="n">
        <x:f>CEILING(MAX(G565,H565),I565)</x:f>
        <x:v>102</x:v>
      </x:c>
      <x:c r="K565" s="18" t="n">
        <x:v>102</x:v>
      </x:c>
      <x:c r="L565" s="18" t="n">
        <x:f>INDEX('Dated offers'!$I$7:$I$305,MATCH($Z565,'Dated offers'!$A$7:$A$305,0))</x:f>
        <x:v>100</x:v>
      </x:c>
      <x:c r="M565" s="25" t="n">
        <x:f>INDEX('Dated offers'!$J$7:$J$305,MATCH($Z565,'Dated offers'!$A$7:$A$305,0))</x:f>
        <x:v>0.0891</x:v>
      </x:c>
      <x:c r="N565" s="25" t="n">
        <x:f>INDEX('Dated offers'!$K$7:$K$305,MATCH($Z565,'Dated offers'!$A$7:$A$305,0))</x:f>
        <x:v>0</x:v>
      </x:c>
      <x:c r="O565" s="25" t="n">
        <x:f>F565*M565</x:f>
        <x:v>8.91</x:v>
      </x:c>
      <x:c r="P565" s="25" t="n">
        <x:f>G565*M565</x:f>
        <x:v>9.0882</x:v>
      </x:c>
      <x:c r="Q565" s="25" t="n">
        <x:f>K565*M565+N565</x:f>
        <x:v>9.0882</x:v>
      </x:c>
      <x:c r="R565" s="18" t="n">
        <x:f>K565-G565</x:f>
        <x:v>0</x:v>
      </x:c>
      <x:c r="S565" s="18" t="n">
        <x:f>INDEX('Dated offers'!$H$7:$H$305,MATCH($Z565,'Dated offers'!$A$7:$A$305,0))</x:f>
        <x:v>292</x:v>
      </x:c>
      <x:c r="T565" s="2" t="str">
        <x:f>IF(K565&lt;G565,"Order below requirement",IF(K565&lt;L565,"Below price tier",IF(ISNUMBER(S565),IF(K565&gt;S565,"Quantity exceeds snapshot","Within quantity snapshot"),"Stock not stated")))</x:f>
        <x:v>Within quantity snapshot</x:v>
      </x:c>
      <x:c r="U565" s="2" t="str">
        <x:f>INDEX('Dated offers'!$C$7:$C$305,MATCH($Z565,'Dated offers'!$A$7:$A$305,0))</x:f>
        <x:v>DigiKey</x:v>
      </x:c>
      <x:c r="V565" s="2" t="str">
        <x:f>INDEX('Dated offers'!$D$7:$D$305,MATCH($Z565,'Dated offers'!$A$7:$A$305,0))</x:f>
        <x:v>Not stated</x:v>
      </x:c>
      <x:c r="W565" s="24" t="n">
        <x:f>INDEX('Dated offers'!$E$7:$E$305,MATCH($Z565,'Dated offers'!$A$7:$A$305,0))</x:f>
        <x:v>46307.47807262732</x:v>
      </x:c>
      <x:c r="X565" s="2" t="b">
        <x:f>INDEX('Dated offers'!$N$7:$N$305,MATCH($Z565,'Dated offers'!$A$7:$A$305,0))</x:f>
        <x:v>0</x:v>
      </x:c>
      <x:c r="Y565" s="2" t="str">
        <x:f>INDEX('Dated offers'!$O$7:$O$305,MATCH($Z565,'Dated offers'!$A$7:$A$305,0))</x:f>
        <x:v>Unreserved inventory snapshot</x:v>
      </x:c>
      <x:c r="Z565" s="17" t="str">
        <x:v>OF0235</x:v>
      </x:c>
      <x:c r="AA565" s="2"/>
      <x:c r="AB565" s="2" t="str">
        <x:f>INDEX('Dated offers'!$Q$7:$Q$305,MATCH($Z565,'Dated offers'!$A$7:$A$305,0))</x:f>
        <x:v>https://www.digikey.com/en/products/detail/koa-speer-electronics-inc/RN73R1ETTP9650B25/10007834</x:v>
      </x:c>
    </x:row>
    <x:row r="566" ht="24" customHeight="1">
      <x:c r="A566" s="2" t="str">
        <x:v>100 boards / 2% planning</x:v>
      </x:c>
      <x:c r="B566" s="17" t="str">
        <x:v>RT0402BRD07107KL</x:v>
      </x:c>
      <x:c r="C566" s="18" t="n">
        <x:v>100</x:v>
      </x:c>
      <x:c r="D566" s="27" t="n">
        <x:v>0.02</x:v>
      </x:c>
      <x:c r="E566" s="18" t="n">
        <x:f>INDEX('Assembly BOM'!$C$7:$C$162,MATCH($B566,'Assembly BOM'!$A$7:$A$162,0))</x:f>
        <x:v>2</x:v>
      </x:c>
      <x:c r="F566" s="18" t="n">
        <x:f>C566*E566</x:f>
        <x:v>200</x:v>
      </x:c>
      <x:c r="G566" s="18" t="n">
        <x:f>ROUNDUP(F566*(1+D566),0)</x:f>
        <x:v>204</x:v>
      </x:c>
      <x:c r="H566" s="18" t="n">
        <x:f>INDEX('Dated offers'!$F$7:$F$305,MATCH($Z566,'Dated offers'!$A$7:$A$305,0))</x:f>
        <x:v>1</x:v>
      </x:c>
      <x:c r="I566" s="18" t="n">
        <x:f>INDEX('Dated offers'!$G$7:$G$305,MATCH($Z566,'Dated offers'!$A$7:$A$305,0))</x:f>
        <x:v>1</x:v>
      </x:c>
      <x:c r="J566" s="18" t="n">
        <x:f>CEILING(MAX(G566,H566),I566)</x:f>
        <x:v>204</x:v>
      </x:c>
      <x:c r="K566" s="18" t="n">
        <x:v>204</x:v>
      </x:c>
      <x:c r="L566" s="18" t="n">
        <x:f>INDEX('Dated offers'!$I$7:$I$305,MATCH($Z566,'Dated offers'!$A$7:$A$305,0))</x:f>
        <x:v>100</x:v>
      </x:c>
      <x:c r="M566" s="25" t="n">
        <x:f>INDEX('Dated offers'!$J$7:$J$305,MATCH($Z566,'Dated offers'!$A$7:$A$305,0))</x:f>
        <x:v>0.0846</x:v>
      </x:c>
      <x:c r="N566" s="25" t="n">
        <x:f>INDEX('Dated offers'!$K$7:$K$305,MATCH($Z566,'Dated offers'!$A$7:$A$305,0))</x:f>
        <x:v>0</x:v>
      </x:c>
      <x:c r="O566" s="25" t="n">
        <x:f>F566*M566</x:f>
        <x:v>16.919999999999998</x:v>
      </x:c>
      <x:c r="P566" s="25" t="n">
        <x:f>G566*M566</x:f>
        <x:v>17.258399999999998</x:v>
      </x:c>
      <x:c r="Q566" s="25" t="n">
        <x:f>K566*M566+N566</x:f>
        <x:v>17.258399999999998</x:v>
      </x:c>
      <x:c r="R566" s="18" t="n">
        <x:f>K566-G566</x:f>
        <x:v>0</x:v>
      </x:c>
      <x:c r="S566" s="18" t="n">
        <x:f>INDEX('Dated offers'!$H$7:$H$305,MATCH($Z566,'Dated offers'!$A$7:$A$305,0))</x:f>
        <x:v>1437</x:v>
      </x:c>
      <x:c r="T566" s="2" t="str">
        <x:f>IF(K566&lt;G566,"Order below requirement",IF(K566&lt;L566,"Below price tier",IF(ISNUMBER(S566),IF(K566&gt;S566,"Quantity exceeds snapshot","Within quantity snapshot"),"Stock not stated")))</x:f>
        <x:v>Within quantity snapshot</x:v>
      </x:c>
      <x:c r="U566" s="2" t="str">
        <x:f>INDEX('Dated offers'!$C$7:$C$305,MATCH($Z566,'Dated offers'!$A$7:$A$305,0))</x:f>
        <x:v>DigiKey</x:v>
      </x:c>
      <x:c r="V566" s="2" t="str">
        <x:f>INDEX('Dated offers'!$D$7:$D$305,MATCH($Z566,'Dated offers'!$A$7:$A$305,0))</x:f>
        <x:v>Not stated</x:v>
      </x:c>
      <x:c r="W566" s="24" t="n">
        <x:f>INDEX('Dated offers'!$E$7:$E$305,MATCH($Z566,'Dated offers'!$A$7:$A$305,0))</x:f>
        <x:v>46307.47807258102</x:v>
      </x:c>
      <x:c r="X566" s="2" t="b">
        <x:f>INDEX('Dated offers'!$N$7:$N$305,MATCH($Z566,'Dated offers'!$A$7:$A$305,0))</x:f>
        <x:v>0</x:v>
      </x:c>
      <x:c r="Y566" s="2" t="str">
        <x:f>INDEX('Dated offers'!$O$7:$O$305,MATCH($Z566,'Dated offers'!$A$7:$A$305,0))</x:f>
        <x:v>Unreserved inventory snapshot</x:v>
      </x:c>
      <x:c r="Z566" s="17" t="str">
        <x:v>OF0236</x:v>
      </x:c>
      <x:c r="AA566" s="2"/>
      <x:c r="AB566" s="2" t="str">
        <x:f>INDEX('Dated offers'!$Q$7:$Q$305,MATCH($Z566,'Dated offers'!$A$7:$A$305,0))</x:f>
        <x:v>https://www.digikey.com/en/products/detail/yageo/RT0402BRD07107KL/7708214</x:v>
      </x:c>
    </x:row>
    <x:row r="567" ht="24" customHeight="1">
      <x:c r="A567" s="2" t="str">
        <x:v>100 boards / 2% planning</x:v>
      </x:c>
      <x:c r="B567" s="17" t="str">
        <x:v>RT0402BRD0711K3L</x:v>
      </x:c>
      <x:c r="C567" s="18" t="n">
        <x:v>100</x:v>
      </x:c>
      <x:c r="D567" s="27" t="n">
        <x:v>0.02</x:v>
      </x:c>
      <x:c r="E567" s="18" t="n">
        <x:f>INDEX('Assembly BOM'!$C$7:$C$162,MATCH($B567,'Assembly BOM'!$A$7:$A$162,0))</x:f>
        <x:v>1</x:v>
      </x:c>
      <x:c r="F567" s="18" t="n">
        <x:f>C567*E567</x:f>
        <x:v>100</x:v>
      </x:c>
      <x:c r="G567" s="18" t="n">
        <x:f>ROUNDUP(F567*(1+D567),0)</x:f>
        <x:v>102</x:v>
      </x:c>
      <x:c r="H567" s="18" t="n">
        <x:f>INDEX('Dated offers'!$F$7:$F$305,MATCH($Z567,'Dated offers'!$A$7:$A$305,0))</x:f>
        <x:v>1</x:v>
      </x:c>
      <x:c r="I567" s="18" t="n">
        <x:f>INDEX('Dated offers'!$G$7:$G$305,MATCH($Z567,'Dated offers'!$A$7:$A$305,0))</x:f>
        <x:v>1</x:v>
      </x:c>
      <x:c r="J567" s="18" t="n">
        <x:f>CEILING(MAX(G567,H567),I567)</x:f>
        <x:v>102</x:v>
      </x:c>
      <x:c r="K567" s="18" t="n">
        <x:v>102</x:v>
      </x:c>
      <x:c r="L567" s="18" t="n">
        <x:f>INDEX('Dated offers'!$I$7:$I$305,MATCH($Z567,'Dated offers'!$A$7:$A$305,0))</x:f>
        <x:v>100</x:v>
      </x:c>
      <x:c r="M567" s="25" t="n">
        <x:f>INDEX('Dated offers'!$J$7:$J$305,MATCH($Z567,'Dated offers'!$A$7:$A$305,0))</x:f>
        <x:v>0.0736</x:v>
      </x:c>
      <x:c r="N567" s="25" t="n">
        <x:f>INDEX('Dated offers'!$K$7:$K$305,MATCH($Z567,'Dated offers'!$A$7:$A$305,0))</x:f>
        <x:v>0</x:v>
      </x:c>
      <x:c r="O567" s="25" t="n">
        <x:f>F567*M567</x:f>
        <x:v>7.359999999999999</x:v>
      </x:c>
      <x:c r="P567" s="25" t="n">
        <x:f>G567*M567</x:f>
        <x:v>7.5072</x:v>
      </x:c>
      <x:c r="Q567" s="25" t="n">
        <x:f>K567*M567+N567</x:f>
        <x:v>7.5072</x:v>
      </x:c>
      <x:c r="R567" s="18" t="n">
        <x:f>K567-G567</x:f>
        <x:v>0</x:v>
      </x:c>
      <x:c r="S567" s="18" t="n">
        <x:f>INDEX('Dated offers'!$H$7:$H$305,MATCH($Z567,'Dated offers'!$A$7:$A$305,0))</x:f>
        <x:v>37762</x:v>
      </x:c>
      <x:c r="T567" s="2" t="str">
        <x:f>IF(K567&lt;G567,"Order below requirement",IF(K567&lt;L567,"Below price tier",IF(ISNUMBER(S567),IF(K567&gt;S567,"Quantity exceeds snapshot","Within quantity snapshot"),"Stock not stated")))</x:f>
        <x:v>Within quantity snapshot</x:v>
      </x:c>
      <x:c r="U567" s="2" t="str">
        <x:f>INDEX('Dated offers'!$C$7:$C$305,MATCH($Z567,'Dated offers'!$A$7:$A$305,0))</x:f>
        <x:v>DigiKey</x:v>
      </x:c>
      <x:c r="V567" s="2" t="str">
        <x:f>INDEX('Dated offers'!$D$7:$D$305,MATCH($Z567,'Dated offers'!$A$7:$A$305,0))</x:f>
        <x:v>Not stated</x:v>
      </x:c>
      <x:c r="W567" s="24" t="n">
        <x:f>INDEX('Dated offers'!$E$7:$E$305,MATCH($Z567,'Dated offers'!$A$7:$A$305,0))</x:f>
        <x:v>46307.47807258102</x:v>
      </x:c>
      <x:c r="X567" s="2" t="b">
        <x:f>INDEX('Dated offers'!$N$7:$N$305,MATCH($Z567,'Dated offers'!$A$7:$A$305,0))</x:f>
        <x:v>0</x:v>
      </x:c>
      <x:c r="Y567" s="2" t="str">
        <x:f>INDEX('Dated offers'!$O$7:$O$305,MATCH($Z567,'Dated offers'!$A$7:$A$305,0))</x:f>
        <x:v>Unreserved inventory snapshot</x:v>
      </x:c>
      <x:c r="Z567" s="17" t="str">
        <x:v>OF0237</x:v>
      </x:c>
      <x:c r="AA567" s="2"/>
      <x:c r="AB567" s="2" t="str">
        <x:f>INDEX('Dated offers'!$Q$7:$Q$305,MATCH($Z567,'Dated offers'!$A$7:$A$305,0))</x:f>
        <x:v>https://www.digikey.com/en/products/detail/yageo/RT0402BRD0711K3L/6616321</x:v>
      </x:c>
    </x:row>
    <x:row r="568" ht="24" customHeight="1">
      <x:c r="A568" s="2" t="str">
        <x:v>100 boards / 2% planning</x:v>
      </x:c>
      <x:c r="B568" s="17" t="str">
        <x:v>RT0402BRD0717K4L</x:v>
      </x:c>
      <x:c r="C568" s="18" t="n">
        <x:v>100</x:v>
      </x:c>
      <x:c r="D568" s="27" t="n">
        <x:v>0.02</x:v>
      </x:c>
      <x:c r="E568" s="18" t="n">
        <x:f>INDEX('Assembly BOM'!$C$7:$C$162,MATCH($B568,'Assembly BOM'!$A$7:$A$162,0))</x:f>
        <x:v>1</x:v>
      </x:c>
      <x:c r="F568" s="18" t="n">
        <x:f>C568*E568</x:f>
        <x:v>100</x:v>
      </x:c>
      <x:c r="G568" s="18" t="n">
        <x:f>ROUNDUP(F568*(1+D568),0)</x:f>
        <x:v>102</x:v>
      </x:c>
      <x:c r="H568" s="18" t="n">
        <x:f>INDEX('Dated offers'!$F$7:$F$305,MATCH($Z568,'Dated offers'!$A$7:$A$305,0))</x:f>
        <x:v>1</x:v>
      </x:c>
      <x:c r="I568" s="18" t="n">
        <x:f>INDEX('Dated offers'!$G$7:$G$305,MATCH($Z568,'Dated offers'!$A$7:$A$305,0))</x:f>
        <x:v>1</x:v>
      </x:c>
      <x:c r="J568" s="18" t="n">
        <x:f>CEILING(MAX(G568,H568),I568)</x:f>
        <x:v>102</x:v>
      </x:c>
      <x:c r="K568" s="18" t="n">
        <x:v>102</x:v>
      </x:c>
      <x:c r="L568" s="18" t="n">
        <x:f>INDEX('Dated offers'!$I$7:$I$305,MATCH($Z568,'Dated offers'!$A$7:$A$305,0))</x:f>
        <x:v>100</x:v>
      </x:c>
      <x:c r="M568" s="25" t="n">
        <x:f>INDEX('Dated offers'!$J$7:$J$305,MATCH($Z568,'Dated offers'!$A$7:$A$305,0))</x:f>
        <x:v>0.0694</x:v>
      </x:c>
      <x:c r="N568" s="25" t="n">
        <x:f>INDEX('Dated offers'!$K$7:$K$305,MATCH($Z568,'Dated offers'!$A$7:$A$305,0))</x:f>
        <x:v>0</x:v>
      </x:c>
      <x:c r="O568" s="25" t="n">
        <x:f>F568*M568</x:f>
        <x:v>6.94</x:v>
      </x:c>
      <x:c r="P568" s="25" t="n">
        <x:f>G568*M568</x:f>
        <x:v>7.0788</x:v>
      </x:c>
      <x:c r="Q568" s="25" t="n">
        <x:f>K568*M568+N568</x:f>
        <x:v>7.0788</x:v>
      </x:c>
      <x:c r="R568" s="18" t="n">
        <x:f>K568-G568</x:f>
        <x:v>0</x:v>
      </x:c>
      <x:c r="S568" s="18" t="n">
        <x:f>INDEX('Dated offers'!$H$7:$H$305,MATCH($Z568,'Dated offers'!$A$7:$A$305,0))</x:f>
        <x:v>1781</x:v>
      </x:c>
      <x:c r="T568" s="2" t="str">
        <x:f>IF(K568&lt;G568,"Order below requirement",IF(K568&lt;L568,"Below price tier",IF(ISNUMBER(S568),IF(K568&gt;S568,"Quantity exceeds snapshot","Within quantity snapshot"),"Stock not stated")))</x:f>
        <x:v>Within quantity snapshot</x:v>
      </x:c>
      <x:c r="U568" s="2" t="str">
        <x:f>INDEX('Dated offers'!$C$7:$C$305,MATCH($Z568,'Dated offers'!$A$7:$A$305,0))</x:f>
        <x:v>DigiKey</x:v>
      </x:c>
      <x:c r="V568" s="2" t="str">
        <x:f>INDEX('Dated offers'!$D$7:$D$305,MATCH($Z568,'Dated offers'!$A$7:$A$305,0))</x:f>
        <x:v>Not stated</x:v>
      </x:c>
      <x:c r="W568" s="24" t="n">
        <x:f>INDEX('Dated offers'!$E$7:$E$305,MATCH($Z568,'Dated offers'!$A$7:$A$305,0))</x:f>
        <x:v>46307.4780725463</x:v>
      </x:c>
      <x:c r="X568" s="2" t="b">
        <x:f>INDEX('Dated offers'!$N$7:$N$305,MATCH($Z568,'Dated offers'!$A$7:$A$305,0))</x:f>
        <x:v>0</x:v>
      </x:c>
      <x:c r="Y568" s="2" t="str">
        <x:f>INDEX('Dated offers'!$O$7:$O$305,MATCH($Z568,'Dated offers'!$A$7:$A$305,0))</x:f>
        <x:v>Unreserved inventory snapshot</x:v>
      </x:c>
      <x:c r="Z568" s="17" t="str">
        <x:v>OF0238</x:v>
      </x:c>
      <x:c r="AA568" s="2"/>
      <x:c r="AB568" s="2" t="str">
        <x:f>INDEX('Dated offers'!$Q$7:$Q$305,MATCH($Z568,'Dated offers'!$A$7:$A$305,0))</x:f>
        <x:v>https://www.digikey.com/en/products/detail/yageo/RT0402BRD0717K4L/1069068</x:v>
      </x:c>
    </x:row>
    <x:row r="569" ht="24" customHeight="1">
      <x:c r="A569" s="2" t="str">
        <x:v>100 boards / 2% planning</x:v>
      </x:c>
      <x:c r="B569" s="17" t="str">
        <x:v>RT0402BRD071KL</x:v>
      </x:c>
      <x:c r="C569" s="18" t="n">
        <x:v>100</x:v>
      </x:c>
      <x:c r="D569" s="27" t="n">
        <x:v>0.02</x:v>
      </x:c>
      <x:c r="E569" s="18" t="n">
        <x:f>INDEX('Assembly BOM'!$C$7:$C$162,MATCH($B569,'Assembly BOM'!$A$7:$A$162,0))</x:f>
        <x:v>1</x:v>
      </x:c>
      <x:c r="F569" s="18" t="n">
        <x:f>C569*E569</x:f>
        <x:v>100</x:v>
      </x:c>
      <x:c r="G569" s="18" t="n">
        <x:f>ROUNDUP(F569*(1+D569),0)</x:f>
        <x:v>102</x:v>
      </x:c>
      <x:c r="H569" s="18" t="n">
        <x:f>INDEX('Dated offers'!$F$7:$F$305,MATCH($Z569,'Dated offers'!$A$7:$A$305,0))</x:f>
        <x:v>1</x:v>
      </x:c>
      <x:c r="I569" s="18" t="n">
        <x:f>INDEX('Dated offers'!$G$7:$G$305,MATCH($Z569,'Dated offers'!$A$7:$A$305,0))</x:f>
        <x:v>1</x:v>
      </x:c>
      <x:c r="J569" s="18" t="n">
        <x:f>CEILING(MAX(G569,H569),I569)</x:f>
        <x:v>102</x:v>
      </x:c>
      <x:c r="K569" s="18" t="n">
        <x:v>102</x:v>
      </x:c>
      <x:c r="L569" s="18" t="n">
        <x:f>INDEX('Dated offers'!$I$7:$I$305,MATCH($Z569,'Dated offers'!$A$7:$A$305,0))</x:f>
        <x:v>100</x:v>
      </x:c>
      <x:c r="M569" s="25" t="n">
        <x:f>INDEX('Dated offers'!$J$7:$J$305,MATCH($Z569,'Dated offers'!$A$7:$A$305,0))</x:f>
        <x:v>0.0736</x:v>
      </x:c>
      <x:c r="N569" s="25" t="n">
        <x:f>INDEX('Dated offers'!$K$7:$K$305,MATCH($Z569,'Dated offers'!$A$7:$A$305,0))</x:f>
        <x:v>0</x:v>
      </x:c>
      <x:c r="O569" s="25" t="n">
        <x:f>F569*M569</x:f>
        <x:v>7.359999999999999</x:v>
      </x:c>
      <x:c r="P569" s="25" t="n">
        <x:f>G569*M569</x:f>
        <x:v>7.5072</x:v>
      </x:c>
      <x:c r="Q569" s="25" t="n">
        <x:f>K569*M569+N569</x:f>
        <x:v>7.5072</x:v>
      </x:c>
      <x:c r="R569" s="18" t="n">
        <x:f>K569-G569</x:f>
        <x:v>0</x:v>
      </x:c>
      <x:c r="S569" s="18" t="n">
        <x:f>INDEX('Dated offers'!$H$7:$H$305,MATCH($Z569,'Dated offers'!$A$7:$A$305,0))</x:f>
        <x:v>374004</x:v>
      </x:c>
      <x:c r="T569" s="2" t="str">
        <x:f>IF(K569&lt;G569,"Order below requirement",IF(K569&lt;L569,"Below price tier",IF(ISNUMBER(S569),IF(K569&gt;S569,"Quantity exceeds snapshot","Within quantity snapshot"),"Stock not stated")))</x:f>
        <x:v>Within quantity snapshot</x:v>
      </x:c>
      <x:c r="U569" s="2" t="str">
        <x:f>INDEX('Dated offers'!$C$7:$C$305,MATCH($Z569,'Dated offers'!$A$7:$A$305,0))</x:f>
        <x:v>DigiKey</x:v>
      </x:c>
      <x:c r="V569" s="2" t="str">
        <x:f>INDEX('Dated offers'!$D$7:$D$305,MATCH($Z569,'Dated offers'!$A$7:$A$305,0))</x:f>
        <x:v>Not stated</x:v>
      </x:c>
      <x:c r="W569" s="24" t="n">
        <x:f>INDEX('Dated offers'!$E$7:$E$305,MATCH($Z569,'Dated offers'!$A$7:$A$305,0))</x:f>
        <x:v>46307.47807258102</x:v>
      </x:c>
      <x:c r="X569" s="2" t="b">
        <x:f>INDEX('Dated offers'!$N$7:$N$305,MATCH($Z569,'Dated offers'!$A$7:$A$305,0))</x:f>
        <x:v>0</x:v>
      </x:c>
      <x:c r="Y569" s="2" t="str">
        <x:f>INDEX('Dated offers'!$O$7:$O$305,MATCH($Z569,'Dated offers'!$A$7:$A$305,0))</x:f>
        <x:v>Unreserved inventory snapshot</x:v>
      </x:c>
      <x:c r="Z569" s="17" t="str">
        <x:v>OF0239</x:v>
      </x:c>
      <x:c r="AA569" s="2"/>
      <x:c r="AB569" s="2" t="str">
        <x:f>INDEX('Dated offers'!$Q$7:$Q$305,MATCH($Z569,'Dated offers'!$A$7:$A$305,0))</x:f>
        <x:v>https://www.digikey.com/en/products/detail/yageo/RT0402BRD071KL/5138834</x:v>
      </x:c>
    </x:row>
    <x:row r="570" ht="24" customHeight="1">
      <x:c r="A570" s="2" t="str">
        <x:v>100 boards / 2% planning</x:v>
      </x:c>
      <x:c r="B570" s="17" t="str">
        <x:v>RT0402BRD07301RL</x:v>
      </x:c>
      <x:c r="C570" s="18" t="n">
        <x:v>100</x:v>
      </x:c>
      <x:c r="D570" s="27" t="n">
        <x:v>0.02</x:v>
      </x:c>
      <x:c r="E570" s="18" t="n">
        <x:f>INDEX('Assembly BOM'!$C$7:$C$162,MATCH($B570,'Assembly BOM'!$A$7:$A$162,0))</x:f>
        <x:v>1</x:v>
      </x:c>
      <x:c r="F570" s="18" t="n">
        <x:f>C570*E570</x:f>
        <x:v>100</x:v>
      </x:c>
      <x:c r="G570" s="18" t="n">
        <x:f>ROUNDUP(F570*(1+D570),0)</x:f>
        <x:v>102</x:v>
      </x:c>
      <x:c r="H570" s="18" t="n">
        <x:f>INDEX('Dated offers'!$F$7:$F$305,MATCH($Z570,'Dated offers'!$A$7:$A$305,0))</x:f>
        <x:v>1</x:v>
      </x:c>
      <x:c r="I570" s="18" t="n">
        <x:f>INDEX('Dated offers'!$G$7:$G$305,MATCH($Z570,'Dated offers'!$A$7:$A$305,0))</x:f>
        <x:v>1</x:v>
      </x:c>
      <x:c r="J570" s="18" t="n">
        <x:f>CEILING(MAX(G570,H570),I570)</x:f>
        <x:v>102</x:v>
      </x:c>
      <x:c r="K570" s="18" t="n">
        <x:v>102</x:v>
      </x:c>
      <x:c r="L570" s="18" t="n">
        <x:f>INDEX('Dated offers'!$I$7:$I$305,MATCH($Z570,'Dated offers'!$A$7:$A$305,0))</x:f>
        <x:v>100</x:v>
      </x:c>
      <x:c r="M570" s="25" t="n">
        <x:f>INDEX('Dated offers'!$J$7:$J$305,MATCH($Z570,'Dated offers'!$A$7:$A$305,0))</x:f>
        <x:v>0.0694</x:v>
      </x:c>
      <x:c r="N570" s="25" t="n">
        <x:f>INDEX('Dated offers'!$K$7:$K$305,MATCH($Z570,'Dated offers'!$A$7:$A$305,0))</x:f>
        <x:v>0</x:v>
      </x:c>
      <x:c r="O570" s="25" t="n">
        <x:f>F570*M570</x:f>
        <x:v>6.94</x:v>
      </x:c>
      <x:c r="P570" s="25" t="n">
        <x:f>G570*M570</x:f>
        <x:v>7.0788</x:v>
      </x:c>
      <x:c r="Q570" s="25" t="n">
        <x:f>K570*M570+N570</x:f>
        <x:v>7.0788</x:v>
      </x:c>
      <x:c r="R570" s="18" t="n">
        <x:f>K570-G570</x:f>
        <x:v>0</x:v>
      </x:c>
      <x:c r="S570" s="18" t="n">
        <x:f>INDEX('Dated offers'!$H$7:$H$305,MATCH($Z570,'Dated offers'!$A$7:$A$305,0))</x:f>
        <x:v>1053</x:v>
      </x:c>
      <x:c r="T570" s="2" t="str">
        <x:f>IF(K570&lt;G570,"Order below requirement",IF(K570&lt;L570,"Below price tier",IF(ISNUMBER(S570),IF(K570&gt;S570,"Quantity exceeds snapshot","Within quantity snapshot"),"Stock not stated")))</x:f>
        <x:v>Within quantity snapshot</x:v>
      </x:c>
      <x:c r="U570" s="2" t="str">
        <x:f>INDEX('Dated offers'!$C$7:$C$305,MATCH($Z570,'Dated offers'!$A$7:$A$305,0))</x:f>
        <x:v>DigiKey</x:v>
      </x:c>
      <x:c r="V570" s="2" t="str">
        <x:f>INDEX('Dated offers'!$D$7:$D$305,MATCH($Z570,'Dated offers'!$A$7:$A$305,0))</x:f>
        <x:v>Not stated</x:v>
      </x:c>
      <x:c r="W570" s="24" t="n">
        <x:f>INDEX('Dated offers'!$E$7:$E$305,MATCH($Z570,'Dated offers'!$A$7:$A$305,0))</x:f>
        <x:v>46307.47807269676</x:v>
      </x:c>
      <x:c r="X570" s="2" t="b">
        <x:f>INDEX('Dated offers'!$N$7:$N$305,MATCH($Z570,'Dated offers'!$A$7:$A$305,0))</x:f>
        <x:v>0</x:v>
      </x:c>
      <x:c r="Y570" s="2" t="str">
        <x:f>INDEX('Dated offers'!$O$7:$O$305,MATCH($Z570,'Dated offers'!$A$7:$A$305,0))</x:f>
        <x:v>Unreserved inventory snapshot</x:v>
      </x:c>
      <x:c r="Z570" s="17" t="str">
        <x:v>OF0240</x:v>
      </x:c>
      <x:c r="AA570" s="2"/>
      <x:c r="AB570" s="2" t="str">
        <x:f>INDEX('Dated offers'!$Q$7:$Q$305,MATCH($Z570,'Dated offers'!$A$7:$A$305,0))</x:f>
        <x:v>https://www.digikey.com/en/products/detail/yageo/RT0402BRD07301RL/1069200</x:v>
      </x:c>
    </x:row>
    <x:row r="571" ht="24" customHeight="1">
      <x:c r="A571" s="2" t="str">
        <x:v>100 boards / 2% planning</x:v>
      </x:c>
      <x:c r="B571" s="17" t="str">
        <x:v>RT0402BRD0757K6L</x:v>
      </x:c>
      <x:c r="C571" s="18" t="n">
        <x:v>100</x:v>
      </x:c>
      <x:c r="D571" s="27" t="n">
        <x:v>0.02</x:v>
      </x:c>
      <x:c r="E571" s="18" t="n">
        <x:f>INDEX('Assembly BOM'!$C$7:$C$162,MATCH($B571,'Assembly BOM'!$A$7:$A$162,0))</x:f>
        <x:v>1</x:v>
      </x:c>
      <x:c r="F571" s="18" t="n">
        <x:f>C571*E571</x:f>
        <x:v>100</x:v>
      </x:c>
      <x:c r="G571" s="18" t="n">
        <x:f>ROUNDUP(F571*(1+D571),0)</x:f>
        <x:v>102</x:v>
      </x:c>
      <x:c r="H571" s="18" t="n">
        <x:f>INDEX('Dated offers'!$F$7:$F$305,MATCH($Z571,'Dated offers'!$A$7:$A$305,0))</x:f>
        <x:v>1</x:v>
      </x:c>
      <x:c r="I571" s="18" t="n">
        <x:f>INDEX('Dated offers'!$G$7:$G$305,MATCH($Z571,'Dated offers'!$A$7:$A$305,0))</x:f>
        <x:v>1</x:v>
      </x:c>
      <x:c r="J571" s="18" t="n">
        <x:f>CEILING(MAX(G571,H571),I571)</x:f>
        <x:v>102</x:v>
      </x:c>
      <x:c r="K571" s="18" t="n">
        <x:v>102</x:v>
      </x:c>
      <x:c r="L571" s="18" t="n">
        <x:f>INDEX('Dated offers'!$I$7:$I$305,MATCH($Z571,'Dated offers'!$A$7:$A$305,0))</x:f>
        <x:v>100</x:v>
      </x:c>
      <x:c r="M571" s="25" t="n">
        <x:f>INDEX('Dated offers'!$J$7:$J$305,MATCH($Z571,'Dated offers'!$A$7:$A$305,0))</x:f>
        <x:v>0.0736</x:v>
      </x:c>
      <x:c r="N571" s="25" t="n">
        <x:f>INDEX('Dated offers'!$K$7:$K$305,MATCH($Z571,'Dated offers'!$A$7:$A$305,0))</x:f>
        <x:v>0</x:v>
      </x:c>
      <x:c r="O571" s="25" t="n">
        <x:f>F571*M571</x:f>
        <x:v>7.359999999999999</x:v>
      </x:c>
      <x:c r="P571" s="25" t="n">
        <x:f>G571*M571</x:f>
        <x:v>7.5072</x:v>
      </x:c>
      <x:c r="Q571" s="25" t="n">
        <x:f>K571*M571+N571</x:f>
        <x:v>7.5072</x:v>
      </x:c>
      <x:c r="R571" s="18" t="n">
        <x:f>K571-G571</x:f>
        <x:v>0</x:v>
      </x:c>
      <x:c r="S571" s="18" t="n">
        <x:f>INDEX('Dated offers'!$H$7:$H$305,MATCH($Z571,'Dated offers'!$A$7:$A$305,0))</x:f>
        <x:v>19539</x:v>
      </x:c>
      <x:c r="T571" s="2" t="str">
        <x:f>IF(K571&lt;G571,"Order below requirement",IF(K571&lt;L571,"Below price tier",IF(ISNUMBER(S571),IF(K571&gt;S571,"Quantity exceeds snapshot","Within quantity snapshot"),"Stock not stated")))</x:f>
        <x:v>Within quantity snapshot</x:v>
      </x:c>
      <x:c r="U571" s="2" t="str">
        <x:f>INDEX('Dated offers'!$C$7:$C$305,MATCH($Z571,'Dated offers'!$A$7:$A$305,0))</x:f>
        <x:v>DigiKey</x:v>
      </x:c>
      <x:c r="V571" s="2" t="str">
        <x:f>INDEX('Dated offers'!$D$7:$D$305,MATCH($Z571,'Dated offers'!$A$7:$A$305,0))</x:f>
        <x:v>Not stated</x:v>
      </x:c>
      <x:c r="W571" s="24" t="n">
        <x:f>INDEX('Dated offers'!$E$7:$E$305,MATCH($Z571,'Dated offers'!$A$7:$A$305,0))</x:f>
        <x:v>46307.4780725463</x:v>
      </x:c>
      <x:c r="X571" s="2" t="b">
        <x:f>INDEX('Dated offers'!$N$7:$N$305,MATCH($Z571,'Dated offers'!$A$7:$A$305,0))</x:f>
        <x:v>0</x:v>
      </x:c>
      <x:c r="Y571" s="2" t="str">
        <x:f>INDEX('Dated offers'!$O$7:$O$305,MATCH($Z571,'Dated offers'!$A$7:$A$305,0))</x:f>
        <x:v>Unreserved inventory snapshot</x:v>
      </x:c>
      <x:c r="Z571" s="17" t="str">
        <x:v>OF0241</x:v>
      </x:c>
      <x:c r="AA571" s="2"/>
      <x:c r="AB571" s="2" t="str">
        <x:f>INDEX('Dated offers'!$Q$7:$Q$305,MATCH($Z571,'Dated offers'!$A$7:$A$305,0))</x:f>
        <x:v>https://www.digikey.com/en/products/detail/yageo/RT0402BRD0757K6L/6616439</x:v>
      </x:c>
    </x:row>
    <x:row r="572" ht="24" customHeight="1">
      <x:c r="A572" s="2" t="str">
        <x:v>100 boards / 2% planning</x:v>
      </x:c>
      <x:c r="B572" s="17" t="str">
        <x:v>RT0402BRD0764K9L</x:v>
      </x:c>
      <x:c r="C572" s="18" t="n">
        <x:v>100</x:v>
      </x:c>
      <x:c r="D572" s="27" t="n">
        <x:v>0.02</x:v>
      </x:c>
      <x:c r="E572" s="18" t="n">
        <x:f>INDEX('Assembly BOM'!$C$7:$C$162,MATCH($B572,'Assembly BOM'!$A$7:$A$162,0))</x:f>
        <x:v>1</x:v>
      </x:c>
      <x:c r="F572" s="18" t="n">
        <x:f>C572*E572</x:f>
        <x:v>100</x:v>
      </x:c>
      <x:c r="G572" s="18" t="n">
        <x:f>ROUNDUP(F572*(1+D572),0)</x:f>
        <x:v>102</x:v>
      </x:c>
      <x:c r="H572" s="18" t="n">
        <x:f>INDEX('Dated offers'!$F$7:$F$305,MATCH($Z572,'Dated offers'!$A$7:$A$305,0))</x:f>
        <x:v>50</x:v>
      </x:c>
      <x:c r="I572" s="18" t="n">
        <x:f>INDEX('Dated offers'!$G$7:$G$305,MATCH($Z572,'Dated offers'!$A$7:$A$305,0))</x:f>
        <x:v>50</x:v>
      </x:c>
      <x:c r="J572" s="18" t="n">
        <x:f>CEILING(MAX(G572,H572),I572)</x:f>
        <x:v>150</x:v>
      </x:c>
      <x:c r="K572" s="18" t="n">
        <x:v>150</x:v>
      </x:c>
      <x:c r="L572" s="18" t="n">
        <x:f>INDEX('Dated offers'!$I$7:$I$305,MATCH($Z572,'Dated offers'!$A$7:$A$305,0))</x:f>
        <x:v>50</x:v>
      </x:c>
      <x:c r="M572" s="25" t="n">
        <x:f>INDEX('Dated offers'!$J$7:$J$305,MATCH($Z572,'Dated offers'!$A$7:$A$305,0))</x:f>
        <x:v>0.0285</x:v>
      </x:c>
      <x:c r="N572" s="25" t="n">
        <x:f>INDEX('Dated offers'!$K$7:$K$305,MATCH($Z572,'Dated offers'!$A$7:$A$305,0))</x:f>
        <x:v>0</x:v>
      </x:c>
      <x:c r="O572" s="25" t="n">
        <x:f>F572*M572</x:f>
        <x:v>2.85</x:v>
      </x:c>
      <x:c r="P572" s="25" t="n">
        <x:f>G572*M572</x:f>
        <x:v>2.907</x:v>
      </x:c>
      <x:c r="Q572" s="25" t="n">
        <x:f>K572*M572+N572</x:f>
        <x:v>4.275</x:v>
      </x:c>
      <x:c r="R572" s="18" t="n">
        <x:f>K572-G572</x:f>
        <x:v>48</x:v>
      </x:c>
      <x:c r="S572" s="18" t="n">
        <x:f>INDEX('Dated offers'!$H$7:$H$305,MATCH($Z572,'Dated offers'!$A$7:$A$305,0))</x:f>
        <x:v>5400</x:v>
      </x:c>
      <x:c r="T572" s="2" t="str">
        <x:f>IF(K572&lt;G572,"Order below requirement",IF(K572&lt;L572,"Below price tier",IF(ISNUMBER(S572),IF(K572&gt;S572,"Quantity exceeds snapshot","Within quantity snapshot"),"Stock not stated")))</x:f>
        <x:v>Within quantity snapshot</x:v>
      </x:c>
      <x:c r="U572" s="2" t="str">
        <x:f>INDEX('Dated offers'!$C$7:$C$305,MATCH($Z572,'Dated offers'!$A$7:$A$305,0))</x:f>
        <x:v>LCSC</x:v>
      </x:c>
      <x:c r="V572" s="2" t="str">
        <x:f>INDEX('Dated offers'!$D$7:$D$305,MATCH($Z572,'Dated offers'!$A$7:$A$305,0))</x:f>
        <x:v>C852880</x:v>
      </x:c>
      <x:c r="W572" s="24" t="n">
        <x:f>INDEX('Dated offers'!$E$7:$E$305,MATCH($Z572,'Dated offers'!$A$7:$A$305,0))</x:f>
        <x:v>46307.44746053241</x:v>
      </x:c>
      <x:c r="X572" s="2" t="b">
        <x:f>INDEX('Dated offers'!$N$7:$N$305,MATCH($Z572,'Dated offers'!$A$7:$A$305,0))</x:f>
        <x:v>0</x:v>
      </x:c>
      <x:c r="Y572" s="2" t="str">
        <x:f>INDEX('Dated offers'!$O$7:$O$305,MATCH($Z572,'Dated offers'!$A$7:$A$305,0))</x:f>
        <x:v>Unreserved inventory snapshot</x:v>
      </x:c>
      <x:c r="Z572" s="17" t="str">
        <x:v>OF0098</x:v>
      </x:c>
      <x:c r="AA572" s="2"/>
      <x:c r="AB572" s="2" t="str">
        <x:f>INDEX('Dated offers'!$Q$7:$Q$305,MATCH($Z572,'Dated offers'!$A$7:$A$305,0))</x:f>
        <x:v>https://www.lcsc.com/product-detail/C852880.html</x:v>
      </x:c>
    </x:row>
    <x:row r="573" ht="24" customHeight="1">
      <x:c r="A573" s="2" t="str">
        <x:v>100 boards / 2% planning</x:v>
      </x:c>
      <x:c r="B573" s="17" t="str">
        <x:v>RT0402BRD0776K8L</x:v>
      </x:c>
      <x:c r="C573" s="18" t="n">
        <x:v>100</x:v>
      </x:c>
      <x:c r="D573" s="27" t="n">
        <x:v>0.02</x:v>
      </x:c>
      <x:c r="E573" s="18" t="n">
        <x:f>INDEX('Assembly BOM'!$C$7:$C$162,MATCH($B573,'Assembly BOM'!$A$7:$A$162,0))</x:f>
        <x:v>3</x:v>
      </x:c>
      <x:c r="F573" s="18" t="n">
        <x:f>C573*E573</x:f>
        <x:v>300</x:v>
      </x:c>
      <x:c r="G573" s="18" t="n">
        <x:f>ROUNDUP(F573*(1+D573),0)</x:f>
        <x:v>306</x:v>
      </x:c>
      <x:c r="H573" s="18" t="n">
        <x:f>INDEX('Dated offers'!$F$7:$F$305,MATCH($Z573,'Dated offers'!$A$7:$A$305,0))</x:f>
        <x:v>50</x:v>
      </x:c>
      <x:c r="I573" s="18" t="n">
        <x:f>INDEX('Dated offers'!$G$7:$G$305,MATCH($Z573,'Dated offers'!$A$7:$A$305,0))</x:f>
        <x:v>50</x:v>
      </x:c>
      <x:c r="J573" s="18" t="n">
        <x:f>CEILING(MAX(G573,H573),I573)</x:f>
        <x:v>350</x:v>
      </x:c>
      <x:c r="K573" s="18" t="n">
        <x:v>350</x:v>
      </x:c>
      <x:c r="L573" s="18" t="n">
        <x:f>INDEX('Dated offers'!$I$7:$I$305,MATCH($Z573,'Dated offers'!$A$7:$A$305,0))</x:f>
        <x:v>50</x:v>
      </x:c>
      <x:c r="M573" s="25" t="n">
        <x:f>INDEX('Dated offers'!$J$7:$J$305,MATCH($Z573,'Dated offers'!$A$7:$A$305,0))</x:f>
        <x:v>0.0284</x:v>
      </x:c>
      <x:c r="N573" s="25" t="n">
        <x:f>INDEX('Dated offers'!$K$7:$K$305,MATCH($Z573,'Dated offers'!$A$7:$A$305,0))</x:f>
        <x:v>0</x:v>
      </x:c>
      <x:c r="O573" s="25" t="n">
        <x:f>F573*M573</x:f>
        <x:v>8.520000000000001</x:v>
      </x:c>
      <x:c r="P573" s="25" t="n">
        <x:f>G573*M573</x:f>
        <x:v>8.6904</x:v>
      </x:c>
      <x:c r="Q573" s="25" t="n">
        <x:f>K573*M573+N573</x:f>
        <x:v>9.940000000000001</x:v>
      </x:c>
      <x:c r="R573" s="18" t="n">
        <x:f>K573-G573</x:f>
        <x:v>44</x:v>
      </x:c>
      <x:c r="S573" s="18" t="n">
        <x:f>INDEX('Dated offers'!$H$7:$H$305,MATCH($Z573,'Dated offers'!$A$7:$A$305,0))</x:f>
        <x:v>12300</x:v>
      </x:c>
      <x:c r="T573" s="2" t="str">
        <x:f>IF(K573&lt;G573,"Order below requirement",IF(K573&lt;L573,"Below price tier",IF(ISNUMBER(S573),IF(K573&gt;S573,"Quantity exceeds snapshot","Within quantity snapshot"),"Stock not stated")))</x:f>
        <x:v>Within quantity snapshot</x:v>
      </x:c>
      <x:c r="U573" s="2" t="str">
        <x:f>INDEX('Dated offers'!$C$7:$C$305,MATCH($Z573,'Dated offers'!$A$7:$A$305,0))</x:f>
        <x:v>LCSC</x:v>
      </x:c>
      <x:c r="V573" s="2" t="str">
        <x:f>INDEX('Dated offers'!$D$7:$D$305,MATCH($Z573,'Dated offers'!$A$7:$A$305,0))</x:f>
        <x:v>C852913</x:v>
      </x:c>
      <x:c r="W573" s="24" t="n">
        <x:f>INDEX('Dated offers'!$E$7:$E$305,MATCH($Z573,'Dated offers'!$A$7:$A$305,0))</x:f>
        <x:v>46307.44746167824</x:v>
      </x:c>
      <x:c r="X573" s="2" t="b">
        <x:f>INDEX('Dated offers'!$N$7:$N$305,MATCH($Z573,'Dated offers'!$A$7:$A$305,0))</x:f>
        <x:v>0</x:v>
      </x:c>
      <x:c r="Y573" s="2" t="str">
        <x:f>INDEX('Dated offers'!$O$7:$O$305,MATCH($Z573,'Dated offers'!$A$7:$A$305,0))</x:f>
        <x:v>Unreserved inventory snapshot</x:v>
      </x:c>
      <x:c r="Z573" s="17" t="str">
        <x:v>OF0099</x:v>
      </x:c>
      <x:c r="AA573" s="2"/>
      <x:c r="AB573" s="2" t="str">
        <x:f>INDEX('Dated offers'!$Q$7:$Q$305,MATCH($Z573,'Dated offers'!$A$7:$A$305,0))</x:f>
        <x:v>https://www.lcsc.com/product-detail/C852913.html</x:v>
      </x:c>
    </x:row>
    <x:row r="574" ht="24" customHeight="1">
      <x:c r="A574" s="2" t="str">
        <x:v>100 boards / 2% planning</x:v>
      </x:c>
      <x:c r="B574" s="17" t="str">
        <x:v>RT0402BRD0780K6L</x:v>
      </x:c>
      <x:c r="C574" s="18" t="n">
        <x:v>100</x:v>
      </x:c>
      <x:c r="D574" s="27" t="n">
        <x:v>0.02</x:v>
      </x:c>
      <x:c r="E574" s="18" t="n">
        <x:f>INDEX('Assembly BOM'!$C$7:$C$162,MATCH($B574,'Assembly BOM'!$A$7:$A$162,0))</x:f>
        <x:v>2</x:v>
      </x:c>
      <x:c r="F574" s="18" t="n">
        <x:f>C574*E574</x:f>
        <x:v>200</x:v>
      </x:c>
      <x:c r="G574" s="18" t="n">
        <x:f>ROUNDUP(F574*(1+D574),0)</x:f>
        <x:v>204</x:v>
      </x:c>
      <x:c r="H574" s="18" t="n">
        <x:f>INDEX('Dated offers'!$F$7:$F$305,MATCH($Z574,'Dated offers'!$A$7:$A$305,0))</x:f>
        <x:v>1</x:v>
      </x:c>
      <x:c r="I574" s="18" t="n">
        <x:f>INDEX('Dated offers'!$G$7:$G$305,MATCH($Z574,'Dated offers'!$A$7:$A$305,0))</x:f>
        <x:v>1</x:v>
      </x:c>
      <x:c r="J574" s="18" t="n">
        <x:f>CEILING(MAX(G574,H574),I574)</x:f>
        <x:v>204</x:v>
      </x:c>
      <x:c r="K574" s="18" t="n">
        <x:v>204</x:v>
      </x:c>
      <x:c r="L574" s="18" t="n">
        <x:f>INDEX('Dated offers'!$I$7:$I$305,MATCH($Z574,'Dated offers'!$A$7:$A$305,0))</x:f>
        <x:v>100</x:v>
      </x:c>
      <x:c r="M574" s="25" t="n">
        <x:f>INDEX('Dated offers'!$J$7:$J$305,MATCH($Z574,'Dated offers'!$A$7:$A$305,0))</x:f>
        <x:v>0.0694</x:v>
      </x:c>
      <x:c r="N574" s="25" t="n">
        <x:f>INDEX('Dated offers'!$K$7:$K$305,MATCH($Z574,'Dated offers'!$A$7:$A$305,0))</x:f>
        <x:v>0</x:v>
      </x:c>
      <x:c r="O574" s="25" t="n">
        <x:f>F574*M574</x:f>
        <x:v>13.88</x:v>
      </x:c>
      <x:c r="P574" s="25" t="n">
        <x:f>G574*M574</x:f>
        <x:v>14.1576</x:v>
      </x:c>
      <x:c r="Q574" s="25" t="n">
        <x:f>K574*M574+N574</x:f>
        <x:v>14.1576</x:v>
      </x:c>
      <x:c r="R574" s="18" t="n">
        <x:f>K574-G574</x:f>
        <x:v>0</x:v>
      </x:c>
      <x:c r="S574" s="18" t="n">
        <x:f>INDEX('Dated offers'!$H$7:$H$305,MATCH($Z574,'Dated offers'!$A$7:$A$305,0))</x:f>
        <x:v>6673</x:v>
      </x:c>
      <x:c r="T574" s="2" t="str">
        <x:f>IF(K574&lt;G574,"Order below requirement",IF(K574&lt;L574,"Below price tier",IF(ISNUMBER(S574),IF(K574&gt;S574,"Quantity exceeds snapshot","Within quantity snapshot"),"Stock not stated")))</x:f>
        <x:v>Within quantity snapshot</x:v>
      </x:c>
      <x:c r="U574" s="2" t="str">
        <x:f>INDEX('Dated offers'!$C$7:$C$305,MATCH($Z574,'Dated offers'!$A$7:$A$305,0))</x:f>
        <x:v>DigiKey</x:v>
      </x:c>
      <x:c r="V574" s="2" t="str">
        <x:f>INDEX('Dated offers'!$D$7:$D$305,MATCH($Z574,'Dated offers'!$A$7:$A$305,0))</x:f>
        <x:v>Not stated</x:v>
      </x:c>
      <x:c r="W574" s="24" t="n">
        <x:f>INDEX('Dated offers'!$E$7:$E$305,MATCH($Z574,'Dated offers'!$A$7:$A$305,0))</x:f>
        <x:v>46307.47807269676</x:v>
      </x:c>
      <x:c r="X574" s="2" t="b">
        <x:f>INDEX('Dated offers'!$N$7:$N$305,MATCH($Z574,'Dated offers'!$A$7:$A$305,0))</x:f>
        <x:v>0</x:v>
      </x:c>
      <x:c r="Y574" s="2" t="str">
        <x:f>INDEX('Dated offers'!$O$7:$O$305,MATCH($Z574,'Dated offers'!$A$7:$A$305,0))</x:f>
        <x:v>Unreserved inventory snapshot</x:v>
      </x:c>
      <x:c r="Z574" s="17" t="str">
        <x:v>OF0242</x:v>
      </x:c>
      <x:c r="AA574" s="2"/>
      <x:c r="AB574" s="2" t="str">
        <x:f>INDEX('Dated offers'!$Q$7:$Q$305,MATCH($Z574,'Dated offers'!$A$7:$A$305,0))</x:f>
        <x:v>https://www.digikey.com/en/products/detail/yageo/RT0402BRD0780K6L/1069400</x:v>
      </x:c>
    </x:row>
    <x:row r="575" ht="24" customHeight="1">
      <x:c r="A575" s="2" t="str">
        <x:v>100 boards / 2% planning</x:v>
      </x:c>
      <x:c r="B575" s="17" t="str">
        <x:v>RT0402BRD0782K5L</x:v>
      </x:c>
      <x:c r="C575" s="18" t="n">
        <x:v>100</x:v>
      </x:c>
      <x:c r="D575" s="27" t="n">
        <x:v>0.02</x:v>
      </x:c>
      <x:c r="E575" s="18" t="n">
        <x:f>INDEX('Assembly BOM'!$C$7:$C$162,MATCH($B575,'Assembly BOM'!$A$7:$A$162,0))</x:f>
        <x:v>2</x:v>
      </x:c>
      <x:c r="F575" s="18" t="n">
        <x:f>C575*E575</x:f>
        <x:v>200</x:v>
      </x:c>
      <x:c r="G575" s="18" t="n">
        <x:f>ROUNDUP(F575*(1+D575),0)</x:f>
        <x:v>204</x:v>
      </x:c>
      <x:c r="H575" s="18" t="n">
        <x:f>INDEX('Dated offers'!$F$7:$F$305,MATCH($Z575,'Dated offers'!$A$7:$A$305,0))</x:f>
        <x:v>1</x:v>
      </x:c>
      <x:c r="I575" s="18" t="n">
        <x:f>INDEX('Dated offers'!$G$7:$G$305,MATCH($Z575,'Dated offers'!$A$7:$A$305,0))</x:f>
        <x:v>1</x:v>
      </x:c>
      <x:c r="J575" s="18" t="n">
        <x:f>CEILING(MAX(G575,H575),I575)</x:f>
        <x:v>204</x:v>
      </x:c>
      <x:c r="K575" s="18" t="n">
        <x:v>204</x:v>
      </x:c>
      <x:c r="L575" s="18" t="n">
        <x:f>INDEX('Dated offers'!$I$7:$I$305,MATCH($Z575,'Dated offers'!$A$7:$A$305,0))</x:f>
        <x:v>100</x:v>
      </x:c>
      <x:c r="M575" s="25" t="n">
        <x:f>INDEX('Dated offers'!$J$7:$J$305,MATCH($Z575,'Dated offers'!$A$7:$A$305,0))</x:f>
        <x:v>0.0694</x:v>
      </x:c>
      <x:c r="N575" s="25" t="n">
        <x:f>INDEX('Dated offers'!$K$7:$K$305,MATCH($Z575,'Dated offers'!$A$7:$A$305,0))</x:f>
        <x:v>0</x:v>
      </x:c>
      <x:c r="O575" s="25" t="n">
        <x:f>F575*M575</x:f>
        <x:v>13.88</x:v>
      </x:c>
      <x:c r="P575" s="25" t="n">
        <x:f>G575*M575</x:f>
        <x:v>14.1576</x:v>
      </x:c>
      <x:c r="Q575" s="25" t="n">
        <x:f>K575*M575+N575</x:f>
        <x:v>14.1576</x:v>
      </x:c>
      <x:c r="R575" s="18" t="n">
        <x:f>K575-G575</x:f>
        <x:v>0</x:v>
      </x:c>
      <x:c r="S575" s="18" t="n">
        <x:f>INDEX('Dated offers'!$H$7:$H$305,MATCH($Z575,'Dated offers'!$A$7:$A$305,0))</x:f>
        <x:v>60091</x:v>
      </x:c>
      <x:c r="T575" s="2" t="str">
        <x:f>IF(K575&lt;G575,"Order below requirement",IF(K575&lt;L575,"Below price tier",IF(ISNUMBER(S575),IF(K575&gt;S575,"Quantity exceeds snapshot","Within quantity snapshot"),"Stock not stated")))</x:f>
        <x:v>Within quantity snapshot</x:v>
      </x:c>
      <x:c r="U575" s="2" t="str">
        <x:f>INDEX('Dated offers'!$C$7:$C$305,MATCH($Z575,'Dated offers'!$A$7:$A$305,0))</x:f>
        <x:v>DigiKey</x:v>
      </x:c>
      <x:c r="V575" s="2" t="str">
        <x:f>INDEX('Dated offers'!$D$7:$D$305,MATCH($Z575,'Dated offers'!$A$7:$A$305,0))</x:f>
        <x:v>Not stated</x:v>
      </x:c>
      <x:c r="W575" s="24" t="n">
        <x:f>INDEX('Dated offers'!$E$7:$E$305,MATCH($Z575,'Dated offers'!$A$7:$A$305,0))</x:f>
        <x:v>46307.47807269676</x:v>
      </x:c>
      <x:c r="X575" s="2" t="b">
        <x:f>INDEX('Dated offers'!$N$7:$N$305,MATCH($Z575,'Dated offers'!$A$7:$A$305,0))</x:f>
        <x:v>0</x:v>
      </x:c>
      <x:c r="Y575" s="2" t="str">
        <x:f>INDEX('Dated offers'!$O$7:$O$305,MATCH($Z575,'Dated offers'!$A$7:$A$305,0))</x:f>
        <x:v>Unreserved inventory snapshot</x:v>
      </x:c>
      <x:c r="Z575" s="17" t="str">
        <x:v>OF0243</x:v>
      </x:c>
      <x:c r="AA575" s="2"/>
      <x:c r="AB575" s="2" t="str">
        <x:f>INDEX('Dated offers'!$Q$7:$Q$305,MATCH($Z575,'Dated offers'!$A$7:$A$305,0))</x:f>
        <x:v>https://www.digikey.com/en/products/detail/yageo/RT0402BRD0782K5L/1069404</x:v>
      </x:c>
    </x:row>
    <x:row r="576" ht="24" customHeight="1">
      <x:c r="A576" s="2" t="str">
        <x:v>100 boards / 2% planning</x:v>
      </x:c>
      <x:c r="B576" s="17" t="str">
        <x:v>RT0603BRD0710KL</x:v>
      </x:c>
      <x:c r="C576" s="18" t="n">
        <x:v>100</x:v>
      </x:c>
      <x:c r="D576" s="27" t="n">
        <x:v>0.02</x:v>
      </x:c>
      <x:c r="E576" s="18" t="n">
        <x:f>INDEX('Assembly BOM'!$C$7:$C$162,MATCH($B576,'Assembly BOM'!$A$7:$A$162,0))</x:f>
        <x:v>3</x:v>
      </x:c>
      <x:c r="F576" s="18" t="n">
        <x:f>C576*E576</x:f>
        <x:v>300</x:v>
      </x:c>
      <x:c r="G576" s="18" t="n">
        <x:f>ROUNDUP(F576*(1+D576),0)</x:f>
        <x:v>306</x:v>
      </x:c>
      <x:c r="H576" s="18" t="n">
        <x:f>INDEX('Dated offers'!$F$7:$F$305,MATCH($Z576,'Dated offers'!$A$7:$A$305,0))</x:f>
        <x:v>1</x:v>
      </x:c>
      <x:c r="I576" s="18" t="n">
        <x:f>INDEX('Dated offers'!$G$7:$G$305,MATCH($Z576,'Dated offers'!$A$7:$A$305,0))</x:f>
        <x:v>1</x:v>
      </x:c>
      <x:c r="J576" s="18" t="n">
        <x:f>CEILING(MAX(G576,H576),I576)</x:f>
        <x:v>306</x:v>
      </x:c>
      <x:c r="K576" s="18" t="n">
        <x:v>306</x:v>
      </x:c>
      <x:c r="L576" s="18" t="n">
        <x:f>INDEX('Dated offers'!$I$7:$I$305,MATCH($Z576,'Dated offers'!$A$7:$A$305,0))</x:f>
        <x:v>100</x:v>
      </x:c>
      <x:c r="M576" s="25" t="n">
        <x:f>INDEX('Dated offers'!$J$7:$J$305,MATCH($Z576,'Dated offers'!$A$7:$A$305,0))</x:f>
        <x:v>0.058</x:v>
      </x:c>
      <x:c r="N576" s="25" t="n">
        <x:f>INDEX('Dated offers'!$K$7:$K$305,MATCH($Z576,'Dated offers'!$A$7:$A$305,0))</x:f>
        <x:v>0</x:v>
      </x:c>
      <x:c r="O576" s="25" t="n">
        <x:f>F576*M576</x:f>
        <x:v>17.400000000000002</x:v>
      </x:c>
      <x:c r="P576" s="25" t="n">
        <x:f>G576*M576</x:f>
        <x:v>17.748</x:v>
      </x:c>
      <x:c r="Q576" s="25" t="n">
        <x:f>K576*M576+N576</x:f>
        <x:v>17.748</x:v>
      </x:c>
      <x:c r="R576" s="18" t="n">
        <x:f>K576-G576</x:f>
        <x:v>0</x:v>
      </x:c>
      <x:c r="S576" s="18" t="n">
        <x:f>INDEX('Dated offers'!$H$7:$H$305,MATCH($Z576,'Dated offers'!$A$7:$A$305,0))</x:f>
        <x:v>269413</x:v>
      </x:c>
      <x:c r="T576" s="2" t="str">
        <x:f>IF(K576&lt;G576,"Order below requirement",IF(K576&lt;L576,"Below price tier",IF(ISNUMBER(S576),IF(K576&gt;S576,"Quantity exceeds snapshot","Within quantity snapshot"),"Stock not stated")))</x:f>
        <x:v>Within quantity snapshot</x:v>
      </x:c>
      <x:c r="U576" s="2" t="str">
        <x:f>INDEX('Dated offers'!$C$7:$C$305,MATCH($Z576,'Dated offers'!$A$7:$A$305,0))</x:f>
        <x:v>DigiKey</x:v>
      </x:c>
      <x:c r="V576" s="2" t="str">
        <x:f>INDEX('Dated offers'!$D$7:$D$305,MATCH($Z576,'Dated offers'!$A$7:$A$305,0))</x:f>
        <x:v>Not stated</x:v>
      </x:c>
      <x:c r="W576" s="24" t="n">
        <x:f>INDEX('Dated offers'!$E$7:$E$305,MATCH($Z576,'Dated offers'!$A$7:$A$305,0))</x:f>
        <x:v>46307.47807269676</x:v>
      </x:c>
      <x:c r="X576" s="2" t="b">
        <x:f>INDEX('Dated offers'!$N$7:$N$305,MATCH($Z576,'Dated offers'!$A$7:$A$305,0))</x:f>
        <x:v>0</x:v>
      </x:c>
      <x:c r="Y576" s="2" t="str">
        <x:f>INDEX('Dated offers'!$O$7:$O$305,MATCH($Z576,'Dated offers'!$A$7:$A$305,0))</x:f>
        <x:v>Unreserved inventory snapshot</x:v>
      </x:c>
      <x:c r="Z576" s="17" t="str">
        <x:v>OF0244</x:v>
      </x:c>
      <x:c r="AA576" s="2"/>
      <x:c r="AB576" s="2" t="str">
        <x:f>INDEX('Dated offers'!$Q$7:$Q$305,MATCH($Z576,'Dated offers'!$A$7:$A$305,0))</x:f>
        <x:v>https://www.digikey.com/en/products/detail/yageo/RT0603BRD0710KL/4340589</x:v>
      </x:c>
    </x:row>
    <x:row r="577" ht="24" customHeight="1">
      <x:c r="A577" s="2" t="str">
        <x:v>100 boards / 2% planning</x:v>
      </x:c>
      <x:c r="B577" s="17" t="str">
        <x:v>RT0603BRD07140KL</x:v>
      </x:c>
      <x:c r="C577" s="18" t="n">
        <x:v>100</x:v>
      </x:c>
      <x:c r="D577" s="27" t="n">
        <x:v>0.02</x:v>
      </x:c>
      <x:c r="E577" s="18" t="n">
        <x:f>INDEX('Assembly BOM'!$C$7:$C$162,MATCH($B577,'Assembly BOM'!$A$7:$A$162,0))</x:f>
        <x:v>1</x:v>
      </x:c>
      <x:c r="F577" s="18" t="n">
        <x:f>C577*E577</x:f>
        <x:v>100</x:v>
      </x:c>
      <x:c r="G577" s="18" t="n">
        <x:f>ROUNDUP(F577*(1+D577),0)</x:f>
        <x:v>102</x:v>
      </x:c>
      <x:c r="H577" s="18" t="n">
        <x:f>INDEX('Dated offers'!$F$7:$F$305,MATCH($Z577,'Dated offers'!$A$7:$A$305,0))</x:f>
        <x:v>1</x:v>
      </x:c>
      <x:c r="I577" s="18" t="n">
        <x:f>INDEX('Dated offers'!$G$7:$G$305,MATCH($Z577,'Dated offers'!$A$7:$A$305,0))</x:f>
        <x:v>1</x:v>
      </x:c>
      <x:c r="J577" s="18" t="n">
        <x:f>CEILING(MAX(G577,H577),I577)</x:f>
        <x:v>102</x:v>
      </x:c>
      <x:c r="K577" s="18" t="n">
        <x:v>102</x:v>
      </x:c>
      <x:c r="L577" s="18" t="n">
        <x:f>INDEX('Dated offers'!$I$7:$I$305,MATCH($Z577,'Dated offers'!$A$7:$A$305,0))</x:f>
        <x:v>100</x:v>
      </x:c>
      <x:c r="M577" s="25" t="n">
        <x:f>INDEX('Dated offers'!$J$7:$J$305,MATCH($Z577,'Dated offers'!$A$7:$A$305,0))</x:f>
        <x:v>0.058</x:v>
      </x:c>
      <x:c r="N577" s="25" t="n">
        <x:f>INDEX('Dated offers'!$K$7:$K$305,MATCH($Z577,'Dated offers'!$A$7:$A$305,0))</x:f>
        <x:v>0</x:v>
      </x:c>
      <x:c r="O577" s="25" t="n">
        <x:f>F577*M577</x:f>
        <x:v>5.800000000000001</x:v>
      </x:c>
      <x:c r="P577" s="25" t="n">
        <x:f>G577*M577</x:f>
        <x:v>5.916</x:v>
      </x:c>
      <x:c r="Q577" s="25" t="n">
        <x:f>K577*M577+N577</x:f>
        <x:v>5.916</x:v>
      </x:c>
      <x:c r="R577" s="18" t="n">
        <x:f>K577-G577</x:f>
        <x:v>0</x:v>
      </x:c>
      <x:c r="S577" s="18" t="n">
        <x:f>INDEX('Dated offers'!$H$7:$H$305,MATCH($Z577,'Dated offers'!$A$7:$A$305,0))</x:f>
        <x:v>9088</x:v>
      </x:c>
      <x:c r="T577" s="2" t="str">
        <x:f>IF(K577&lt;G577,"Order below requirement",IF(K577&lt;L577,"Below price tier",IF(ISNUMBER(S577),IF(K577&gt;S577,"Quantity exceeds snapshot","Within quantity snapshot"),"Stock not stated")))</x:f>
        <x:v>Within quantity snapshot</x:v>
      </x:c>
      <x:c r="U577" s="2" t="str">
        <x:f>INDEX('Dated offers'!$C$7:$C$305,MATCH($Z577,'Dated offers'!$A$7:$A$305,0))</x:f>
        <x:v>DigiKey</x:v>
      </x:c>
      <x:c r="V577" s="2" t="str">
        <x:f>INDEX('Dated offers'!$D$7:$D$305,MATCH($Z577,'Dated offers'!$A$7:$A$305,0))</x:f>
        <x:v>Not stated</x:v>
      </x:c>
      <x:c r="W577" s="24" t="n">
        <x:f>INDEX('Dated offers'!$E$7:$E$305,MATCH($Z577,'Dated offers'!$A$7:$A$305,0))</x:f>
        <x:v>46307.47807267361</x:v>
      </x:c>
      <x:c r="X577" s="2" t="b">
        <x:f>INDEX('Dated offers'!$N$7:$N$305,MATCH($Z577,'Dated offers'!$A$7:$A$305,0))</x:f>
        <x:v>0</x:v>
      </x:c>
      <x:c r="Y577" s="2" t="str">
        <x:f>INDEX('Dated offers'!$O$7:$O$305,MATCH($Z577,'Dated offers'!$A$7:$A$305,0))</x:f>
        <x:v>Unreserved inventory snapshot</x:v>
      </x:c>
      <x:c r="Z577" s="17" t="str">
        <x:v>OF0245</x:v>
      </x:c>
      <x:c r="AA577" s="2"/>
      <x:c r="AB577" s="2" t="str">
        <x:f>INDEX('Dated offers'!$Q$7:$Q$305,MATCH($Z577,'Dated offers'!$A$7:$A$305,0))</x:f>
        <x:v>https://www.digikey.com/en/products/detail/yageo/RT0603BRD07140KL/1072246</x:v>
      </x:c>
    </x:row>
    <x:row r="578" ht="24" customHeight="1">
      <x:c r="A578" s="2" t="str">
        <x:v>100 boards / 2% planning</x:v>
      </x:c>
      <x:c r="B578" s="17" t="str">
        <x:v>RT0603BRD0727KL</x:v>
      </x:c>
      <x:c r="C578" s="18" t="n">
        <x:v>100</x:v>
      </x:c>
      <x:c r="D578" s="27" t="n">
        <x:v>0.02</x:v>
      </x:c>
      <x:c r="E578" s="18" t="n">
        <x:f>INDEX('Assembly BOM'!$C$7:$C$162,MATCH($B578,'Assembly BOM'!$A$7:$A$162,0))</x:f>
        <x:v>1</x:v>
      </x:c>
      <x:c r="F578" s="18" t="n">
        <x:f>C578*E578</x:f>
        <x:v>100</x:v>
      </x:c>
      <x:c r="G578" s="18" t="n">
        <x:f>ROUNDUP(F578*(1+D578),0)</x:f>
        <x:v>102</x:v>
      </x:c>
      <x:c r="H578" s="18" t="n">
        <x:f>INDEX('Dated offers'!$F$7:$F$305,MATCH($Z578,'Dated offers'!$A$7:$A$305,0))</x:f>
        <x:v>1</x:v>
      </x:c>
      <x:c r="I578" s="18" t="n">
        <x:f>INDEX('Dated offers'!$G$7:$G$305,MATCH($Z578,'Dated offers'!$A$7:$A$305,0))</x:f>
        <x:v>1</x:v>
      </x:c>
      <x:c r="J578" s="18" t="n">
        <x:f>CEILING(MAX(G578,H578),I578)</x:f>
        <x:v>102</x:v>
      </x:c>
      <x:c r="K578" s="18" t="n">
        <x:v>102</x:v>
      </x:c>
      <x:c r="L578" s="18" t="n">
        <x:f>INDEX('Dated offers'!$I$7:$I$305,MATCH($Z578,'Dated offers'!$A$7:$A$305,0))</x:f>
        <x:v>100</x:v>
      </x:c>
      <x:c r="M578" s="25" t="n">
        <x:f>INDEX('Dated offers'!$J$7:$J$305,MATCH($Z578,'Dated offers'!$A$7:$A$305,0))</x:f>
        <x:v>0.058</x:v>
      </x:c>
      <x:c r="N578" s="25" t="n">
        <x:f>INDEX('Dated offers'!$K$7:$K$305,MATCH($Z578,'Dated offers'!$A$7:$A$305,0))</x:f>
        <x:v>0</x:v>
      </x:c>
      <x:c r="O578" s="25" t="n">
        <x:f>F578*M578</x:f>
        <x:v>5.800000000000001</x:v>
      </x:c>
      <x:c r="P578" s="25" t="n">
        <x:f>G578*M578</x:f>
        <x:v>5.916</x:v>
      </x:c>
      <x:c r="Q578" s="25" t="n">
        <x:f>K578*M578+N578</x:f>
        <x:v>5.916</x:v>
      </x:c>
      <x:c r="R578" s="18" t="n">
        <x:f>K578-G578</x:f>
        <x:v>0</x:v>
      </x:c>
      <x:c r="S578" s="18" t="n">
        <x:f>INDEX('Dated offers'!$H$7:$H$305,MATCH($Z578,'Dated offers'!$A$7:$A$305,0))</x:f>
        <x:v>17245</x:v>
      </x:c>
      <x:c r="T578" s="2" t="str">
        <x:f>IF(K578&lt;G578,"Order below requirement",IF(K578&lt;L578,"Below price tier",IF(ISNUMBER(S578),IF(K578&gt;S578,"Quantity exceeds snapshot","Within quantity snapshot"),"Stock not stated")))</x:f>
        <x:v>Within quantity snapshot</x:v>
      </x:c>
      <x:c r="U578" s="2" t="str">
        <x:f>INDEX('Dated offers'!$C$7:$C$305,MATCH($Z578,'Dated offers'!$A$7:$A$305,0))</x:f>
        <x:v>DigiKey</x:v>
      </x:c>
      <x:c r="V578" s="2" t="str">
        <x:f>INDEX('Dated offers'!$D$7:$D$305,MATCH($Z578,'Dated offers'!$A$7:$A$305,0))</x:f>
        <x:v>Not stated</x:v>
      </x:c>
      <x:c r="W578" s="24" t="n">
        <x:f>INDEX('Dated offers'!$E$7:$E$305,MATCH($Z578,'Dated offers'!$A$7:$A$305,0))</x:f>
        <x:v>46307.4780725463</x:v>
      </x:c>
      <x:c r="X578" s="2" t="b">
        <x:f>INDEX('Dated offers'!$N$7:$N$305,MATCH($Z578,'Dated offers'!$A$7:$A$305,0))</x:f>
        <x:v>0</x:v>
      </x:c>
      <x:c r="Y578" s="2" t="str">
        <x:f>INDEX('Dated offers'!$O$7:$O$305,MATCH($Z578,'Dated offers'!$A$7:$A$305,0))</x:f>
        <x:v>Unreserved inventory snapshot</x:v>
      </x:c>
      <x:c r="Z578" s="17" t="str">
        <x:v>OF0246</x:v>
      </x:c>
      <x:c r="AA578" s="2"/>
      <x:c r="AB578" s="2" t="str">
        <x:f>INDEX('Dated offers'!$Q$7:$Q$305,MATCH($Z578,'Dated offers'!$A$7:$A$305,0))</x:f>
        <x:v>https://www.digikey.com/en/products/detail/yageo/RT0603BRD0727KL/1072410</x:v>
      </x:c>
    </x:row>
    <x:row r="579" ht="24" customHeight="1">
      <x:c r="A579" s="2" t="str">
        <x:v>100 boards / 2% planning</x:v>
      </x:c>
      <x:c r="B579" s="17" t="str">
        <x:v>RT0603BRD072K26L</x:v>
      </x:c>
      <x:c r="C579" s="18" t="n">
        <x:v>100</x:v>
      </x:c>
      <x:c r="D579" s="27" t="n">
        <x:v>0.02</x:v>
      </x:c>
      <x:c r="E579" s="18" t="n">
        <x:f>INDEX('Assembly BOM'!$C$7:$C$162,MATCH($B579,'Assembly BOM'!$A$7:$A$162,0))</x:f>
        <x:v>1</x:v>
      </x:c>
      <x:c r="F579" s="18" t="n">
        <x:f>C579*E579</x:f>
        <x:v>100</x:v>
      </x:c>
      <x:c r="G579" s="18" t="n">
        <x:f>ROUNDUP(F579*(1+D579),0)</x:f>
        <x:v>102</x:v>
      </x:c>
      <x:c r="H579" s="18" t="n">
        <x:f>INDEX('Dated offers'!$F$7:$F$305,MATCH($Z579,'Dated offers'!$A$7:$A$305,0))</x:f>
        <x:v>1</x:v>
      </x:c>
      <x:c r="I579" s="18" t="n">
        <x:f>INDEX('Dated offers'!$G$7:$G$305,MATCH($Z579,'Dated offers'!$A$7:$A$305,0))</x:f>
        <x:v>1</x:v>
      </x:c>
      <x:c r="J579" s="18" t="n">
        <x:f>CEILING(MAX(G579,H579),I579)</x:f>
        <x:v>102</x:v>
      </x:c>
      <x:c r="K579" s="18" t="n">
        <x:v>102</x:v>
      </x:c>
      <x:c r="L579" s="18" t="n">
        <x:f>INDEX('Dated offers'!$I$7:$I$305,MATCH($Z579,'Dated offers'!$A$7:$A$305,0))</x:f>
        <x:v>100</x:v>
      </x:c>
      <x:c r="M579" s="25" t="n">
        <x:f>INDEX('Dated offers'!$J$7:$J$305,MATCH($Z579,'Dated offers'!$A$7:$A$305,0))</x:f>
        <x:v>0.0615</x:v>
      </x:c>
      <x:c r="N579" s="25" t="n">
        <x:f>INDEX('Dated offers'!$K$7:$K$305,MATCH($Z579,'Dated offers'!$A$7:$A$305,0))</x:f>
        <x:v>0</x:v>
      </x:c>
      <x:c r="O579" s="25" t="n">
        <x:f>F579*M579</x:f>
        <x:v>6.15</x:v>
      </x:c>
      <x:c r="P579" s="25" t="n">
        <x:f>G579*M579</x:f>
        <x:v>6.273</x:v>
      </x:c>
      <x:c r="Q579" s="25" t="n">
        <x:f>K579*M579+N579</x:f>
        <x:v>6.273</x:v>
      </x:c>
      <x:c r="R579" s="18" t="n">
        <x:f>K579-G579</x:f>
        <x:v>0</x:v>
      </x:c>
      <x:c r="S579" s="18" t="n">
        <x:f>INDEX('Dated offers'!$H$7:$H$305,MATCH($Z579,'Dated offers'!$A$7:$A$305,0))</x:f>
        <x:v>12101</x:v>
      </x:c>
      <x:c r="T579" s="2" t="str">
        <x:f>IF(K579&lt;G579,"Order below requirement",IF(K579&lt;L579,"Below price tier",IF(ISNUMBER(S579),IF(K579&gt;S579,"Quantity exceeds snapshot","Within quantity snapshot"),"Stock not stated")))</x:f>
        <x:v>Within quantity snapshot</x:v>
      </x:c>
      <x:c r="U579" s="2" t="str">
        <x:f>INDEX('Dated offers'!$C$7:$C$305,MATCH($Z579,'Dated offers'!$A$7:$A$305,0))</x:f>
        <x:v>DigiKey</x:v>
      </x:c>
      <x:c r="V579" s="2" t="str">
        <x:f>INDEX('Dated offers'!$D$7:$D$305,MATCH($Z579,'Dated offers'!$A$7:$A$305,0))</x:f>
        <x:v>Not stated</x:v>
      </x:c>
      <x:c r="W579" s="24" t="n">
        <x:f>INDEX('Dated offers'!$E$7:$E$305,MATCH($Z579,'Dated offers'!$A$7:$A$305,0))</x:f>
        <x:v>46307.47807267361</x:v>
      </x:c>
      <x:c r="X579" s="2" t="b">
        <x:f>INDEX('Dated offers'!$N$7:$N$305,MATCH($Z579,'Dated offers'!$A$7:$A$305,0))</x:f>
        <x:v>0</x:v>
      </x:c>
      <x:c r="Y579" s="2" t="str">
        <x:f>INDEX('Dated offers'!$O$7:$O$305,MATCH($Z579,'Dated offers'!$A$7:$A$305,0))</x:f>
        <x:v>Unreserved inventory snapshot</x:v>
      </x:c>
      <x:c r="Z579" s="17" t="str">
        <x:v>OF0247</x:v>
      </x:c>
      <x:c r="AA579" s="2"/>
      <x:c r="AB579" s="2" t="str">
        <x:f>INDEX('Dated offers'!$Q$7:$Q$305,MATCH($Z579,'Dated offers'!$A$7:$A$305,0))</x:f>
        <x:v>https://www.digikey.com/en/products/detail/yageo/RT0603BRD072K26L/5139063</x:v>
      </x:c>
    </x:row>
    <x:row r="580" ht="24" customHeight="1">
      <x:c r="A580" s="2" t="str">
        <x:v>100 boards / 2% planning</x:v>
      </x:c>
      <x:c r="B580" s="17" t="str">
        <x:v>RT0603BRD0732K4L</x:v>
      </x:c>
      <x:c r="C580" s="18" t="n">
        <x:v>100</x:v>
      </x:c>
      <x:c r="D580" s="27" t="n">
        <x:v>0.02</x:v>
      </x:c>
      <x:c r="E580" s="18" t="n">
        <x:f>INDEX('Assembly BOM'!$C$7:$C$162,MATCH($B580,'Assembly BOM'!$A$7:$A$162,0))</x:f>
        <x:v>2</x:v>
      </x:c>
      <x:c r="F580" s="18" t="n">
        <x:f>C580*E580</x:f>
        <x:v>200</x:v>
      </x:c>
      <x:c r="G580" s="18" t="n">
        <x:f>ROUNDUP(F580*(1+D580),0)</x:f>
        <x:v>204</x:v>
      </x:c>
      <x:c r="H580" s="18" t="n">
        <x:f>INDEX('Dated offers'!$F$7:$F$305,MATCH($Z580,'Dated offers'!$A$7:$A$305,0))</x:f>
        <x:v>20</x:v>
      </x:c>
      <x:c r="I580" s="18" t="n">
        <x:f>INDEX('Dated offers'!$G$7:$G$305,MATCH($Z580,'Dated offers'!$A$7:$A$305,0))</x:f>
        <x:v>20</x:v>
      </x:c>
      <x:c r="J580" s="18" t="n">
        <x:f>CEILING(MAX(G580,H580),I580)</x:f>
        <x:v>220</x:v>
      </x:c>
      <x:c r="K580" s="18" t="n">
        <x:v>220</x:v>
      </x:c>
      <x:c r="L580" s="18" t="n">
        <x:f>INDEX('Dated offers'!$I$7:$I$305,MATCH($Z580,'Dated offers'!$A$7:$A$305,0))</x:f>
        <x:v>200</x:v>
      </x:c>
      <x:c r="M580" s="25" t="n">
        <x:f>INDEX('Dated offers'!$J$7:$J$305,MATCH($Z580,'Dated offers'!$A$7:$A$305,0))</x:f>
        <x:v>0.0358</x:v>
      </x:c>
      <x:c r="N580" s="25" t="n">
        <x:f>INDEX('Dated offers'!$K$7:$K$305,MATCH($Z580,'Dated offers'!$A$7:$A$305,0))</x:f>
        <x:v>0</x:v>
      </x:c>
      <x:c r="O580" s="25" t="n">
        <x:f>F580*M580</x:f>
        <x:v>7.16</x:v>
      </x:c>
      <x:c r="P580" s="25" t="n">
        <x:f>G580*M580</x:f>
        <x:v>7.3031999999999995</x:v>
      </x:c>
      <x:c r="Q580" s="25" t="n">
        <x:f>K580*M580+N580</x:f>
        <x:v>7.8759999999999994</x:v>
      </x:c>
      <x:c r="R580" s="18" t="n">
        <x:f>K580-G580</x:f>
        <x:v>16</x:v>
      </x:c>
      <x:c r="S580" s="18" t="n">
        <x:f>INDEX('Dated offers'!$H$7:$H$305,MATCH($Z580,'Dated offers'!$A$7:$A$305,0))</x:f>
        <x:v>18400</x:v>
      </x:c>
      <x:c r="T580" s="2" t="str">
        <x:f>IF(K580&lt;G580,"Order below requirement",IF(K580&lt;L580,"Below price tier",IF(ISNUMBER(S580),IF(K580&gt;S580,"Quantity exceeds snapshot","Within quantity snapshot"),"Stock not stated")))</x:f>
        <x:v>Within quantity snapshot</x:v>
      </x:c>
      <x:c r="U580" s="2" t="str">
        <x:f>INDEX('Dated offers'!$C$7:$C$305,MATCH($Z580,'Dated offers'!$A$7:$A$305,0))</x:f>
        <x:v>LCSC</x:v>
      </x:c>
      <x:c r="V580" s="2" t="str">
        <x:f>INDEX('Dated offers'!$D$7:$D$305,MATCH($Z580,'Dated offers'!$A$7:$A$305,0))</x:f>
        <x:v>C861323</x:v>
      </x:c>
      <x:c r="W580" s="24" t="n">
        <x:f>INDEX('Dated offers'!$E$7:$E$305,MATCH($Z580,'Dated offers'!$A$7:$A$305,0))</x:f>
        <x:v>46307.44746376157</x:v>
      </x:c>
      <x:c r="X580" s="2" t="b">
        <x:f>INDEX('Dated offers'!$N$7:$N$305,MATCH($Z580,'Dated offers'!$A$7:$A$305,0))</x:f>
        <x:v>0</x:v>
      </x:c>
      <x:c r="Y580" s="2" t="str">
        <x:f>INDEX('Dated offers'!$O$7:$O$305,MATCH($Z580,'Dated offers'!$A$7:$A$305,0))</x:f>
        <x:v>Unreserved inventory snapshot</x:v>
      </x:c>
      <x:c r="Z580" s="17" t="str">
        <x:v>OF0248</x:v>
      </x:c>
      <x:c r="AA580" s="2"/>
      <x:c r="AB580" s="2" t="str">
        <x:f>INDEX('Dated offers'!$Q$7:$Q$305,MATCH($Z580,'Dated offers'!$A$7:$A$305,0))</x:f>
        <x:v>https://www.lcsc.com/product-detail/C861323.html</x:v>
      </x:c>
    </x:row>
    <x:row r="581" ht="24" customHeight="1">
      <x:c r="A581" s="2" t="str">
        <x:v>100 boards / 2% planning</x:v>
      </x:c>
      <x:c r="B581" s="17" t="str">
        <x:v>RT0603BRD074K99L</x:v>
      </x:c>
      <x:c r="C581" s="18" t="n">
        <x:v>100</x:v>
      </x:c>
      <x:c r="D581" s="27" t="n">
        <x:v>0.02</x:v>
      </x:c>
      <x:c r="E581" s="18" t="n">
        <x:f>INDEX('Assembly BOM'!$C$7:$C$162,MATCH($B581,'Assembly BOM'!$A$7:$A$162,0))</x:f>
        <x:v>1</x:v>
      </x:c>
      <x:c r="F581" s="18" t="n">
        <x:f>C581*E581</x:f>
        <x:v>100</x:v>
      </x:c>
      <x:c r="G581" s="18" t="n">
        <x:f>ROUNDUP(F581*(1+D581),0)</x:f>
        <x:v>102</x:v>
      </x:c>
      <x:c r="H581" s="18" t="n">
        <x:f>INDEX('Dated offers'!$F$7:$F$305,MATCH($Z581,'Dated offers'!$A$7:$A$305,0))</x:f>
        <x:v>1</x:v>
      </x:c>
      <x:c r="I581" s="18" t="n">
        <x:f>INDEX('Dated offers'!$G$7:$G$305,MATCH($Z581,'Dated offers'!$A$7:$A$305,0))</x:f>
        <x:v>1</x:v>
      </x:c>
      <x:c r="J581" s="18" t="n">
        <x:f>CEILING(MAX(G581,H581),I581)</x:f>
        <x:v>102</x:v>
      </x:c>
      <x:c r="K581" s="18" t="n">
        <x:v>102</x:v>
      </x:c>
      <x:c r="L581" s="18" t="n">
        <x:f>INDEX('Dated offers'!$I$7:$I$305,MATCH($Z581,'Dated offers'!$A$7:$A$305,0))</x:f>
        <x:v>100</x:v>
      </x:c>
      <x:c r="M581" s="25" t="n">
        <x:f>INDEX('Dated offers'!$J$7:$J$305,MATCH($Z581,'Dated offers'!$A$7:$A$305,0))</x:f>
        <x:v>0.058</x:v>
      </x:c>
      <x:c r="N581" s="25" t="n">
        <x:f>INDEX('Dated offers'!$K$7:$K$305,MATCH($Z581,'Dated offers'!$A$7:$A$305,0))</x:f>
        <x:v>0</x:v>
      </x:c>
      <x:c r="O581" s="25" t="n">
        <x:f>F581*M581</x:f>
        <x:v>5.800000000000001</x:v>
      </x:c>
      <x:c r="P581" s="25" t="n">
        <x:f>G581*M581</x:f>
        <x:v>5.916</x:v>
      </x:c>
      <x:c r="Q581" s="25" t="n">
        <x:f>K581*M581+N581</x:f>
        <x:v>5.916</x:v>
      </x:c>
      <x:c r="R581" s="18" t="n">
        <x:f>K581-G581</x:f>
        <x:v>0</x:v>
      </x:c>
      <x:c r="S581" s="18" t="n">
        <x:f>INDEX('Dated offers'!$H$7:$H$305,MATCH($Z581,'Dated offers'!$A$7:$A$305,0))</x:f>
        <x:v>42019</x:v>
      </x:c>
      <x:c r="T581" s="2" t="str">
        <x:f>IF(K581&lt;G581,"Order below requirement",IF(K581&lt;L581,"Below price tier",IF(ISNUMBER(S581),IF(K581&gt;S581,"Quantity exceeds snapshot","Within quantity snapshot"),"Stock not stated")))</x:f>
        <x:v>Within quantity snapshot</x:v>
      </x:c>
      <x:c r="U581" s="2" t="str">
        <x:f>INDEX('Dated offers'!$C$7:$C$305,MATCH($Z581,'Dated offers'!$A$7:$A$305,0))</x:f>
        <x:v>DigiKey</x:v>
      </x:c>
      <x:c r="V581" s="2" t="str">
        <x:f>INDEX('Dated offers'!$D$7:$D$305,MATCH($Z581,'Dated offers'!$A$7:$A$305,0))</x:f>
        <x:v>Not stated</x:v>
      </x:c>
      <x:c r="W581" s="24" t="n">
        <x:f>INDEX('Dated offers'!$E$7:$E$305,MATCH($Z581,'Dated offers'!$A$7:$A$305,0))</x:f>
        <x:v>46307.47807267361</x:v>
      </x:c>
      <x:c r="X581" s="2" t="b">
        <x:f>INDEX('Dated offers'!$N$7:$N$305,MATCH($Z581,'Dated offers'!$A$7:$A$305,0))</x:f>
        <x:v>0</x:v>
      </x:c>
      <x:c r="Y581" s="2" t="str">
        <x:f>INDEX('Dated offers'!$O$7:$O$305,MATCH($Z581,'Dated offers'!$A$7:$A$305,0))</x:f>
        <x:v>Unreserved inventory snapshot</x:v>
      </x:c>
      <x:c r="Z581" s="17" t="str">
        <x:v>OF0249</x:v>
      </x:c>
      <x:c r="AA581" s="2"/>
      <x:c r="AB581" s="2" t="str">
        <x:f>INDEX('Dated offers'!$Q$7:$Q$305,MATCH($Z581,'Dated offers'!$A$7:$A$305,0))</x:f>
        <x:v>https://www.digikey.com/en/products/detail/yageo/RT0603BRD074K99L/1072563</x:v>
      </x:c>
    </x:row>
    <x:row r="582" ht="24" customHeight="1">
      <x:c r="A582" s="2" t="str">
        <x:v>100 boards / 2% planning</x:v>
      </x:c>
      <x:c r="B582" s="17" t="str">
        <x:v>RT0603BRD0768KL</x:v>
      </x:c>
      <x:c r="C582" s="18" t="n">
        <x:v>100</x:v>
      </x:c>
      <x:c r="D582" s="27" t="n">
        <x:v>0.02</x:v>
      </x:c>
      <x:c r="E582" s="18" t="n">
        <x:f>INDEX('Assembly BOM'!$C$7:$C$162,MATCH($B582,'Assembly BOM'!$A$7:$A$162,0))</x:f>
        <x:v>1</x:v>
      </x:c>
      <x:c r="F582" s="18" t="n">
        <x:f>C582*E582</x:f>
        <x:v>100</x:v>
      </x:c>
      <x:c r="G582" s="18" t="n">
        <x:f>ROUNDUP(F582*(1+D582),0)</x:f>
        <x:v>102</x:v>
      </x:c>
      <x:c r="H582" s="18" t="n">
        <x:f>INDEX('Dated offers'!$F$7:$F$305,MATCH($Z582,'Dated offers'!$A$7:$A$305,0))</x:f>
        <x:v>1</x:v>
      </x:c>
      <x:c r="I582" s="18" t="n">
        <x:f>INDEX('Dated offers'!$G$7:$G$305,MATCH($Z582,'Dated offers'!$A$7:$A$305,0))</x:f>
        <x:v>1</x:v>
      </x:c>
      <x:c r="J582" s="18" t="n">
        <x:f>CEILING(MAX(G582,H582),I582)</x:f>
        <x:v>102</x:v>
      </x:c>
      <x:c r="K582" s="18" t="n">
        <x:v>102</x:v>
      </x:c>
      <x:c r="L582" s="18" t="n">
        <x:f>INDEX('Dated offers'!$I$7:$I$305,MATCH($Z582,'Dated offers'!$A$7:$A$305,0))</x:f>
        <x:v>100</x:v>
      </x:c>
      <x:c r="M582" s="25" t="n">
        <x:f>INDEX('Dated offers'!$J$7:$J$305,MATCH($Z582,'Dated offers'!$A$7:$A$305,0))</x:f>
        <x:v>0.0615</x:v>
      </x:c>
      <x:c r="N582" s="25" t="n">
        <x:f>INDEX('Dated offers'!$K$7:$K$305,MATCH($Z582,'Dated offers'!$A$7:$A$305,0))</x:f>
        <x:v>0</x:v>
      </x:c>
      <x:c r="O582" s="25" t="n">
        <x:f>F582*M582</x:f>
        <x:v>6.15</x:v>
      </x:c>
      <x:c r="P582" s="25" t="n">
        <x:f>G582*M582</x:f>
        <x:v>6.273</x:v>
      </x:c>
      <x:c r="Q582" s="25" t="n">
        <x:f>K582*M582+N582</x:f>
        <x:v>6.273</x:v>
      </x:c>
      <x:c r="R582" s="18" t="n">
        <x:f>K582-G582</x:f>
        <x:v>0</x:v>
      </x:c>
      <x:c r="S582" s="18" t="n">
        <x:f>INDEX('Dated offers'!$H$7:$H$305,MATCH($Z582,'Dated offers'!$A$7:$A$305,0))</x:f>
        <x:v>21008</x:v>
      </x:c>
      <x:c r="T582" s="2" t="str">
        <x:f>IF(K582&lt;G582,"Order below requirement",IF(K582&lt;L582,"Below price tier",IF(ISNUMBER(S582),IF(K582&gt;S582,"Quantity exceeds snapshot","Within quantity snapshot"),"Stock not stated")))</x:f>
        <x:v>Within quantity snapshot</x:v>
      </x:c>
      <x:c r="U582" s="2" t="str">
        <x:f>INDEX('Dated offers'!$C$7:$C$305,MATCH($Z582,'Dated offers'!$A$7:$A$305,0))</x:f>
        <x:v>DigiKey</x:v>
      </x:c>
      <x:c r="V582" s="2" t="str">
        <x:f>INDEX('Dated offers'!$D$7:$D$305,MATCH($Z582,'Dated offers'!$A$7:$A$305,0))</x:f>
        <x:v>Not stated</x:v>
      </x:c>
      <x:c r="W582" s="24" t="n">
        <x:f>INDEX('Dated offers'!$E$7:$E$305,MATCH($Z582,'Dated offers'!$A$7:$A$305,0))</x:f>
        <x:v>46307.4780725463</x:v>
      </x:c>
      <x:c r="X582" s="2" t="b">
        <x:f>INDEX('Dated offers'!$N$7:$N$305,MATCH($Z582,'Dated offers'!$A$7:$A$305,0))</x:f>
        <x:v>0</x:v>
      </x:c>
      <x:c r="Y582" s="2" t="str">
        <x:f>INDEX('Dated offers'!$O$7:$O$305,MATCH($Z582,'Dated offers'!$A$7:$A$305,0))</x:f>
        <x:v>Unreserved inventory snapshot</x:v>
      </x:c>
      <x:c r="Z582" s="17" t="str">
        <x:v>OF0250</x:v>
      </x:c>
      <x:c r="AA582" s="2"/>
      <x:c r="AB582" s="2" t="str">
        <x:f>INDEX('Dated offers'!$Q$7:$Q$305,MATCH($Z582,'Dated offers'!$A$7:$A$305,0))</x:f>
        <x:v>https://www.digikey.com/en/products/detail/yageo/RT0603BRD0768KL/6616742</x:v>
      </x:c>
    </x:row>
    <x:row r="583" ht="24" customHeight="1">
      <x:c r="A583" s="2" t="str">
        <x:v>100 boards / 2% planning</x:v>
      </x:c>
      <x:c r="B583" s="17" t="str">
        <x:v>RT0603BRD0793K1L</x:v>
      </x:c>
      <x:c r="C583" s="18" t="n">
        <x:v>100</x:v>
      </x:c>
      <x:c r="D583" s="27" t="n">
        <x:v>0.02</x:v>
      </x:c>
      <x:c r="E583" s="18" t="n">
        <x:f>INDEX('Assembly BOM'!$C$7:$C$162,MATCH($B583,'Assembly BOM'!$A$7:$A$162,0))</x:f>
        <x:v>1</x:v>
      </x:c>
      <x:c r="F583" s="18" t="n">
        <x:f>C583*E583</x:f>
        <x:v>100</x:v>
      </x:c>
      <x:c r="G583" s="18" t="n">
        <x:f>ROUNDUP(F583*(1+D583),0)</x:f>
        <x:v>102</x:v>
      </x:c>
      <x:c r="H583" s="18" t="n">
        <x:f>INDEX('Dated offers'!$F$7:$F$305,MATCH($Z583,'Dated offers'!$A$7:$A$305,0))</x:f>
        <x:v>1</x:v>
      </x:c>
      <x:c r="I583" s="18" t="n">
        <x:f>INDEX('Dated offers'!$G$7:$G$305,MATCH($Z583,'Dated offers'!$A$7:$A$305,0))</x:f>
        <x:v>1</x:v>
      </x:c>
      <x:c r="J583" s="18" t="n">
        <x:f>CEILING(MAX(G583,H583),I583)</x:f>
        <x:v>102</x:v>
      </x:c>
      <x:c r="K583" s="18" t="n">
        <x:v>102</x:v>
      </x:c>
      <x:c r="L583" s="18" t="n">
        <x:f>INDEX('Dated offers'!$I$7:$I$305,MATCH($Z583,'Dated offers'!$A$7:$A$305,0))</x:f>
        <x:v>100</x:v>
      </x:c>
      <x:c r="M583" s="25" t="n">
        <x:f>INDEX('Dated offers'!$J$7:$J$305,MATCH($Z583,'Dated offers'!$A$7:$A$305,0))</x:f>
        <x:v>0.0615</x:v>
      </x:c>
      <x:c r="N583" s="25" t="n">
        <x:f>INDEX('Dated offers'!$K$7:$K$305,MATCH($Z583,'Dated offers'!$A$7:$A$305,0))</x:f>
        <x:v>0</x:v>
      </x:c>
      <x:c r="O583" s="25" t="n">
        <x:f>F583*M583</x:f>
        <x:v>6.15</x:v>
      </x:c>
      <x:c r="P583" s="25" t="n">
        <x:f>G583*M583</x:f>
        <x:v>6.273</x:v>
      </x:c>
      <x:c r="Q583" s="25" t="n">
        <x:f>K583*M583+N583</x:f>
        <x:v>6.273</x:v>
      </x:c>
      <x:c r="R583" s="18" t="n">
        <x:f>K583-G583</x:f>
        <x:v>0</x:v>
      </x:c>
      <x:c r="S583" s="18" t="n">
        <x:f>INDEX('Dated offers'!$H$7:$H$305,MATCH($Z583,'Dated offers'!$A$7:$A$305,0))</x:f>
        <x:v>66948</x:v>
      </x:c>
      <x:c r="T583" s="2" t="str">
        <x:f>IF(K583&lt;G583,"Order below requirement",IF(K583&lt;L583,"Below price tier",IF(ISNUMBER(S583),IF(K583&gt;S583,"Quantity exceeds snapshot","Within quantity snapshot"),"Stock not stated")))</x:f>
        <x:v>Within quantity snapshot</x:v>
      </x:c>
      <x:c r="U583" s="2" t="str">
        <x:f>INDEX('Dated offers'!$C$7:$C$305,MATCH($Z583,'Dated offers'!$A$7:$A$305,0))</x:f>
        <x:v>DigiKey</x:v>
      </x:c>
      <x:c r="V583" s="2" t="str">
        <x:f>INDEX('Dated offers'!$D$7:$D$305,MATCH($Z583,'Dated offers'!$A$7:$A$305,0))</x:f>
        <x:v>Not stated</x:v>
      </x:c>
      <x:c r="W583" s="24" t="n">
        <x:f>INDEX('Dated offers'!$E$7:$E$305,MATCH($Z583,'Dated offers'!$A$7:$A$305,0))</x:f>
        <x:v>46307.47807267361</x:v>
      </x:c>
      <x:c r="X583" s="2" t="b">
        <x:f>INDEX('Dated offers'!$N$7:$N$305,MATCH($Z583,'Dated offers'!$A$7:$A$305,0))</x:f>
        <x:v>0</x:v>
      </x:c>
      <x:c r="Y583" s="2" t="str">
        <x:f>INDEX('Dated offers'!$O$7:$O$305,MATCH($Z583,'Dated offers'!$A$7:$A$305,0))</x:f>
        <x:v>Unreserved inventory snapshot</x:v>
      </x:c>
      <x:c r="Z583" s="17" t="str">
        <x:v>OF0251</x:v>
      </x:c>
      <x:c r="AA583" s="2"/>
      <x:c r="AB583" s="2" t="str">
        <x:f>INDEX('Dated offers'!$Q$7:$Q$305,MATCH($Z583,'Dated offers'!$A$7:$A$305,0))</x:f>
        <x:v>https://www.digikey.com/en/products/detail/yageo/RT0603BRD0793K1L/5139200</x:v>
      </x:c>
    </x:row>
    <x:row r="584" ht="24" customHeight="1">
      <x:c r="A584" s="2" t="str">
        <x:v>100 boards / 2% planning</x:v>
      </x:c>
      <x:c r="B584" s="17" t="str">
        <x:v>RT0603BRD07953RL</x:v>
      </x:c>
      <x:c r="C584" s="18" t="n">
        <x:v>100</x:v>
      </x:c>
      <x:c r="D584" s="27" t="n">
        <x:v>0.02</x:v>
      </x:c>
      <x:c r="E584" s="18" t="n">
        <x:f>INDEX('Assembly BOM'!$C$7:$C$162,MATCH($B584,'Assembly BOM'!$A$7:$A$162,0))</x:f>
        <x:v>2</x:v>
      </x:c>
      <x:c r="F584" s="18" t="n">
        <x:f>C584*E584</x:f>
        <x:v>200</x:v>
      </x:c>
      <x:c r="G584" s="18" t="n">
        <x:f>ROUNDUP(F584*(1+D584),0)</x:f>
        <x:v>204</x:v>
      </x:c>
      <x:c r="H584" s="18" t="n">
        <x:f>INDEX('Dated offers'!$F$7:$F$305,MATCH($Z584,'Dated offers'!$A$7:$A$305,0))</x:f>
        <x:v>1</x:v>
      </x:c>
      <x:c r="I584" s="18" t="n">
        <x:f>INDEX('Dated offers'!$G$7:$G$305,MATCH($Z584,'Dated offers'!$A$7:$A$305,0))</x:f>
        <x:v>1</x:v>
      </x:c>
      <x:c r="J584" s="18" t="n">
        <x:f>CEILING(MAX(G584,H584),I584)</x:f>
        <x:v>204</x:v>
      </x:c>
      <x:c r="K584" s="18" t="n">
        <x:v>204</x:v>
      </x:c>
      <x:c r="L584" s="18" t="n">
        <x:f>INDEX('Dated offers'!$I$7:$I$305,MATCH($Z584,'Dated offers'!$A$7:$A$305,0))</x:f>
        <x:v>100</x:v>
      </x:c>
      <x:c r="M584" s="25" t="n">
        <x:f>INDEX('Dated offers'!$J$7:$J$305,MATCH($Z584,'Dated offers'!$A$7:$A$305,0))</x:f>
        <x:v>0.058</x:v>
      </x:c>
      <x:c r="N584" s="25" t="n">
        <x:f>INDEX('Dated offers'!$K$7:$K$305,MATCH($Z584,'Dated offers'!$A$7:$A$305,0))</x:f>
        <x:v>0</x:v>
      </x:c>
      <x:c r="O584" s="25" t="n">
        <x:f>F584*M584</x:f>
        <x:v>11.600000000000001</x:v>
      </x:c>
      <x:c r="P584" s="25" t="n">
        <x:f>G584*M584</x:f>
        <x:v>11.832</x:v>
      </x:c>
      <x:c r="Q584" s="25" t="n">
        <x:f>K584*M584+N584</x:f>
        <x:v>11.832</x:v>
      </x:c>
      <x:c r="R584" s="18" t="n">
        <x:f>K584-G584</x:f>
        <x:v>0</x:v>
      </x:c>
      <x:c r="S584" s="18" t="n">
        <x:f>INDEX('Dated offers'!$H$7:$H$305,MATCH($Z584,'Dated offers'!$A$7:$A$305,0))</x:f>
        <x:v>5255</x:v>
      </x:c>
      <x:c r="T584" s="2" t="str">
        <x:f>IF(K584&lt;G584,"Order below requirement",IF(K584&lt;L584,"Below price tier",IF(ISNUMBER(S584),IF(K584&gt;S584,"Quantity exceeds snapshot","Within quantity snapshot"),"Stock not stated")))</x:f>
        <x:v>Within quantity snapshot</x:v>
      </x:c>
      <x:c r="U584" s="2" t="str">
        <x:f>INDEX('Dated offers'!$C$7:$C$305,MATCH($Z584,'Dated offers'!$A$7:$A$305,0))</x:f>
        <x:v>DigiKey</x:v>
      </x:c>
      <x:c r="V584" s="2" t="str">
        <x:f>INDEX('Dated offers'!$D$7:$D$305,MATCH($Z584,'Dated offers'!$A$7:$A$305,0))</x:f>
        <x:v>Not stated</x:v>
      </x:c>
      <x:c r="W584" s="24" t="n">
        <x:f>INDEX('Dated offers'!$E$7:$E$305,MATCH($Z584,'Dated offers'!$A$7:$A$305,0))</x:f>
        <x:v>46307.47807256944</x:v>
      </x:c>
      <x:c r="X584" s="2" t="b">
        <x:f>INDEX('Dated offers'!$N$7:$N$305,MATCH($Z584,'Dated offers'!$A$7:$A$305,0))</x:f>
        <x:v>0</x:v>
      </x:c>
      <x:c r="Y584" s="2" t="str">
        <x:f>INDEX('Dated offers'!$O$7:$O$305,MATCH($Z584,'Dated offers'!$A$7:$A$305,0))</x:f>
        <x:v>Unreserved inventory snapshot</x:v>
      </x:c>
      <x:c r="Z584" s="17" t="str">
        <x:v>OF0252</x:v>
      </x:c>
      <x:c r="AA584" s="2"/>
      <x:c r="AB584" s="2" t="str">
        <x:f>INDEX('Dated offers'!$Q$7:$Q$305,MATCH($Z584,'Dated offers'!$A$7:$A$305,0))</x:f>
        <x:v>https://www.digikey.com/en/products/detail/yageo/RT0603BRD07953RL/1072685</x:v>
      </x:c>
    </x:row>
    <x:row r="585" ht="24" customHeight="1">
      <x:c r="A585" s="2" t="str">
        <x:v>100 boards / 2% planning</x:v>
      </x:c>
      <x:c r="B585" s="17" t="str">
        <x:v>RTL8125BG-CG</x:v>
      </x:c>
      <x:c r="C585" s="18" t="n">
        <x:v>100</x:v>
      </x:c>
      <x:c r="D585" s="27" t="n">
        <x:v>0.02</x:v>
      </x:c>
      <x:c r="E585" s="18" t="n">
        <x:f>INDEX('Assembly BOM'!$C$7:$C$162,MATCH($B585,'Assembly BOM'!$A$7:$A$162,0))</x:f>
        <x:v>1</x:v>
      </x:c>
      <x:c r="F585" s="18" t="n">
        <x:f>C585*E585</x:f>
        <x:v>100</x:v>
      </x:c>
      <x:c r="G585" s="18" t="n">
        <x:f>ROUNDUP(F585*(1+D585),0)</x:f>
        <x:v>102</x:v>
      </x:c>
      <x:c r="H585" s="18" t="n">
        <x:f>INDEX('Dated offers'!$F$7:$F$305,MATCH($Z585,'Dated offers'!$A$7:$A$305,0))</x:f>
        <x:v>1</x:v>
      </x:c>
      <x:c r="I585" s="18" t="n">
        <x:f>INDEX('Dated offers'!$G$7:$G$305,MATCH($Z585,'Dated offers'!$A$7:$A$305,0))</x:f>
        <x:v>1</x:v>
      </x:c>
      <x:c r="J585" s="18" t="n">
        <x:f>CEILING(MAX(G585,H585),I585)</x:f>
        <x:v>102</x:v>
      </x:c>
      <x:c r="K585" s="18" t="n">
        <x:v>102</x:v>
      </x:c>
      <x:c r="L585" s="18" t="n">
        <x:f>INDEX('Dated offers'!$I$7:$I$305,MATCH($Z585,'Dated offers'!$A$7:$A$305,0))</x:f>
        <x:v>100</x:v>
      </x:c>
      <x:c r="M585" s="25" t="n">
        <x:f>INDEX('Dated offers'!$J$7:$J$305,MATCH($Z585,'Dated offers'!$A$7:$A$305,0))</x:f>
        <x:v>2.8684</x:v>
      </x:c>
      <x:c r="N585" s="25" t="n">
        <x:f>INDEX('Dated offers'!$K$7:$K$305,MATCH($Z585,'Dated offers'!$A$7:$A$305,0))</x:f>
        <x:v>0</x:v>
      </x:c>
      <x:c r="O585" s="25" t="n">
        <x:f>F585*M585</x:f>
        <x:v>286.84</x:v>
      </x:c>
      <x:c r="P585" s="25" t="n">
        <x:f>G585*M585</x:f>
        <x:v>292.5768</x:v>
      </x:c>
      <x:c r="Q585" s="25" t="n">
        <x:f>K585*M585+N585</x:f>
        <x:v>292.5768</x:v>
      </x:c>
      <x:c r="R585" s="18" t="n">
        <x:f>K585-G585</x:f>
        <x:v>0</x:v>
      </x:c>
      <x:c r="S585" s="18" t="n">
        <x:f>INDEX('Dated offers'!$H$7:$H$305,MATCH($Z585,'Dated offers'!$A$7:$A$305,0))</x:f>
        <x:v>310</x:v>
      </x:c>
      <x:c r="T585" s="2" t="str">
        <x:f>IF(K585&lt;G585,"Order below requirement",IF(K585&lt;L585,"Below price tier",IF(ISNUMBER(S585),IF(K585&gt;S585,"Quantity exceeds snapshot","Within quantity snapshot"),"Stock not stated")))</x:f>
        <x:v>Within quantity snapshot</x:v>
      </x:c>
      <x:c r="U585" s="2" t="str">
        <x:f>INDEX('Dated offers'!$C$7:$C$305,MATCH($Z585,'Dated offers'!$A$7:$A$305,0))</x:f>
        <x:v>LCSC</x:v>
      </x:c>
      <x:c r="V585" s="2" t="str">
        <x:f>INDEX('Dated offers'!$D$7:$D$305,MATCH($Z585,'Dated offers'!$A$7:$A$305,0))</x:f>
        <x:v>C3013605</x:v>
      </x:c>
      <x:c r="W585" s="24" t="n">
        <x:f>INDEX('Dated offers'!$E$7:$E$305,MATCH($Z585,'Dated offers'!$A$7:$A$305,0))</x:f>
        <x:v>46307.447465219906</x:v>
      </x:c>
      <x:c r="X585" s="2" t="b">
        <x:f>INDEX('Dated offers'!$N$7:$N$305,MATCH($Z585,'Dated offers'!$A$7:$A$305,0))</x:f>
        <x:v>0</x:v>
      </x:c>
      <x:c r="Y585" s="2" t="str">
        <x:f>INDEX('Dated offers'!$O$7:$O$305,MATCH($Z585,'Dated offers'!$A$7:$A$305,0))</x:f>
        <x:v>Unreserved inventory snapshot</x:v>
      </x:c>
      <x:c r="Z585" s="17" t="str">
        <x:v>OF0253</x:v>
      </x:c>
      <x:c r="AA585" s="2"/>
      <x:c r="AB585" s="2" t="str">
        <x:f>INDEX('Dated offers'!$Q$7:$Q$305,MATCH($Z585,'Dated offers'!$A$7:$A$305,0))</x:f>
        <x:v>https://www.lcsc.com/product-detail/C3013605.html</x:v>
      </x:c>
    </x:row>
    <x:row r="586" ht="24" customHeight="1">
      <x:c r="A586" s="2" t="str">
        <x:v>100 boards / 2% planning</x:v>
      </x:c>
      <x:c r="B586" s="17" t="str">
        <x:v>S1B-13-F</x:v>
      </x:c>
      <x:c r="C586" s="18" t="n">
        <x:v>100</x:v>
      </x:c>
      <x:c r="D586" s="27" t="n">
        <x:v>0.02</x:v>
      </x:c>
      <x:c r="E586" s="18" t="n">
        <x:f>INDEX('Assembly BOM'!$C$7:$C$162,MATCH($B586,'Assembly BOM'!$A$7:$A$162,0))</x:f>
        <x:v>1</x:v>
      </x:c>
      <x:c r="F586" s="18" t="n">
        <x:f>C586*E586</x:f>
        <x:v>100</x:v>
      </x:c>
      <x:c r="G586" s="18" t="n">
        <x:f>ROUNDUP(F586*(1+D586),0)</x:f>
        <x:v>102</x:v>
      </x:c>
      <x:c r="H586" s="18" t="n">
        <x:f>INDEX('Dated offers'!$F$7:$F$305,MATCH($Z586,'Dated offers'!$A$7:$A$305,0))</x:f>
        <x:v>1</x:v>
      </x:c>
      <x:c r="I586" s="18" t="n">
        <x:f>INDEX('Dated offers'!$G$7:$G$305,MATCH($Z586,'Dated offers'!$A$7:$A$305,0))</x:f>
        <x:v>1</x:v>
      </x:c>
      <x:c r="J586" s="18" t="n">
        <x:f>CEILING(MAX(G586,H586),I586)</x:f>
        <x:v>102</x:v>
      </x:c>
      <x:c r="K586" s="18" t="n">
        <x:v>102</x:v>
      </x:c>
      <x:c r="L586" s="18" t="n">
        <x:f>INDEX('Dated offers'!$I$7:$I$305,MATCH($Z586,'Dated offers'!$A$7:$A$305,0))</x:f>
        <x:v>100</x:v>
      </x:c>
      <x:c r="M586" s="25" t="n">
        <x:f>INDEX('Dated offers'!$J$7:$J$305,MATCH($Z586,'Dated offers'!$A$7:$A$305,0))</x:f>
        <x:v>0.1005</x:v>
      </x:c>
      <x:c r="N586" s="25" t="n">
        <x:f>INDEX('Dated offers'!$K$7:$K$305,MATCH($Z586,'Dated offers'!$A$7:$A$305,0))</x:f>
        <x:v>0</x:v>
      </x:c>
      <x:c r="O586" s="25" t="n">
        <x:f>F586*M586</x:f>
        <x:v>10.05</x:v>
      </x:c>
      <x:c r="P586" s="25" t="n">
        <x:f>G586*M586</x:f>
        <x:v>10.251000000000001</x:v>
      </x:c>
      <x:c r="Q586" s="25" t="n">
        <x:f>K586*M586+N586</x:f>
        <x:v>10.251000000000001</x:v>
      </x:c>
      <x:c r="R586" s="18" t="n">
        <x:f>K586-G586</x:f>
        <x:v>0</x:v>
      </x:c>
      <x:c r="S586" s="18" t="n">
        <x:f>INDEX('Dated offers'!$H$7:$H$305,MATCH($Z586,'Dated offers'!$A$7:$A$305,0))</x:f>
        <x:v>716497</x:v>
      </x:c>
      <x:c r="T586" s="2" t="str">
        <x:f>IF(K586&lt;G586,"Order below requirement",IF(K586&lt;L586,"Below price tier",IF(ISNUMBER(S586),IF(K586&gt;S586,"Quantity exceeds snapshot","Within quantity snapshot"),"Stock not stated")))</x:f>
        <x:v>Within quantity snapshot</x:v>
      </x:c>
      <x:c r="U586" s="2" t="str">
        <x:f>INDEX('Dated offers'!$C$7:$C$305,MATCH($Z586,'Dated offers'!$A$7:$A$305,0))</x:f>
        <x:v>DigiKey</x:v>
      </x:c>
      <x:c r="V586" s="2" t="str">
        <x:f>INDEX('Dated offers'!$D$7:$D$305,MATCH($Z586,'Dated offers'!$A$7:$A$305,0))</x:f>
        <x:v>Not stated</x:v>
      </x:c>
      <x:c r="W586" s="24" t="n">
        <x:f>INDEX('Dated offers'!$E$7:$E$305,MATCH($Z586,'Dated offers'!$A$7:$A$305,0))</x:f>
        <x:v>46307.47807256944</x:v>
      </x:c>
      <x:c r="X586" s="2" t="b">
        <x:f>INDEX('Dated offers'!$N$7:$N$305,MATCH($Z586,'Dated offers'!$A$7:$A$305,0))</x:f>
        <x:v>0</x:v>
      </x:c>
      <x:c r="Y586" s="2" t="str">
        <x:f>INDEX('Dated offers'!$O$7:$O$305,MATCH($Z586,'Dated offers'!$A$7:$A$305,0))</x:f>
        <x:v>Unreserved inventory snapshot</x:v>
      </x:c>
      <x:c r="Z586" s="17" t="str">
        <x:v>OF0254</x:v>
      </x:c>
      <x:c r="AA586" s="2"/>
      <x:c r="AB586" s="2" t="str">
        <x:f>INDEX('Dated offers'!$Q$7:$Q$305,MATCH($Z586,'Dated offers'!$A$7:$A$305,0))</x:f>
        <x:v>https://www.digikey.com/en/products/detail/diodes-incorporated/S1B-13-F/725026</x:v>
      </x:c>
    </x:row>
    <x:row r="587" ht="24" customHeight="1">
      <x:c r="A587" s="2" t="str">
        <x:v>100 boards / 2% planning</x:v>
      </x:c>
      <x:c r="B587" s="17" t="str">
        <x:v>SIM8066-6-1-14-01-A</x:v>
      </x:c>
      <x:c r="C587" s="18" t="n">
        <x:v>100</x:v>
      </x:c>
      <x:c r="D587" s="27" t="n">
        <x:v>0.02</x:v>
      </x:c>
      <x:c r="E587" s="18" t="n">
        <x:f>INDEX('Assembly BOM'!$C$7:$C$162,MATCH($B587,'Assembly BOM'!$A$7:$A$162,0))</x:f>
        <x:v>1</x:v>
      </x:c>
      <x:c r="F587" s="18" t="n">
        <x:f>C587*E587</x:f>
        <x:v>100</x:v>
      </x:c>
      <x:c r="G587" s="18" t="n">
        <x:f>ROUNDUP(F587*(1+D587),0)</x:f>
        <x:v>102</x:v>
      </x:c>
      <x:c r="H587" s="18" t="n">
        <x:f>INDEX('Dated offers'!$F$7:$F$305,MATCH($Z587,'Dated offers'!$A$7:$A$305,0))</x:f>
        <x:v>1</x:v>
      </x:c>
      <x:c r="I587" s="18" t="n">
        <x:f>INDEX('Dated offers'!$G$7:$G$305,MATCH($Z587,'Dated offers'!$A$7:$A$305,0))</x:f>
        <x:v>1</x:v>
      </x:c>
      <x:c r="J587" s="18" t="n">
        <x:f>CEILING(MAX(G587,H587),I587)</x:f>
        <x:v>102</x:v>
      </x:c>
      <x:c r="K587" s="18" t="n">
        <x:v>102</x:v>
      </x:c>
      <x:c r="L587" s="18" t="n">
        <x:f>INDEX('Dated offers'!$I$7:$I$305,MATCH($Z587,'Dated offers'!$A$7:$A$305,0))</x:f>
        <x:v>100</x:v>
      </x:c>
      <x:c r="M587" s="25" t="n">
        <x:f>INDEX('Dated offers'!$J$7:$J$305,MATCH($Z587,'Dated offers'!$A$7:$A$305,0))</x:f>
        <x:v>1.0686</x:v>
      </x:c>
      <x:c r="N587" s="25" t="n">
        <x:f>INDEX('Dated offers'!$K$7:$K$305,MATCH($Z587,'Dated offers'!$A$7:$A$305,0))</x:f>
        <x:v>0</x:v>
      </x:c>
      <x:c r="O587" s="25" t="n">
        <x:f>F587*M587</x:f>
        <x:v>106.86</x:v>
      </x:c>
      <x:c r="P587" s="25" t="n">
        <x:f>G587*M587</x:f>
        <x:v>108.99719999999999</x:v>
      </x:c>
      <x:c r="Q587" s="25" t="n">
        <x:f>K587*M587+N587</x:f>
        <x:v>108.99719999999999</x:v>
      </x:c>
      <x:c r="R587" s="18" t="n">
        <x:f>K587-G587</x:f>
        <x:v>0</x:v>
      </x:c>
      <x:c r="S587" s="18" t="n">
        <x:f>INDEX('Dated offers'!$H$7:$H$305,MATCH($Z587,'Dated offers'!$A$7:$A$305,0))</x:f>
        <x:v>1893</x:v>
      </x:c>
      <x:c r="T587" s="2" t="str">
        <x:f>IF(K587&lt;G587,"Order below requirement",IF(K587&lt;L587,"Below price tier",IF(ISNUMBER(S587),IF(K587&gt;S587,"Quantity exceeds snapshot","Within quantity snapshot"),"Stock not stated")))</x:f>
        <x:v>Within quantity snapshot</x:v>
      </x:c>
      <x:c r="U587" s="2" t="str">
        <x:f>INDEX('Dated offers'!$C$7:$C$305,MATCH($Z587,'Dated offers'!$A$7:$A$305,0))</x:f>
        <x:v>LCSC</x:v>
      </x:c>
      <x:c r="V587" s="2" t="str">
        <x:f>INDEX('Dated offers'!$D$7:$D$305,MATCH($Z587,'Dated offers'!$A$7:$A$305,0))</x:f>
        <x:v>C3032925</x:v>
      </x:c>
      <x:c r="W587" s="24" t="n">
        <x:f>INDEX('Dated offers'!$E$7:$E$305,MATCH($Z587,'Dated offers'!$A$7:$A$305,0))</x:f>
        <x:v>46307.447466805555</x:v>
      </x:c>
      <x:c r="X587" s="2" t="b">
        <x:f>INDEX('Dated offers'!$N$7:$N$305,MATCH($Z587,'Dated offers'!$A$7:$A$305,0))</x:f>
        <x:v>0</x:v>
      </x:c>
      <x:c r="Y587" s="2" t="str">
        <x:f>INDEX('Dated offers'!$O$7:$O$305,MATCH($Z587,'Dated offers'!$A$7:$A$305,0))</x:f>
        <x:v>Unreserved inventory snapshot</x:v>
      </x:c>
      <x:c r="Z587" s="17" t="str">
        <x:v>OF0255</x:v>
      </x:c>
      <x:c r="AA587" s="2"/>
      <x:c r="AB587" s="2" t="str">
        <x:f>INDEX('Dated offers'!$Q$7:$Q$305,MATCH($Z587,'Dated offers'!$A$7:$A$305,0))</x:f>
        <x:v>https://www.lcsc.com/product-detail/C3032925.html</x:v>
      </x:c>
    </x:row>
    <x:row r="588" ht="24" customHeight="1">
      <x:c r="A588" s="2" t="str">
        <x:v>100 boards / 2% planning</x:v>
      </x:c>
      <x:c r="B588" s="17" t="str">
        <x:v>SMBJ13A</x:v>
      </x:c>
      <x:c r="C588" s="18" t="n">
        <x:v>100</x:v>
      </x:c>
      <x:c r="D588" s="27" t="n">
        <x:v>0.02</x:v>
      </x:c>
      <x:c r="E588" s="18" t="n">
        <x:f>INDEX('Assembly BOM'!$C$7:$C$162,MATCH($B588,'Assembly BOM'!$A$7:$A$162,0))</x:f>
        <x:v>1</x:v>
      </x:c>
      <x:c r="F588" s="18" t="n">
        <x:f>C588*E588</x:f>
        <x:v>100</x:v>
      </x:c>
      <x:c r="G588" s="18" t="n">
        <x:f>ROUNDUP(F588*(1+D588),0)</x:f>
        <x:v>102</x:v>
      </x:c>
      <x:c r="H588" s="18" t="n">
        <x:f>INDEX('Dated offers'!$F$7:$F$305,MATCH($Z588,'Dated offers'!$A$7:$A$305,0))</x:f>
        <x:v>1</x:v>
      </x:c>
      <x:c r="I588" s="18" t="n">
        <x:f>INDEX('Dated offers'!$G$7:$G$305,MATCH($Z588,'Dated offers'!$A$7:$A$305,0))</x:f>
        <x:v>1</x:v>
      </x:c>
      <x:c r="J588" s="18" t="n">
        <x:f>CEILING(MAX(G588,H588),I588)</x:f>
        <x:v>102</x:v>
      </x:c>
      <x:c r="K588" s="18" t="n">
        <x:v>102</x:v>
      </x:c>
      <x:c r="L588" s="18" t="n">
        <x:f>INDEX('Dated offers'!$I$7:$I$305,MATCH($Z588,'Dated offers'!$A$7:$A$305,0))</x:f>
        <x:v>100</x:v>
      </x:c>
      <x:c r="M588" s="25" t="n">
        <x:f>INDEX('Dated offers'!$J$7:$J$305,MATCH($Z588,'Dated offers'!$A$7:$A$305,0))</x:f>
        <x:v>0.2077</x:v>
      </x:c>
      <x:c r="N588" s="25" t="n">
        <x:f>INDEX('Dated offers'!$K$7:$K$305,MATCH($Z588,'Dated offers'!$A$7:$A$305,0))</x:f>
        <x:v>0</x:v>
      </x:c>
      <x:c r="O588" s="25" t="n">
        <x:f>F588*M588</x:f>
        <x:v>20.77</x:v>
      </x:c>
      <x:c r="P588" s="25" t="n">
        <x:f>G588*M588</x:f>
        <x:v>21.1854</x:v>
      </x:c>
      <x:c r="Q588" s="25" t="n">
        <x:f>K588*M588+N588</x:f>
        <x:v>21.1854</x:v>
      </x:c>
      <x:c r="R588" s="18" t="n">
        <x:f>K588-G588</x:f>
        <x:v>0</x:v>
      </x:c>
      <x:c r="S588" s="18" t="n">
        <x:f>INDEX('Dated offers'!$H$7:$H$305,MATCH($Z588,'Dated offers'!$A$7:$A$305,0))</x:f>
        <x:v>1346</x:v>
      </x:c>
      <x:c r="T588" s="2" t="str">
        <x:f>IF(K588&lt;G588,"Order below requirement",IF(K588&lt;L588,"Below price tier",IF(ISNUMBER(S588),IF(K588&gt;S588,"Quantity exceeds snapshot","Within quantity snapshot"),"Stock not stated")))</x:f>
        <x:v>Within quantity snapshot</x:v>
      </x:c>
      <x:c r="U588" s="2" t="str">
        <x:f>INDEX('Dated offers'!$C$7:$C$305,MATCH($Z588,'Dated offers'!$A$7:$A$305,0))</x:f>
        <x:v>DigiKey</x:v>
      </x:c>
      <x:c r="V588" s="2" t="str">
        <x:f>INDEX('Dated offers'!$D$7:$D$305,MATCH($Z588,'Dated offers'!$A$7:$A$305,0))</x:f>
        <x:v>Not stated</x:v>
      </x:c>
      <x:c r="W588" s="24" t="n">
        <x:f>INDEX('Dated offers'!$E$7:$E$305,MATCH($Z588,'Dated offers'!$A$7:$A$305,0))</x:f>
        <x:v>46307.47807256944</x:v>
      </x:c>
      <x:c r="X588" s="2" t="b">
        <x:f>INDEX('Dated offers'!$N$7:$N$305,MATCH($Z588,'Dated offers'!$A$7:$A$305,0))</x:f>
        <x:v>0</x:v>
      </x:c>
      <x:c r="Y588" s="2" t="str">
        <x:f>INDEX('Dated offers'!$O$7:$O$305,MATCH($Z588,'Dated offers'!$A$7:$A$305,0))</x:f>
        <x:v>Unreserved inventory snapshot</x:v>
      </x:c>
      <x:c r="Z588" s="17" t="str">
        <x:v>OF0256</x:v>
      </x:c>
      <x:c r="AA588" s="2"/>
      <x:c r="AB588" s="2" t="str">
        <x:f>INDEX('Dated offers'!$Q$7:$Q$305,MATCH($Z588,'Dated offers'!$A$7:$A$305,0))</x:f>
        <x:v>https://www.digikey.com/en/products/detail/littelfuse-inc/SMBJ13A/285974</x:v>
      </x:c>
    </x:row>
    <x:row r="589" ht="24" customHeight="1">
      <x:c r="A589" s="2" t="str">
        <x:v>100 boards / 2% planning</x:v>
      </x:c>
      <x:c r="B589" s="17" t="str">
        <x:v>SMCJ51A-E3/57T</x:v>
      </x:c>
      <x:c r="C589" s="18" t="n">
        <x:v>100</x:v>
      </x:c>
      <x:c r="D589" s="27" t="n">
        <x:v>0.02</x:v>
      </x:c>
      <x:c r="E589" s="18" t="n">
        <x:f>INDEX('Assembly BOM'!$C$7:$C$162,MATCH($B589,'Assembly BOM'!$A$7:$A$162,0))</x:f>
        <x:v>2</x:v>
      </x:c>
      <x:c r="F589" s="18" t="n">
        <x:f>C589*E589</x:f>
        <x:v>200</x:v>
      </x:c>
      <x:c r="G589" s="18" t="n">
        <x:f>ROUNDUP(F589*(1+D589),0)</x:f>
        <x:v>204</x:v>
      </x:c>
      <x:c r="H589" s="18" t="n">
        <x:f>INDEX('Dated offers'!$F$7:$F$305,MATCH($Z589,'Dated offers'!$A$7:$A$305,0))</x:f>
        <x:v>1</x:v>
      </x:c>
      <x:c r="I589" s="18" t="n">
        <x:f>INDEX('Dated offers'!$G$7:$G$305,MATCH($Z589,'Dated offers'!$A$7:$A$305,0))</x:f>
        <x:v>1</x:v>
      </x:c>
      <x:c r="J589" s="18" t="n">
        <x:f>CEILING(MAX(G589,H589),I589)</x:f>
        <x:v>204</x:v>
      </x:c>
      <x:c r="K589" s="18" t="n">
        <x:v>204</x:v>
      </x:c>
      <x:c r="L589" s="18" t="n">
        <x:f>INDEX('Dated offers'!$I$7:$I$305,MATCH($Z589,'Dated offers'!$A$7:$A$305,0))</x:f>
        <x:v>100</x:v>
      </x:c>
      <x:c r="M589" s="25" t="n">
        <x:f>INDEX('Dated offers'!$J$7:$J$305,MATCH($Z589,'Dated offers'!$A$7:$A$305,0))</x:f>
        <x:v>0.44</x:v>
      </x:c>
      <x:c r="N589" s="25" t="n">
        <x:f>INDEX('Dated offers'!$K$7:$K$305,MATCH($Z589,'Dated offers'!$A$7:$A$305,0))</x:f>
        <x:v>0</x:v>
      </x:c>
      <x:c r="O589" s="25" t="n">
        <x:f>F589*M589</x:f>
        <x:v>88</x:v>
      </x:c>
      <x:c r="P589" s="25" t="n">
        <x:f>G589*M589</x:f>
        <x:v>89.76</x:v>
      </x:c>
      <x:c r="Q589" s="25" t="n">
        <x:f>K589*M589+N589</x:f>
        <x:v>89.76</x:v>
      </x:c>
      <x:c r="R589" s="18" t="n">
        <x:f>K589-G589</x:f>
        <x:v>0</x:v>
      </x:c>
      <x:c r="S589" s="18" t="n">
        <x:f>INDEX('Dated offers'!$H$7:$H$305,MATCH($Z589,'Dated offers'!$A$7:$A$305,0))</x:f>
        <x:v>214</x:v>
      </x:c>
      <x:c r="T589" s="2" t="str">
        <x:f>IF(K589&lt;G589,"Order below requirement",IF(K589&lt;L589,"Below price tier",IF(ISNUMBER(S589),IF(K589&gt;S589,"Quantity exceeds snapshot","Within quantity snapshot"),"Stock not stated")))</x:f>
        <x:v>Within quantity snapshot</x:v>
      </x:c>
      <x:c r="U589" s="2" t="str">
        <x:f>INDEX('Dated offers'!$C$7:$C$305,MATCH($Z589,'Dated offers'!$A$7:$A$305,0))</x:f>
        <x:v>DigiKey</x:v>
      </x:c>
      <x:c r="V589" s="2" t="str">
        <x:f>INDEX('Dated offers'!$D$7:$D$305,MATCH($Z589,'Dated offers'!$A$7:$A$305,0))</x:f>
        <x:v>Not stated</x:v>
      </x:c>
      <x:c r="W589" s="24" t="n">
        <x:f>INDEX('Dated offers'!$E$7:$E$305,MATCH($Z589,'Dated offers'!$A$7:$A$305,0))</x:f>
        <x:v>46307.47807258102</x:v>
      </x:c>
      <x:c r="X589" s="2" t="b">
        <x:f>INDEX('Dated offers'!$N$7:$N$305,MATCH($Z589,'Dated offers'!$A$7:$A$305,0))</x:f>
        <x:v>0</x:v>
      </x:c>
      <x:c r="Y589" s="2" t="str">
        <x:f>INDEX('Dated offers'!$O$7:$O$305,MATCH($Z589,'Dated offers'!$A$7:$A$305,0))</x:f>
        <x:v>Unreserved inventory snapshot</x:v>
      </x:c>
      <x:c r="Z589" s="17" t="str">
        <x:v>OF0257</x:v>
      </x:c>
      <x:c r="AA589" s="2"/>
      <x:c r="AB589" s="2" t="str">
        <x:f>INDEX('Dated offers'!$Q$7:$Q$305,MATCH($Z589,'Dated offers'!$A$7:$A$305,0))</x:f>
        <x:v>https://www.digikey.com/en/products/detail/vishay-general-semiconductor-diodes-division/SMCJ51A-E3-57T/2413463</x:v>
      </x:c>
    </x:row>
    <x:row r="590" ht="24" customHeight="1">
      <x:c r="A590" s="2" t="str">
        <x:v>100 boards / 2% planning</x:v>
      </x:c>
      <x:c r="B590" s="17" t="str">
        <x:v>SN74AUP1G17DBVR</x:v>
      </x:c>
      <x:c r="C590" s="18" t="n">
        <x:v>100</x:v>
      </x:c>
      <x:c r="D590" s="27" t="n">
        <x:v>0.02</x:v>
      </x:c>
      <x:c r="E590" s="18" t="n">
        <x:f>INDEX('Assembly BOM'!$C$7:$C$162,MATCH($B590,'Assembly BOM'!$A$7:$A$162,0))</x:f>
        <x:v>1</x:v>
      </x:c>
      <x:c r="F590" s="18" t="n">
        <x:f>C590*E590</x:f>
        <x:v>100</x:v>
      </x:c>
      <x:c r="G590" s="18" t="n">
        <x:f>ROUNDUP(F590*(1+D590),0)</x:f>
        <x:v>102</x:v>
      </x:c>
      <x:c r="H590" s="18" t="n">
        <x:f>INDEX('Dated offers'!$F$7:$F$305,MATCH($Z590,'Dated offers'!$A$7:$A$305,0))</x:f>
        <x:v>1</x:v>
      </x:c>
      <x:c r="I590" s="18" t="n">
        <x:f>INDEX('Dated offers'!$G$7:$G$305,MATCH($Z590,'Dated offers'!$A$7:$A$305,0))</x:f>
        <x:v>1</x:v>
      </x:c>
      <x:c r="J590" s="18" t="n">
        <x:f>CEILING(MAX(G590,H590),I590)</x:f>
        <x:v>102</x:v>
      </x:c>
      <x:c r="K590" s="18" t="n">
        <x:v>102</x:v>
      </x:c>
      <x:c r="L590" s="18" t="n">
        <x:f>INDEX('Dated offers'!$I$7:$I$305,MATCH($Z590,'Dated offers'!$A$7:$A$305,0))</x:f>
        <x:v>100</x:v>
      </x:c>
      <x:c r="M590" s="25" t="n">
        <x:f>INDEX('Dated offers'!$J$7:$J$305,MATCH($Z590,'Dated offers'!$A$7:$A$305,0))</x:f>
        <x:v>0.2161</x:v>
      </x:c>
      <x:c r="N590" s="25" t="n">
        <x:f>INDEX('Dated offers'!$K$7:$K$305,MATCH($Z590,'Dated offers'!$A$7:$A$305,0))</x:f>
        <x:v>0</x:v>
      </x:c>
      <x:c r="O590" s="25" t="n">
        <x:f>F590*M590</x:f>
        <x:v>21.61</x:v>
      </x:c>
      <x:c r="P590" s="25" t="n">
        <x:f>G590*M590</x:f>
        <x:v>22.042199999999998</x:v>
      </x:c>
      <x:c r="Q590" s="25" t="n">
        <x:f>K590*M590+N590</x:f>
        <x:v>22.042199999999998</x:v>
      </x:c>
      <x:c r="R590" s="18" t="n">
        <x:f>K590-G590</x:f>
        <x:v>0</x:v>
      </x:c>
      <x:c r="S590" s="18" t="n">
        <x:f>INDEX('Dated offers'!$H$7:$H$305,MATCH($Z590,'Dated offers'!$A$7:$A$305,0))</x:f>
        <x:v>7107</x:v>
      </x:c>
      <x:c r="T590" s="2" t="str">
        <x:f>IF(K590&lt;G590,"Order below requirement",IF(K590&lt;L590,"Below price tier",IF(ISNUMBER(S590),IF(K590&gt;S590,"Quantity exceeds snapshot","Within quantity snapshot"),"Stock not stated")))</x:f>
        <x:v>Within quantity snapshot</x:v>
      </x:c>
      <x:c r="U590" s="2" t="str">
        <x:f>INDEX('Dated offers'!$C$7:$C$305,MATCH($Z590,'Dated offers'!$A$7:$A$305,0))</x:f>
        <x:v>DigiKey</x:v>
      </x:c>
      <x:c r="V590" s="2" t="str">
        <x:f>INDEX('Dated offers'!$D$7:$D$305,MATCH($Z590,'Dated offers'!$A$7:$A$305,0))</x:f>
        <x:v>Not stated</x:v>
      </x:c>
      <x:c r="W590" s="24" t="n">
        <x:f>INDEX('Dated offers'!$E$7:$E$305,MATCH($Z590,'Dated offers'!$A$7:$A$305,0))</x:f>
        <x:v>46307.478072708334</x:v>
      </x:c>
      <x:c r="X590" s="2" t="b">
        <x:f>INDEX('Dated offers'!$N$7:$N$305,MATCH($Z590,'Dated offers'!$A$7:$A$305,0))</x:f>
        <x:v>0</x:v>
      </x:c>
      <x:c r="Y590" s="2" t="str">
        <x:f>INDEX('Dated offers'!$O$7:$O$305,MATCH($Z590,'Dated offers'!$A$7:$A$305,0))</x:f>
        <x:v>Unreserved inventory snapshot</x:v>
      </x:c>
      <x:c r="Z590" s="17" t="str">
        <x:v>OF0258</x:v>
      </x:c>
      <x:c r="AA590" s="2"/>
      <x:c r="AB590" s="2" t="str">
        <x:f>INDEX('Dated offers'!$Q$7:$Q$305,MATCH($Z590,'Dated offers'!$A$7:$A$305,0))</x:f>
        <x:v>https://www.digikey.com/en/products/detail/texas-instruments/SN74AUP1G17DBVR/864081</x:v>
      </x:c>
    </x:row>
    <x:row r="591" ht="24" customHeight="1">
      <x:c r="A591" s="2" t="str">
        <x:v>100 boards / 2% planning</x:v>
      </x:c>
      <x:c r="B591" s="17" t="str">
        <x:v>SN74AXC8T245PWR</x:v>
      </x:c>
      <x:c r="C591" s="18" t="n">
        <x:v>100</x:v>
      </x:c>
      <x:c r="D591" s="27" t="n">
        <x:v>0.02</x:v>
      </x:c>
      <x:c r="E591" s="18" t="n">
        <x:f>INDEX('Assembly BOM'!$C$7:$C$162,MATCH($B591,'Assembly BOM'!$A$7:$A$162,0))</x:f>
        <x:v>1</x:v>
      </x:c>
      <x:c r="F591" s="18" t="n">
        <x:f>C591*E591</x:f>
        <x:v>100</x:v>
      </x:c>
      <x:c r="G591" s="18" t="n">
        <x:f>ROUNDUP(F591*(1+D591),0)</x:f>
        <x:v>102</x:v>
      </x:c>
      <x:c r="H591" s="18" t="n">
        <x:f>INDEX('Dated offers'!$F$7:$F$305,MATCH($Z591,'Dated offers'!$A$7:$A$305,0))</x:f>
        <x:v>1</x:v>
      </x:c>
      <x:c r="I591" s="18" t="n">
        <x:f>INDEX('Dated offers'!$G$7:$G$305,MATCH($Z591,'Dated offers'!$A$7:$A$305,0))</x:f>
        <x:v>1</x:v>
      </x:c>
      <x:c r="J591" s="18" t="n">
        <x:f>CEILING(MAX(G591,H591),I591)</x:f>
        <x:v>102</x:v>
      </x:c>
      <x:c r="K591" s="18" t="n">
        <x:v>102</x:v>
      </x:c>
      <x:c r="L591" s="18" t="n">
        <x:f>INDEX('Dated offers'!$I$7:$I$305,MATCH($Z591,'Dated offers'!$A$7:$A$305,0))</x:f>
        <x:v>100</x:v>
      </x:c>
      <x:c r="M591" s="25" t="n">
        <x:f>INDEX('Dated offers'!$J$7:$J$305,MATCH($Z591,'Dated offers'!$A$7:$A$305,0))</x:f>
        <x:v>0.7007</x:v>
      </x:c>
      <x:c r="N591" s="25" t="n">
        <x:f>INDEX('Dated offers'!$K$7:$K$305,MATCH($Z591,'Dated offers'!$A$7:$A$305,0))</x:f>
        <x:v>0</x:v>
      </x:c>
      <x:c r="O591" s="25" t="n">
        <x:f>F591*M591</x:f>
        <x:v>70.07</x:v>
      </x:c>
      <x:c r="P591" s="25" t="n">
        <x:f>G591*M591</x:f>
        <x:v>71.4714</x:v>
      </x:c>
      <x:c r="Q591" s="25" t="n">
        <x:f>K591*M591+N591</x:f>
        <x:v>71.4714</x:v>
      </x:c>
      <x:c r="R591" s="18" t="n">
        <x:f>K591-G591</x:f>
        <x:v>0</x:v>
      </x:c>
      <x:c r="S591" s="18" t="n">
        <x:f>INDEX('Dated offers'!$H$7:$H$305,MATCH($Z591,'Dated offers'!$A$7:$A$305,0))</x:f>
        <x:v>9132</x:v>
      </x:c>
      <x:c r="T591" s="2" t="str">
        <x:f>IF(K591&lt;G591,"Order below requirement",IF(K591&lt;L591,"Below price tier",IF(ISNUMBER(S591),IF(K591&gt;S591,"Quantity exceeds snapshot","Within quantity snapshot"),"Stock not stated")))</x:f>
        <x:v>Within quantity snapshot</x:v>
      </x:c>
      <x:c r="U591" s="2" t="str">
        <x:f>INDEX('Dated offers'!$C$7:$C$305,MATCH($Z591,'Dated offers'!$A$7:$A$305,0))</x:f>
        <x:v>LCSC</x:v>
      </x:c>
      <x:c r="V591" s="2" t="str">
        <x:f>INDEX('Dated offers'!$D$7:$D$305,MATCH($Z591,'Dated offers'!$A$7:$A$305,0))</x:f>
        <x:v>C882718</x:v>
      </x:c>
      <x:c r="W591" s="24" t="n">
        <x:f>INDEX('Dated offers'!$E$7:$E$305,MATCH($Z591,'Dated offers'!$A$7:$A$305,0))</x:f>
        <x:v>46307.447469618055</x:v>
      </x:c>
      <x:c r="X591" s="2" t="b">
        <x:f>INDEX('Dated offers'!$N$7:$N$305,MATCH($Z591,'Dated offers'!$A$7:$A$305,0))</x:f>
        <x:v>0</x:v>
      </x:c>
      <x:c r="Y591" s="2" t="str">
        <x:f>INDEX('Dated offers'!$O$7:$O$305,MATCH($Z591,'Dated offers'!$A$7:$A$305,0))</x:f>
        <x:v>Unreserved inventory snapshot</x:v>
      </x:c>
      <x:c r="Z591" s="17" t="str">
        <x:v>OF0259</x:v>
      </x:c>
      <x:c r="AA591" s="2"/>
      <x:c r="AB591" s="2" t="str">
        <x:f>INDEX('Dated offers'!$Q$7:$Q$305,MATCH($Z591,'Dated offers'!$A$7:$A$305,0))</x:f>
        <x:v>https://www.lcsc.com/product-detail/C882718.html</x:v>
      </x:c>
    </x:row>
    <x:row r="592" ht="24" customHeight="1">
      <x:c r="A592" s="2" t="str">
        <x:v>100 boards / 2% planning</x:v>
      </x:c>
      <x:c r="B592" s="17" t="str">
        <x:v>SN74LVC1G00DBVR</x:v>
      </x:c>
      <x:c r="C592" s="18" t="n">
        <x:v>100</x:v>
      </x:c>
      <x:c r="D592" s="27" t="n">
        <x:v>0.02</x:v>
      </x:c>
      <x:c r="E592" s="18" t="n">
        <x:f>INDEX('Assembly BOM'!$C$7:$C$162,MATCH($B592,'Assembly BOM'!$A$7:$A$162,0))</x:f>
        <x:v>2</x:v>
      </x:c>
      <x:c r="F592" s="18" t="n">
        <x:f>C592*E592</x:f>
        <x:v>200</x:v>
      </x:c>
      <x:c r="G592" s="18" t="n">
        <x:f>ROUNDUP(F592*(1+D592),0)</x:f>
        <x:v>204</x:v>
      </x:c>
      <x:c r="H592" s="18" t="n">
        <x:f>INDEX('Dated offers'!$F$7:$F$305,MATCH($Z592,'Dated offers'!$A$7:$A$305,0))</x:f>
        <x:v>5</x:v>
      </x:c>
      <x:c r="I592" s="18" t="n">
        <x:f>INDEX('Dated offers'!$G$7:$G$305,MATCH($Z592,'Dated offers'!$A$7:$A$305,0))</x:f>
        <x:v>5</x:v>
      </x:c>
      <x:c r="J592" s="18" t="n">
        <x:f>CEILING(MAX(G592,H592),I592)</x:f>
        <x:v>205</x:v>
      </x:c>
      <x:c r="K592" s="18" t="n">
        <x:v>205</x:v>
      </x:c>
      <x:c r="L592" s="18" t="n">
        <x:f>INDEX('Dated offers'!$I$7:$I$305,MATCH($Z592,'Dated offers'!$A$7:$A$305,0))</x:f>
        <x:v>150</x:v>
      </x:c>
      <x:c r="M592" s="25" t="n">
        <x:f>INDEX('Dated offers'!$J$7:$J$305,MATCH($Z592,'Dated offers'!$A$7:$A$305,0))</x:f>
        <x:v>0.0928</x:v>
      </x:c>
      <x:c r="N592" s="25" t="n">
        <x:f>INDEX('Dated offers'!$K$7:$K$305,MATCH($Z592,'Dated offers'!$A$7:$A$305,0))</x:f>
        <x:v>0</x:v>
      </x:c>
      <x:c r="O592" s="25" t="n">
        <x:f>F592*M592</x:f>
        <x:v>18.56</x:v>
      </x:c>
      <x:c r="P592" s="25" t="n">
        <x:f>G592*M592</x:f>
        <x:v>18.931199999999997</x:v>
      </x:c>
      <x:c r="Q592" s="25" t="n">
        <x:f>K592*M592+N592</x:f>
        <x:v>19.023999999999997</x:v>
      </x:c>
      <x:c r="R592" s="18" t="n">
        <x:f>K592-G592</x:f>
        <x:v>1</x:v>
      </x:c>
      <x:c r="S592" s="18" t="n">
        <x:f>INDEX('Dated offers'!$H$7:$H$305,MATCH($Z592,'Dated offers'!$A$7:$A$305,0))</x:f>
        <x:v>4575</x:v>
      </x:c>
      <x:c r="T592" s="2" t="str">
        <x:f>IF(K592&lt;G592,"Order below requirement",IF(K592&lt;L592,"Below price tier",IF(ISNUMBER(S592),IF(K592&gt;S592,"Quantity exceeds snapshot","Within quantity snapshot"),"Stock not stated")))</x:f>
        <x:v>Within quantity snapshot</x:v>
      </x:c>
      <x:c r="U592" s="2" t="str">
        <x:f>INDEX('Dated offers'!$C$7:$C$305,MATCH($Z592,'Dated offers'!$A$7:$A$305,0))</x:f>
        <x:v>LCSC</x:v>
      </x:c>
      <x:c r="V592" s="2" t="str">
        <x:f>INDEX('Dated offers'!$D$7:$D$305,MATCH($Z592,'Dated offers'!$A$7:$A$305,0))</x:f>
        <x:v>C7826</x:v>
      </x:c>
      <x:c r="W592" s="24" t="n">
        <x:f>INDEX('Dated offers'!$E$7:$E$305,MATCH($Z592,'Dated offers'!$A$7:$A$305,0))</x:f>
        <x:v>46307.447470416664</x:v>
      </x:c>
      <x:c r="X592" s="2" t="b">
        <x:f>INDEX('Dated offers'!$N$7:$N$305,MATCH($Z592,'Dated offers'!$A$7:$A$305,0))</x:f>
        <x:v>0</x:v>
      </x:c>
      <x:c r="Y592" s="2" t="str">
        <x:f>INDEX('Dated offers'!$O$7:$O$305,MATCH($Z592,'Dated offers'!$A$7:$A$305,0))</x:f>
        <x:v>Unreserved inventory snapshot</x:v>
      </x:c>
      <x:c r="Z592" s="17" t="str">
        <x:v>OF0260</x:v>
      </x:c>
      <x:c r="AA592" s="2"/>
      <x:c r="AB592" s="2" t="str">
        <x:f>INDEX('Dated offers'!$Q$7:$Q$305,MATCH($Z592,'Dated offers'!$A$7:$A$305,0))</x:f>
        <x:v>https://www.lcsc.com/product-detail/C7826.html</x:v>
      </x:c>
    </x:row>
    <x:row r="593" ht="24" customHeight="1">
      <x:c r="A593" s="2" t="str">
        <x:v>100 boards / 2% planning</x:v>
      </x:c>
      <x:c r="B593" s="17" t="str">
        <x:v>SN74LVC1G04DBVR</x:v>
      </x:c>
      <x:c r="C593" s="18" t="n">
        <x:v>100</x:v>
      </x:c>
      <x:c r="D593" s="27" t="n">
        <x:v>0.02</x:v>
      </x:c>
      <x:c r="E593" s="18" t="n">
        <x:f>INDEX('Assembly BOM'!$C$7:$C$162,MATCH($B593,'Assembly BOM'!$A$7:$A$162,0))</x:f>
        <x:v>1</x:v>
      </x:c>
      <x:c r="F593" s="18" t="n">
        <x:f>C593*E593</x:f>
        <x:v>100</x:v>
      </x:c>
      <x:c r="G593" s="18" t="n">
        <x:f>ROUNDUP(F593*(1+D593),0)</x:f>
        <x:v>102</x:v>
      </x:c>
      <x:c r="H593" s="18" t="n">
        <x:f>INDEX('Dated offers'!$F$7:$F$305,MATCH($Z593,'Dated offers'!$A$7:$A$305,0))</x:f>
        <x:v>1</x:v>
      </x:c>
      <x:c r="I593" s="18" t="n">
        <x:f>INDEX('Dated offers'!$G$7:$G$305,MATCH($Z593,'Dated offers'!$A$7:$A$305,0))</x:f>
        <x:v>1</x:v>
      </x:c>
      <x:c r="J593" s="18" t="n">
        <x:f>CEILING(MAX(G593,H593),I593)</x:f>
        <x:v>102</x:v>
      </x:c>
      <x:c r="K593" s="18" t="n">
        <x:v>102</x:v>
      </x:c>
      <x:c r="L593" s="18" t="n">
        <x:f>INDEX('Dated offers'!$I$7:$I$305,MATCH($Z593,'Dated offers'!$A$7:$A$305,0))</x:f>
        <x:v>100</x:v>
      </x:c>
      <x:c r="M593" s="25" t="n">
        <x:f>INDEX('Dated offers'!$J$7:$J$305,MATCH($Z593,'Dated offers'!$A$7:$A$305,0))</x:f>
        <x:v>0.0735</x:v>
      </x:c>
      <x:c r="N593" s="25" t="n">
        <x:f>INDEX('Dated offers'!$K$7:$K$305,MATCH($Z593,'Dated offers'!$A$7:$A$305,0))</x:f>
        <x:v>0</x:v>
      </x:c>
      <x:c r="O593" s="25" t="n">
        <x:f>F593*M593</x:f>
        <x:v>7.35</x:v>
      </x:c>
      <x:c r="P593" s="25" t="n">
        <x:f>G593*M593</x:f>
        <x:v>7.497</x:v>
      </x:c>
      <x:c r="Q593" s="25" t="n">
        <x:f>K593*M593+N593</x:f>
        <x:v>7.497</x:v>
      </x:c>
      <x:c r="R593" s="18" t="n">
        <x:f>K593-G593</x:f>
        <x:v>0</x:v>
      </x:c>
      <x:c r="S593" s="18" t="n">
        <x:f>INDEX('Dated offers'!$H$7:$H$305,MATCH($Z593,'Dated offers'!$A$7:$A$305,0))</x:f>
        <x:v>353596</x:v>
      </x:c>
      <x:c r="T593" s="2" t="str">
        <x:f>IF(K593&lt;G593,"Order below requirement",IF(K593&lt;L593,"Below price tier",IF(ISNUMBER(S593),IF(K593&gt;S593,"Quantity exceeds snapshot","Within quantity snapshot"),"Stock not stated")))</x:f>
        <x:v>Within quantity snapshot</x:v>
      </x:c>
      <x:c r="U593" s="2" t="str">
        <x:f>INDEX('Dated offers'!$C$7:$C$305,MATCH($Z593,'Dated offers'!$A$7:$A$305,0))</x:f>
        <x:v>DigiKey</x:v>
      </x:c>
      <x:c r="V593" s="2" t="str">
        <x:f>INDEX('Dated offers'!$D$7:$D$305,MATCH($Z593,'Dated offers'!$A$7:$A$305,0))</x:f>
        <x:v>Not stated</x:v>
      </x:c>
      <x:c r="W593" s="24" t="n">
        <x:f>INDEX('Dated offers'!$E$7:$E$305,MATCH($Z593,'Dated offers'!$A$7:$A$305,0))</x:f>
        <x:v>46307.478072708334</x:v>
      </x:c>
      <x:c r="X593" s="2" t="b">
        <x:f>INDEX('Dated offers'!$N$7:$N$305,MATCH($Z593,'Dated offers'!$A$7:$A$305,0))</x:f>
        <x:v>0</x:v>
      </x:c>
      <x:c r="Y593" s="2" t="str">
        <x:f>INDEX('Dated offers'!$O$7:$O$305,MATCH($Z593,'Dated offers'!$A$7:$A$305,0))</x:f>
        <x:v>Unreserved inventory snapshot</x:v>
      </x:c>
      <x:c r="Z593" s="17" t="str">
        <x:v>OF0261</x:v>
      </x:c>
      <x:c r="AA593" s="2"/>
      <x:c r="AB593" s="2" t="str">
        <x:f>INDEX('Dated offers'!$Q$7:$Q$305,MATCH($Z593,'Dated offers'!$A$7:$A$305,0))</x:f>
        <x:v>https://www.digikey.com/en/products/detail/texas-instruments/SN74LVC1G04DBVR/385716</x:v>
      </x:c>
    </x:row>
    <x:row r="594" ht="24" customHeight="1">
      <x:c r="A594" s="2" t="str">
        <x:v>100 boards / 2% planning</x:v>
      </x:c>
      <x:c r="B594" s="17" t="str">
        <x:v>SN74LVC1G08DBVR</x:v>
      </x:c>
      <x:c r="C594" s="18" t="n">
        <x:v>100</x:v>
      </x:c>
      <x:c r="D594" s="27" t="n">
        <x:v>0.02</x:v>
      </x:c>
      <x:c r="E594" s="18" t="n">
        <x:f>INDEX('Assembly BOM'!$C$7:$C$162,MATCH($B594,'Assembly BOM'!$A$7:$A$162,0))</x:f>
        <x:v>2</x:v>
      </x:c>
      <x:c r="F594" s="18" t="n">
        <x:f>C594*E594</x:f>
        <x:v>200</x:v>
      </x:c>
      <x:c r="G594" s="18" t="n">
        <x:f>ROUNDUP(F594*(1+D594),0)</x:f>
        <x:v>204</x:v>
      </x:c>
      <x:c r="H594" s="18" t="n">
        <x:f>INDEX('Dated offers'!$F$7:$F$305,MATCH($Z594,'Dated offers'!$A$7:$A$305,0))</x:f>
        <x:v>1</x:v>
      </x:c>
      <x:c r="I594" s="18" t="n">
        <x:f>INDEX('Dated offers'!$G$7:$G$305,MATCH($Z594,'Dated offers'!$A$7:$A$305,0))</x:f>
        <x:v>1</x:v>
      </x:c>
      <x:c r="J594" s="18" t="n">
        <x:f>CEILING(MAX(G594,H594),I594)</x:f>
        <x:v>204</x:v>
      </x:c>
      <x:c r="K594" s="18" t="n">
        <x:v>204</x:v>
      </x:c>
      <x:c r="L594" s="18" t="n">
        <x:f>INDEX('Dated offers'!$I$7:$I$305,MATCH($Z594,'Dated offers'!$A$7:$A$305,0))</x:f>
        <x:v>100</x:v>
      </x:c>
      <x:c r="M594" s="25" t="n">
        <x:f>INDEX('Dated offers'!$J$7:$J$305,MATCH($Z594,'Dated offers'!$A$7:$A$305,0))</x:f>
        <x:v>0.0599</x:v>
      </x:c>
      <x:c r="N594" s="25" t="n">
        <x:f>INDEX('Dated offers'!$K$7:$K$305,MATCH($Z594,'Dated offers'!$A$7:$A$305,0))</x:f>
        <x:v>0</x:v>
      </x:c>
      <x:c r="O594" s="25" t="n">
        <x:f>F594*M594</x:f>
        <x:v>11.98</x:v>
      </x:c>
      <x:c r="P594" s="25" t="n">
        <x:f>G594*M594</x:f>
        <x:v>12.2196</x:v>
      </x:c>
      <x:c r="Q594" s="25" t="n">
        <x:f>K594*M594+N594</x:f>
        <x:v>12.2196</x:v>
      </x:c>
      <x:c r="R594" s="18" t="n">
        <x:f>K594-G594</x:f>
        <x:v>0</x:v>
      </x:c>
      <x:c r="S594" s="18" t="n">
        <x:f>INDEX('Dated offers'!$H$7:$H$305,MATCH($Z594,'Dated offers'!$A$7:$A$305,0))</x:f>
        <x:v>112885</x:v>
      </x:c>
      <x:c r="T594" s="2" t="str">
        <x:f>IF(K594&lt;G594,"Order below requirement",IF(K594&lt;L594,"Below price tier",IF(ISNUMBER(S594),IF(K594&gt;S594,"Quantity exceeds snapshot","Within quantity snapshot"),"Stock not stated")))</x:f>
        <x:v>Within quantity snapshot</x:v>
      </x:c>
      <x:c r="U594" s="2" t="str">
        <x:f>INDEX('Dated offers'!$C$7:$C$305,MATCH($Z594,'Dated offers'!$A$7:$A$305,0))</x:f>
        <x:v>DigiKey</x:v>
      </x:c>
      <x:c r="V594" s="2" t="str">
        <x:f>INDEX('Dated offers'!$D$7:$D$305,MATCH($Z594,'Dated offers'!$A$7:$A$305,0))</x:f>
        <x:v>Not stated</x:v>
      </x:c>
      <x:c r="W594" s="24" t="n">
        <x:f>INDEX('Dated offers'!$E$7:$E$305,MATCH($Z594,'Dated offers'!$A$7:$A$305,0))</x:f>
        <x:v>46307.47807271991</x:v>
      </x:c>
      <x:c r="X594" s="2" t="b">
        <x:f>INDEX('Dated offers'!$N$7:$N$305,MATCH($Z594,'Dated offers'!$A$7:$A$305,0))</x:f>
        <x:v>0</x:v>
      </x:c>
      <x:c r="Y594" s="2" t="str">
        <x:f>INDEX('Dated offers'!$O$7:$O$305,MATCH($Z594,'Dated offers'!$A$7:$A$305,0))</x:f>
        <x:v>Unreserved inventory snapshot</x:v>
      </x:c>
      <x:c r="Z594" s="17" t="str">
        <x:v>OF0262</x:v>
      </x:c>
      <x:c r="AA594" s="2"/>
      <x:c r="AB594" s="2" t="str">
        <x:f>INDEX('Dated offers'!$Q$7:$Q$305,MATCH($Z594,'Dated offers'!$A$7:$A$305,0))</x:f>
        <x:v>https://www.digikey.com/en/products/detail/texas-instruments/SN74LVC1G08DBVR/385718</x:v>
      </x:c>
    </x:row>
    <x:row r="595" ht="24" customHeight="1">
      <x:c r="A595" s="2" t="str">
        <x:v>100 boards / 2% planning</x:v>
      </x:c>
      <x:c r="B595" s="17" t="str">
        <x:v>SN74LVC1G11DBVR</x:v>
      </x:c>
      <x:c r="C595" s="18" t="n">
        <x:v>100</x:v>
      </x:c>
      <x:c r="D595" s="27" t="n">
        <x:v>0.02</x:v>
      </x:c>
      <x:c r="E595" s="18" t="n">
        <x:f>INDEX('Assembly BOM'!$C$7:$C$162,MATCH($B595,'Assembly BOM'!$A$7:$A$162,0))</x:f>
        <x:v>3</x:v>
      </x:c>
      <x:c r="F595" s="18" t="n">
        <x:f>C595*E595</x:f>
        <x:v>300</x:v>
      </x:c>
      <x:c r="G595" s="18" t="n">
        <x:f>ROUNDUP(F595*(1+D595),0)</x:f>
        <x:v>306</x:v>
      </x:c>
      <x:c r="H595" s="18" t="n">
        <x:f>INDEX('Dated offers'!$F$7:$F$305,MATCH($Z595,'Dated offers'!$A$7:$A$305,0))</x:f>
        <x:v>1</x:v>
      </x:c>
      <x:c r="I595" s="18" t="n">
        <x:f>INDEX('Dated offers'!$G$7:$G$305,MATCH($Z595,'Dated offers'!$A$7:$A$305,0))</x:f>
        <x:v>1</x:v>
      </x:c>
      <x:c r="J595" s="18" t="n">
        <x:f>CEILING(MAX(G595,H595),I595)</x:f>
        <x:v>306</x:v>
      </x:c>
      <x:c r="K595" s="18" t="n">
        <x:v>306</x:v>
      </x:c>
      <x:c r="L595" s="18" t="n">
        <x:f>INDEX('Dated offers'!$I$7:$I$305,MATCH($Z595,'Dated offers'!$A$7:$A$305,0))</x:f>
        <x:v>250</x:v>
      </x:c>
      <x:c r="M595" s="25" t="n">
        <x:f>INDEX('Dated offers'!$J$7:$J$305,MATCH($Z595,'Dated offers'!$A$7:$A$305,0))</x:f>
        <x:v>0.18668</x:v>
      </x:c>
      <x:c r="N595" s="25" t="n">
        <x:f>INDEX('Dated offers'!$K$7:$K$305,MATCH($Z595,'Dated offers'!$A$7:$A$305,0))</x:f>
        <x:v>0</x:v>
      </x:c>
      <x:c r="O595" s="25" t="n">
        <x:f>F595*M595</x:f>
        <x:v>56.004000000000005</x:v>
      </x:c>
      <x:c r="P595" s="25" t="n">
        <x:f>G595*M595</x:f>
        <x:v>57.124080000000006</x:v>
      </x:c>
      <x:c r="Q595" s="25" t="n">
        <x:f>K595*M595+N595</x:f>
        <x:v>57.124080000000006</x:v>
      </x:c>
      <x:c r="R595" s="18" t="n">
        <x:f>K595-G595</x:f>
        <x:v>0</x:v>
      </x:c>
      <x:c r="S595" s="18" t="n">
        <x:f>INDEX('Dated offers'!$H$7:$H$305,MATCH($Z595,'Dated offers'!$A$7:$A$305,0))</x:f>
        <x:v>90366</x:v>
      </x:c>
      <x:c r="T595" s="2" t="str">
        <x:f>IF(K595&lt;G595,"Order below requirement",IF(K595&lt;L595,"Below price tier",IF(ISNUMBER(S595),IF(K595&gt;S595,"Quantity exceeds snapshot","Within quantity snapshot"),"Stock not stated")))</x:f>
        <x:v>Within quantity snapshot</x:v>
      </x:c>
      <x:c r="U595" s="2" t="str">
        <x:f>INDEX('Dated offers'!$C$7:$C$305,MATCH($Z595,'Dated offers'!$A$7:$A$305,0))</x:f>
        <x:v>DigiKey</x:v>
      </x:c>
      <x:c r="V595" s="2" t="str">
        <x:f>INDEX('Dated offers'!$D$7:$D$305,MATCH($Z595,'Dated offers'!$A$7:$A$305,0))</x:f>
        <x:v>Not stated</x:v>
      </x:c>
      <x:c r="W595" s="24" t="n">
        <x:f>INDEX('Dated offers'!$E$7:$E$305,MATCH($Z595,'Dated offers'!$A$7:$A$305,0))</x:f>
        <x:v>46307.478072708334</x:v>
      </x:c>
      <x:c r="X595" s="2" t="b">
        <x:f>INDEX('Dated offers'!$N$7:$N$305,MATCH($Z595,'Dated offers'!$A$7:$A$305,0))</x:f>
        <x:v>0</x:v>
      </x:c>
      <x:c r="Y595" s="2" t="str">
        <x:f>INDEX('Dated offers'!$O$7:$O$305,MATCH($Z595,'Dated offers'!$A$7:$A$305,0))</x:f>
        <x:v>Unreserved inventory snapshot</x:v>
      </x:c>
      <x:c r="Z595" s="17" t="str">
        <x:v>OF0263</x:v>
      </x:c>
      <x:c r="AA595" s="2"/>
      <x:c r="AB595" s="2" t="str">
        <x:f>INDEX('Dated offers'!$Q$7:$Q$305,MATCH($Z595,'Dated offers'!$A$7:$A$305,0))</x:f>
        <x:v>https://www.digikey.com/en/products/detail/texas-instruments/SN74LVC1G11DBVR/637182</x:v>
      </x:c>
    </x:row>
    <x:row r="596" ht="24" customHeight="1">
      <x:c r="A596" s="2" t="str">
        <x:v>100 boards / 2% planning</x:v>
      </x:c>
      <x:c r="B596" s="17" t="str">
        <x:v>SN74LVC1G32DBVR</x:v>
      </x:c>
      <x:c r="C596" s="18" t="n">
        <x:v>100</x:v>
      </x:c>
      <x:c r="D596" s="27" t="n">
        <x:v>0.02</x:v>
      </x:c>
      <x:c r="E596" s="18" t="n">
        <x:f>INDEX('Assembly BOM'!$C$7:$C$162,MATCH($B596,'Assembly BOM'!$A$7:$A$162,0))</x:f>
        <x:v>1</x:v>
      </x:c>
      <x:c r="F596" s="18" t="n">
        <x:f>C596*E596</x:f>
        <x:v>100</x:v>
      </x:c>
      <x:c r="G596" s="18" t="n">
        <x:f>ROUNDUP(F596*(1+D596),0)</x:f>
        <x:v>102</x:v>
      </x:c>
      <x:c r="H596" s="18" t="n">
        <x:f>INDEX('Dated offers'!$F$7:$F$305,MATCH($Z596,'Dated offers'!$A$7:$A$305,0))</x:f>
        <x:v>10</x:v>
      </x:c>
      <x:c r="I596" s="18" t="n">
        <x:f>INDEX('Dated offers'!$G$7:$G$305,MATCH($Z596,'Dated offers'!$A$7:$A$305,0))</x:f>
        <x:v>10</x:v>
      </x:c>
      <x:c r="J596" s="18" t="n">
        <x:f>CEILING(MAX(G596,H596),I596)</x:f>
        <x:v>110</x:v>
      </x:c>
      <x:c r="K596" s="18" t="n">
        <x:v>110</x:v>
      </x:c>
      <x:c r="L596" s="18" t="n">
        <x:f>INDEX('Dated offers'!$I$7:$I$305,MATCH($Z596,'Dated offers'!$A$7:$A$305,0))</x:f>
        <x:v>100</x:v>
      </x:c>
      <x:c r="M596" s="25" t="n">
        <x:f>INDEX('Dated offers'!$J$7:$J$305,MATCH($Z596,'Dated offers'!$A$7:$A$305,0))</x:f>
        <x:v>0.0569</x:v>
      </x:c>
      <x:c r="N596" s="25" t="n">
        <x:f>INDEX('Dated offers'!$K$7:$K$305,MATCH($Z596,'Dated offers'!$A$7:$A$305,0))</x:f>
        <x:v>0</x:v>
      </x:c>
      <x:c r="O596" s="25" t="n">
        <x:f>F596*M596</x:f>
        <x:v>5.6899999999999995</x:v>
      </x:c>
      <x:c r="P596" s="25" t="n">
        <x:f>G596*M596</x:f>
        <x:v>5.8038</x:v>
      </x:c>
      <x:c r="Q596" s="25" t="n">
        <x:f>K596*M596+N596</x:f>
        <x:v>6.259</x:v>
      </x:c>
      <x:c r="R596" s="18" t="n">
        <x:f>K596-G596</x:f>
        <x:v>8</x:v>
      </x:c>
      <x:c r="S596" s="18" t="n">
        <x:f>INDEX('Dated offers'!$H$7:$H$305,MATCH($Z596,'Dated offers'!$A$7:$A$305,0))</x:f>
        <x:v>108990</x:v>
      </x:c>
      <x:c r="T596" s="2" t="str">
        <x:f>IF(K596&lt;G596,"Order below requirement",IF(K596&lt;L596,"Below price tier",IF(ISNUMBER(S596),IF(K596&gt;S596,"Quantity exceeds snapshot","Within quantity snapshot"),"Stock not stated")))</x:f>
        <x:v>Within quantity snapshot</x:v>
      </x:c>
      <x:c r="U596" s="2" t="str">
        <x:f>INDEX('Dated offers'!$C$7:$C$305,MATCH($Z596,'Dated offers'!$A$7:$A$305,0))</x:f>
        <x:v>LCSC</x:v>
      </x:c>
      <x:c r="V596" s="2" t="str">
        <x:f>INDEX('Dated offers'!$D$7:$D$305,MATCH($Z596,'Dated offers'!$A$7:$A$305,0))</x:f>
        <x:v>C10096</x:v>
      </x:c>
      <x:c r="W596" s="24" t="n">
        <x:f>INDEX('Dated offers'!$E$7:$E$305,MATCH($Z596,'Dated offers'!$A$7:$A$305,0))</x:f>
        <x:v>46307.447472025466</x:v>
      </x:c>
      <x:c r="X596" s="2" t="b">
        <x:f>INDEX('Dated offers'!$N$7:$N$305,MATCH($Z596,'Dated offers'!$A$7:$A$305,0))</x:f>
        <x:v>0</x:v>
      </x:c>
      <x:c r="Y596" s="2" t="str">
        <x:f>INDEX('Dated offers'!$O$7:$O$305,MATCH($Z596,'Dated offers'!$A$7:$A$305,0))</x:f>
        <x:v>Unreserved inventory snapshot</x:v>
      </x:c>
      <x:c r="Z596" s="17" t="str">
        <x:v>OF0264</x:v>
      </x:c>
      <x:c r="AA596" s="2"/>
      <x:c r="AB596" s="2" t="str">
        <x:f>INDEX('Dated offers'!$Q$7:$Q$305,MATCH($Z596,'Dated offers'!$A$7:$A$305,0))</x:f>
        <x:v>https://www.lcsc.com/product-detail/C10096.html</x:v>
      </x:c>
    </x:row>
    <x:row r="597" ht="24" customHeight="1">
      <x:c r="A597" s="2" t="str">
        <x:v>100 boards / 2% planning</x:v>
      </x:c>
      <x:c r="B597" s="17" t="str">
        <x:v>SN74LVC1G97DBVR</x:v>
      </x:c>
      <x:c r="C597" s="18" t="n">
        <x:v>100</x:v>
      </x:c>
      <x:c r="D597" s="27" t="n">
        <x:v>0.02</x:v>
      </x:c>
      <x:c r="E597" s="18" t="n">
        <x:f>INDEX('Assembly BOM'!$C$7:$C$162,MATCH($B597,'Assembly BOM'!$A$7:$A$162,0))</x:f>
        <x:v>3</x:v>
      </x:c>
      <x:c r="F597" s="18" t="n">
        <x:f>C597*E597</x:f>
        <x:v>300</x:v>
      </x:c>
      <x:c r="G597" s="18" t="n">
        <x:f>ROUNDUP(F597*(1+D597),0)</x:f>
        <x:v>306</x:v>
      </x:c>
      <x:c r="H597" s="18" t="n">
        <x:f>INDEX('Dated offers'!$F$7:$F$305,MATCH($Z597,'Dated offers'!$A$7:$A$305,0))</x:f>
        <x:v>1</x:v>
      </x:c>
      <x:c r="I597" s="18" t="n">
        <x:f>INDEX('Dated offers'!$G$7:$G$305,MATCH($Z597,'Dated offers'!$A$7:$A$305,0))</x:f>
        <x:v>1</x:v>
      </x:c>
      <x:c r="J597" s="18" t="n">
        <x:f>CEILING(MAX(G597,H597),I597)</x:f>
        <x:v>306</x:v>
      </x:c>
      <x:c r="K597" s="18" t="n">
        <x:v>306</x:v>
      </x:c>
      <x:c r="L597" s="18" t="n">
        <x:f>INDEX('Dated offers'!$I$7:$I$305,MATCH($Z597,'Dated offers'!$A$7:$A$305,0))</x:f>
        <x:v>250</x:v>
      </x:c>
      <x:c r="M597" s="25" t="n">
        <x:f>INDEX('Dated offers'!$J$7:$J$305,MATCH($Z597,'Dated offers'!$A$7:$A$305,0))</x:f>
        <x:v>0.11148</x:v>
      </x:c>
      <x:c r="N597" s="25" t="n">
        <x:f>INDEX('Dated offers'!$K$7:$K$305,MATCH($Z597,'Dated offers'!$A$7:$A$305,0))</x:f>
        <x:v>0</x:v>
      </x:c>
      <x:c r="O597" s="25" t="n">
        <x:f>F597*M597</x:f>
        <x:v>33.443999999999996</x:v>
      </x:c>
      <x:c r="P597" s="25" t="n">
        <x:f>G597*M597</x:f>
        <x:v>34.11288</x:v>
      </x:c>
      <x:c r="Q597" s="25" t="n">
        <x:f>K597*M597+N597</x:f>
        <x:v>34.11288</x:v>
      </x:c>
      <x:c r="R597" s="18" t="n">
        <x:f>K597-G597</x:f>
        <x:v>0</x:v>
      </x:c>
      <x:c r="S597" s="18" t="n">
        <x:f>INDEX('Dated offers'!$H$7:$H$305,MATCH($Z597,'Dated offers'!$A$7:$A$305,0))</x:f>
        <x:v>24044</x:v>
      </x:c>
      <x:c r="T597" s="2" t="str">
        <x:f>IF(K597&lt;G597,"Order below requirement",IF(K597&lt;L597,"Below price tier",IF(ISNUMBER(S597),IF(K597&gt;S597,"Quantity exceeds snapshot","Within quantity snapshot"),"Stock not stated")))</x:f>
        <x:v>Within quantity snapshot</x:v>
      </x:c>
      <x:c r="U597" s="2" t="str">
        <x:f>INDEX('Dated offers'!$C$7:$C$305,MATCH($Z597,'Dated offers'!$A$7:$A$305,0))</x:f>
        <x:v>DigiKey</x:v>
      </x:c>
      <x:c r="V597" s="2" t="str">
        <x:f>INDEX('Dated offers'!$D$7:$D$305,MATCH($Z597,'Dated offers'!$A$7:$A$305,0))</x:f>
        <x:v>Not stated</x:v>
      </x:c>
      <x:c r="W597" s="24" t="n">
        <x:f>INDEX('Dated offers'!$E$7:$E$305,MATCH($Z597,'Dated offers'!$A$7:$A$305,0))</x:f>
        <x:v>46307.47807267361</x:v>
      </x:c>
      <x:c r="X597" s="2" t="b">
        <x:f>INDEX('Dated offers'!$N$7:$N$305,MATCH($Z597,'Dated offers'!$A$7:$A$305,0))</x:f>
        <x:v>0</x:v>
      </x:c>
      <x:c r="Y597" s="2" t="str">
        <x:f>INDEX('Dated offers'!$O$7:$O$305,MATCH($Z597,'Dated offers'!$A$7:$A$305,0))</x:f>
        <x:v>Unreserved inventory snapshot</x:v>
      </x:c>
      <x:c r="Z597" s="17" t="str">
        <x:v>OF0265</x:v>
      </x:c>
      <x:c r="AA597" s="2"/>
      <x:c r="AB597" s="2" t="str">
        <x:f>INDEX('Dated offers'!$Q$7:$Q$305,MATCH($Z597,'Dated offers'!$A$7:$A$305,0))</x:f>
        <x:v>https://www.digikey.com/en/products/detail/texas-instruments/SN74LVC1G97DBVR/571196</x:v>
      </x:c>
    </x:row>
    <x:row r="598" ht="24" customHeight="1">
      <x:c r="A598" s="2" t="str">
        <x:v>100 boards / 2% planning</x:v>
      </x:c>
      <x:c r="B598" s="17" t="str">
        <x:v>SN74LVC2G125DCUR</x:v>
      </x:c>
      <x:c r="C598" s="18" t="n">
        <x:v>100</x:v>
      </x:c>
      <x:c r="D598" s="27" t="n">
        <x:v>0.02</x:v>
      </x:c>
      <x:c r="E598" s="18" t="n">
        <x:f>INDEX('Assembly BOM'!$C$7:$C$162,MATCH($B598,'Assembly BOM'!$A$7:$A$162,0))</x:f>
        <x:v>1</x:v>
      </x:c>
      <x:c r="F598" s="18" t="n">
        <x:f>C598*E598</x:f>
        <x:v>100</x:v>
      </x:c>
      <x:c r="G598" s="18" t="n">
        <x:f>ROUNDUP(F598*(1+D598),0)</x:f>
        <x:v>102</x:v>
      </x:c>
      <x:c r="H598" s="18" t="n">
        <x:f>INDEX('Dated offers'!$F$7:$F$305,MATCH($Z598,'Dated offers'!$A$7:$A$305,0))</x:f>
        <x:v>5</x:v>
      </x:c>
      <x:c r="I598" s="18" t="n">
        <x:f>INDEX('Dated offers'!$G$7:$G$305,MATCH($Z598,'Dated offers'!$A$7:$A$305,0))</x:f>
        <x:v>5</x:v>
      </x:c>
      <x:c r="J598" s="18" t="n">
        <x:f>CEILING(MAX(G598,H598),I598)</x:f>
        <x:v>105</x:v>
      </x:c>
      <x:c r="K598" s="18" t="n">
        <x:v>105</x:v>
      </x:c>
      <x:c r="L598" s="18" t="n">
        <x:f>INDEX('Dated offers'!$I$7:$I$305,MATCH($Z598,'Dated offers'!$A$7:$A$305,0))</x:f>
        <x:v>50</x:v>
      </x:c>
      <x:c r="M598" s="25" t="n">
        <x:f>INDEX('Dated offers'!$J$7:$J$305,MATCH($Z598,'Dated offers'!$A$7:$A$305,0))</x:f>
        <x:v>0.1639</x:v>
      </x:c>
      <x:c r="N598" s="25" t="n">
        <x:f>INDEX('Dated offers'!$K$7:$K$305,MATCH($Z598,'Dated offers'!$A$7:$A$305,0))</x:f>
        <x:v>0</x:v>
      </x:c>
      <x:c r="O598" s="25" t="n">
        <x:f>F598*M598</x:f>
        <x:v>16.39</x:v>
      </x:c>
      <x:c r="P598" s="25" t="n">
        <x:f>G598*M598</x:f>
        <x:v>16.7178</x:v>
      </x:c>
      <x:c r="Q598" s="25" t="n">
        <x:f>K598*M598+N598</x:f>
        <x:v>17.2095</x:v>
      </x:c>
      <x:c r="R598" s="18" t="n">
        <x:f>K598-G598</x:f>
        <x:v>3</x:v>
      </x:c>
      <x:c r="S598" s="18" t="n">
        <x:f>INDEX('Dated offers'!$H$7:$H$305,MATCH($Z598,'Dated offers'!$A$7:$A$305,0))</x:f>
        <x:v>255</x:v>
      </x:c>
      <x:c r="T598" s="2" t="str">
        <x:f>IF(K598&lt;G598,"Order below requirement",IF(K598&lt;L598,"Below price tier",IF(ISNUMBER(S598),IF(K598&gt;S598,"Quantity exceeds snapshot","Within quantity snapshot"),"Stock not stated")))</x:f>
        <x:v>Within quantity snapshot</x:v>
      </x:c>
      <x:c r="U598" s="2" t="str">
        <x:f>INDEX('Dated offers'!$C$7:$C$305,MATCH($Z598,'Dated offers'!$A$7:$A$305,0))</x:f>
        <x:v>LCSC</x:v>
      </x:c>
      <x:c r="V598" s="2" t="str">
        <x:f>INDEX('Dated offers'!$D$7:$D$305,MATCH($Z598,'Dated offers'!$A$7:$A$305,0))</x:f>
        <x:v>C21404</x:v>
      </x:c>
      <x:c r="W598" s="24" t="n">
        <x:f>INDEX('Dated offers'!$E$7:$E$305,MATCH($Z598,'Dated offers'!$A$7:$A$305,0))</x:f>
        <x:v>46307.44747895833</x:v>
      </x:c>
      <x:c r="X598" s="2" t="b">
        <x:f>INDEX('Dated offers'!$N$7:$N$305,MATCH($Z598,'Dated offers'!$A$7:$A$305,0))</x:f>
        <x:v>0</x:v>
      </x:c>
      <x:c r="Y598" s="2" t="str">
        <x:f>INDEX('Dated offers'!$O$7:$O$305,MATCH($Z598,'Dated offers'!$A$7:$A$305,0))</x:f>
        <x:v>Unreserved inventory snapshot</x:v>
      </x:c>
      <x:c r="Z598" s="17" t="str">
        <x:v>OF0266</x:v>
      </x:c>
      <x:c r="AA598" s="2"/>
      <x:c r="AB598" s="2" t="str">
        <x:f>INDEX('Dated offers'!$Q$7:$Q$305,MATCH($Z598,'Dated offers'!$A$7:$A$305,0))</x:f>
        <x:v>https://www.lcsc.com/product-detail/C21404.html</x:v>
      </x:c>
    </x:row>
    <x:row r="599" ht="24" customHeight="1">
      <x:c r="A599" s="2" t="str">
        <x:v>100 boards / 2% planning</x:v>
      </x:c>
      <x:c r="B599" s="17" t="str">
        <x:v>SN74LVC3G17DCUR</x:v>
      </x:c>
      <x:c r="C599" s="18" t="n">
        <x:v>100</x:v>
      </x:c>
      <x:c r="D599" s="27" t="n">
        <x:v>0.02</x:v>
      </x:c>
      <x:c r="E599" s="18" t="n">
        <x:f>INDEX('Assembly BOM'!$C$7:$C$162,MATCH($B599,'Assembly BOM'!$A$7:$A$162,0))</x:f>
        <x:v>1</x:v>
      </x:c>
      <x:c r="F599" s="18" t="n">
        <x:f>C599*E599</x:f>
        <x:v>100</x:v>
      </x:c>
      <x:c r="G599" s="18" t="n">
        <x:f>ROUNDUP(F599*(1+D599),0)</x:f>
        <x:v>102</x:v>
      </x:c>
      <x:c r="H599" s="18" t="n">
        <x:f>INDEX('Dated offers'!$F$7:$F$305,MATCH($Z599,'Dated offers'!$A$7:$A$305,0))</x:f>
        <x:v>1</x:v>
      </x:c>
      <x:c r="I599" s="18" t="n">
        <x:f>INDEX('Dated offers'!$G$7:$G$305,MATCH($Z599,'Dated offers'!$A$7:$A$305,0))</x:f>
        <x:v>1</x:v>
      </x:c>
      <x:c r="J599" s="18" t="n">
        <x:f>CEILING(MAX(G599,H599),I599)</x:f>
        <x:v>102</x:v>
      </x:c>
      <x:c r="K599" s="18" t="n">
        <x:v>102</x:v>
      </x:c>
      <x:c r="L599" s="18" t="n">
        <x:f>INDEX('Dated offers'!$I$7:$I$305,MATCH($Z599,'Dated offers'!$A$7:$A$305,0))</x:f>
        <x:v>100</x:v>
      </x:c>
      <x:c r="M599" s="25" t="n">
        <x:f>INDEX('Dated offers'!$J$7:$J$305,MATCH($Z599,'Dated offers'!$A$7:$A$305,0))</x:f>
        <x:v>0.2482</x:v>
      </x:c>
      <x:c r="N599" s="25" t="n">
        <x:f>INDEX('Dated offers'!$K$7:$K$305,MATCH($Z599,'Dated offers'!$A$7:$A$305,0))</x:f>
        <x:v>0</x:v>
      </x:c>
      <x:c r="O599" s="25" t="n">
        <x:f>F599*M599</x:f>
        <x:v>24.82</x:v>
      </x:c>
      <x:c r="P599" s="25" t="n">
        <x:f>G599*M599</x:f>
        <x:v>25.3164</x:v>
      </x:c>
      <x:c r="Q599" s="25" t="n">
        <x:f>K599*M599+N599</x:f>
        <x:v>25.3164</x:v>
      </x:c>
      <x:c r="R599" s="18" t="n">
        <x:f>K599-G599</x:f>
        <x:v>0</x:v>
      </x:c>
      <x:c r="S599" s="18" t="n">
        <x:f>INDEX('Dated offers'!$H$7:$H$305,MATCH($Z599,'Dated offers'!$A$7:$A$305,0))</x:f>
        <x:v>7399</x:v>
      </x:c>
      <x:c r="T599" s="2" t="str">
        <x:f>IF(K599&lt;G599,"Order below requirement",IF(K599&lt;L599,"Below price tier",IF(ISNUMBER(S599),IF(K599&gt;S599,"Quantity exceeds snapshot","Within quantity snapshot"),"Stock not stated")))</x:f>
        <x:v>Within quantity snapshot</x:v>
      </x:c>
      <x:c r="U599" s="2" t="str">
        <x:f>INDEX('Dated offers'!$C$7:$C$305,MATCH($Z599,'Dated offers'!$A$7:$A$305,0))</x:f>
        <x:v>DigiKey</x:v>
      </x:c>
      <x:c r="V599" s="2" t="str">
        <x:f>INDEX('Dated offers'!$D$7:$D$305,MATCH($Z599,'Dated offers'!$A$7:$A$305,0))</x:f>
        <x:v>Not stated</x:v>
      </x:c>
      <x:c r="W599" s="24" t="n">
        <x:f>INDEX('Dated offers'!$E$7:$E$305,MATCH($Z599,'Dated offers'!$A$7:$A$305,0))</x:f>
        <x:v>46307.47807267361</x:v>
      </x:c>
      <x:c r="X599" s="2" t="b">
        <x:f>INDEX('Dated offers'!$N$7:$N$305,MATCH($Z599,'Dated offers'!$A$7:$A$305,0))</x:f>
        <x:v>0</x:v>
      </x:c>
      <x:c r="Y599" s="2" t="str">
        <x:f>INDEX('Dated offers'!$O$7:$O$305,MATCH($Z599,'Dated offers'!$A$7:$A$305,0))</x:f>
        <x:v>Unreserved inventory snapshot</x:v>
      </x:c>
      <x:c r="Z599" s="17" t="str">
        <x:v>OF0267</x:v>
      </x:c>
      <x:c r="AA599" s="2"/>
      <x:c r="AB599" s="2" t="str">
        <x:f>INDEX('Dated offers'!$Q$7:$Q$305,MATCH($Z599,'Dated offers'!$A$7:$A$305,0))</x:f>
        <x:v>https://www.digikey.com/en/products/detail/texas-instruments/SN74LVC3G17DCUR/863652</x:v>
      </x:c>
    </x:row>
    <x:row r="600" ht="24" customHeight="1">
      <x:c r="A600" s="2" t="str">
        <x:v>100 boards / 2% planning</x:v>
      </x:c>
      <x:c r="B600" s="17" t="str">
        <x:v>SRP1265A-220M</x:v>
      </x:c>
      <x:c r="C600" s="18" t="n">
        <x:v>100</x:v>
      </x:c>
      <x:c r="D600" s="27" t="n">
        <x:v>0.02</x:v>
      </x:c>
      <x:c r="E600" s="18" t="n">
        <x:f>INDEX('Assembly BOM'!$C$7:$C$162,MATCH($B600,'Assembly BOM'!$A$7:$A$162,0))</x:f>
        <x:v>1</x:v>
      </x:c>
      <x:c r="F600" s="18" t="n">
        <x:f>C600*E600</x:f>
        <x:v>100</x:v>
      </x:c>
      <x:c r="G600" s="18" t="n">
        <x:f>ROUNDUP(F600*(1+D600),0)</x:f>
        <x:v>102</x:v>
      </x:c>
      <x:c r="H600" s="18" t="n">
        <x:f>INDEX('Dated offers'!$F$7:$F$305,MATCH($Z600,'Dated offers'!$A$7:$A$305,0))</x:f>
        <x:v>1</x:v>
      </x:c>
      <x:c r="I600" s="18" t="n">
        <x:f>INDEX('Dated offers'!$G$7:$G$305,MATCH($Z600,'Dated offers'!$A$7:$A$305,0))</x:f>
        <x:v>1</x:v>
      </x:c>
      <x:c r="J600" s="18" t="n">
        <x:f>CEILING(MAX(G600,H600),I600)</x:f>
        <x:v>102</x:v>
      </x:c>
      <x:c r="K600" s="18" t="n">
        <x:v>102</x:v>
      </x:c>
      <x:c r="L600" s="18" t="n">
        <x:f>INDEX('Dated offers'!$I$7:$I$305,MATCH($Z600,'Dated offers'!$A$7:$A$305,0))</x:f>
        <x:v>100</x:v>
      </x:c>
      <x:c r="M600" s="25" t="n">
        <x:f>INDEX('Dated offers'!$J$7:$J$305,MATCH($Z600,'Dated offers'!$A$7:$A$305,0))</x:f>
        <x:v>1.1288</x:v>
      </x:c>
      <x:c r="N600" s="25" t="n">
        <x:f>INDEX('Dated offers'!$K$7:$K$305,MATCH($Z600,'Dated offers'!$A$7:$A$305,0))</x:f>
        <x:v>0</x:v>
      </x:c>
      <x:c r="O600" s="25" t="n">
        <x:f>F600*M600</x:f>
        <x:v>112.88</x:v>
      </x:c>
      <x:c r="P600" s="25" t="n">
        <x:f>G600*M600</x:f>
        <x:v>115.1376</x:v>
      </x:c>
      <x:c r="Q600" s="25" t="n">
        <x:f>K600*M600+N600</x:f>
        <x:v>115.1376</x:v>
      </x:c>
      <x:c r="R600" s="18" t="n">
        <x:f>K600-G600</x:f>
        <x:v>0</x:v>
      </x:c>
      <x:c r="S600" s="18" t="n">
        <x:f>INDEX('Dated offers'!$H$7:$H$305,MATCH($Z600,'Dated offers'!$A$7:$A$305,0))</x:f>
        <x:v>5520</x:v>
      </x:c>
      <x:c r="T600" s="2" t="str">
        <x:f>IF(K600&lt;G600,"Order below requirement",IF(K600&lt;L600,"Below price tier",IF(ISNUMBER(S600),IF(K600&gt;S600,"Quantity exceeds snapshot","Within quantity snapshot"),"Stock not stated")))</x:f>
        <x:v>Within quantity snapshot</x:v>
      </x:c>
      <x:c r="U600" s="2" t="str">
        <x:f>INDEX('Dated offers'!$C$7:$C$305,MATCH($Z600,'Dated offers'!$A$7:$A$305,0))</x:f>
        <x:v>DigiKey</x:v>
      </x:c>
      <x:c r="V600" s="2" t="str">
        <x:f>INDEX('Dated offers'!$D$7:$D$305,MATCH($Z600,'Dated offers'!$A$7:$A$305,0))</x:f>
        <x:v>Not stated</x:v>
      </x:c>
      <x:c r="W600" s="24" t="n">
        <x:f>INDEX('Dated offers'!$E$7:$E$305,MATCH($Z600,'Dated offers'!$A$7:$A$305,0))</x:f>
        <x:v>46307.47807266204</x:v>
      </x:c>
      <x:c r="X600" s="2" t="b">
        <x:f>INDEX('Dated offers'!$N$7:$N$305,MATCH($Z600,'Dated offers'!$A$7:$A$305,0))</x:f>
        <x:v>0</x:v>
      </x:c>
      <x:c r="Y600" s="2" t="str">
        <x:f>INDEX('Dated offers'!$O$7:$O$305,MATCH($Z600,'Dated offers'!$A$7:$A$305,0))</x:f>
        <x:v>Unreserved inventory snapshot</x:v>
      </x:c>
      <x:c r="Z600" s="17" t="str">
        <x:v>OF0268</x:v>
      </x:c>
      <x:c r="AA600" s="2"/>
      <x:c r="AB600" s="2" t="str">
        <x:f>INDEX('Dated offers'!$Q$7:$Q$305,MATCH($Z600,'Dated offers'!$A$7:$A$305,0))</x:f>
        <x:v>https://www.digikey.com/en/products/detail/bourns-inc/SRP1265A-220M/4876624</x:v>
      </x:c>
    </x:row>
    <x:row r="601" ht="24" customHeight="1">
      <x:c r="A601" s="2" t="str">
        <x:v>100 boards / 2% planning</x:v>
      </x:c>
      <x:c r="B601" s="17" t="str">
        <x:v>SRP5030TA-2R2M</x:v>
      </x:c>
      <x:c r="C601" s="18" t="n">
        <x:v>100</x:v>
      </x:c>
      <x:c r="D601" s="27" t="n">
        <x:v>0.02</x:v>
      </x:c>
      <x:c r="E601" s="18" t="n">
        <x:f>INDEX('Assembly BOM'!$C$7:$C$162,MATCH($B601,'Assembly BOM'!$A$7:$A$162,0))</x:f>
        <x:v>4</x:v>
      </x:c>
      <x:c r="F601" s="18" t="n">
        <x:f>C601*E601</x:f>
        <x:v>400</x:v>
      </x:c>
      <x:c r="G601" s="18" t="n">
        <x:f>ROUNDUP(F601*(1+D601),0)</x:f>
        <x:v>408</x:v>
      </x:c>
      <x:c r="H601" s="18" t="n">
        <x:f>INDEX('Dated offers'!$F$7:$F$305,MATCH($Z601,'Dated offers'!$A$7:$A$305,0))</x:f>
        <x:v>1</x:v>
      </x:c>
      <x:c r="I601" s="18" t="n">
        <x:f>INDEX('Dated offers'!$G$7:$G$305,MATCH($Z601,'Dated offers'!$A$7:$A$305,0))</x:f>
        <x:v>1</x:v>
      </x:c>
      <x:c r="J601" s="18" t="n">
        <x:f>CEILING(MAX(G601,H601),I601)</x:f>
        <x:v>408</x:v>
      </x:c>
      <x:c r="K601" s="18" t="n">
        <x:v>408</x:v>
      </x:c>
      <x:c r="L601" s="18" t="n">
        <x:f>INDEX('Dated offers'!$I$7:$I$305,MATCH($Z601,'Dated offers'!$A$7:$A$305,0))</x:f>
        <x:v>250</x:v>
      </x:c>
      <x:c r="M601" s="25" t="n">
        <x:f>INDEX('Dated offers'!$J$7:$J$305,MATCH($Z601,'Dated offers'!$A$7:$A$305,0))</x:f>
        <x:v>0.64872</x:v>
      </x:c>
      <x:c r="N601" s="25" t="n">
        <x:f>INDEX('Dated offers'!$K$7:$K$305,MATCH($Z601,'Dated offers'!$A$7:$A$305,0))</x:f>
        <x:v>0</x:v>
      </x:c>
      <x:c r="O601" s="25" t="n">
        <x:f>F601*M601</x:f>
        <x:v>259.488</x:v>
      </x:c>
      <x:c r="P601" s="25" t="n">
        <x:f>G601*M601</x:f>
        <x:v>264.67776</x:v>
      </x:c>
      <x:c r="Q601" s="25" t="n">
        <x:f>K601*M601+N601</x:f>
        <x:v>264.67776</x:v>
      </x:c>
      <x:c r="R601" s="18" t="n">
        <x:f>K601-G601</x:f>
        <x:v>0</x:v>
      </x:c>
      <x:c r="S601" s="18" t="n">
        <x:f>INDEX('Dated offers'!$H$7:$H$305,MATCH($Z601,'Dated offers'!$A$7:$A$305,0))</x:f>
        <x:v>7030</x:v>
      </x:c>
      <x:c r="T601" s="2" t="str">
        <x:f>IF(K601&lt;G601,"Order below requirement",IF(K601&lt;L601,"Below price tier",IF(ISNUMBER(S601),IF(K601&gt;S601,"Quantity exceeds snapshot","Within quantity snapshot"),"Stock not stated")))</x:f>
        <x:v>Within quantity snapshot</x:v>
      </x:c>
      <x:c r="U601" s="2" t="str">
        <x:f>INDEX('Dated offers'!$C$7:$C$305,MATCH($Z601,'Dated offers'!$A$7:$A$305,0))</x:f>
        <x:v>DigiKey</x:v>
      </x:c>
      <x:c r="V601" s="2" t="str">
        <x:f>INDEX('Dated offers'!$D$7:$D$305,MATCH($Z601,'Dated offers'!$A$7:$A$305,0))</x:f>
        <x:v>Not stated</x:v>
      </x:c>
      <x:c r="W601" s="24" t="n">
        <x:f>INDEX('Dated offers'!$E$7:$E$305,MATCH($Z601,'Dated offers'!$A$7:$A$305,0))</x:f>
        <x:v>46307.47807266204</x:v>
      </x:c>
      <x:c r="X601" s="2" t="b">
        <x:f>INDEX('Dated offers'!$N$7:$N$305,MATCH($Z601,'Dated offers'!$A$7:$A$305,0))</x:f>
        <x:v>0</x:v>
      </x:c>
      <x:c r="Y601" s="2" t="str">
        <x:f>INDEX('Dated offers'!$O$7:$O$305,MATCH($Z601,'Dated offers'!$A$7:$A$305,0))</x:f>
        <x:v>Unreserved inventory snapshot</x:v>
      </x:c>
      <x:c r="Z601" s="17" t="str">
        <x:v>OF0269</x:v>
      </x:c>
      <x:c r="AA601" s="2"/>
      <x:c r="AB601" s="2" t="str">
        <x:f>INDEX('Dated offers'!$Q$7:$Q$305,MATCH($Z601,'Dated offers'!$A$7:$A$305,0))</x:f>
        <x:v>https://www.digikey.com/en/products/detail/bourns-inc/SRP5030TA-2R2M/5429671</x:v>
      </x:c>
    </x:row>
    <x:row r="602" ht="24" customHeight="1">
      <x:c r="A602" s="2" t="str">
        <x:v>100 boards / 2% planning</x:v>
      </x:c>
      <x:c r="B602" s="17" t="str">
        <x:v>SRP6030CA-2R2M</x:v>
      </x:c>
      <x:c r="C602" s="18" t="n">
        <x:v>100</x:v>
      </x:c>
      <x:c r="D602" s="27" t="n">
        <x:v>0.02</x:v>
      </x:c>
      <x:c r="E602" s="18" t="n">
        <x:f>INDEX('Assembly BOM'!$C$7:$C$162,MATCH($B602,'Assembly BOM'!$A$7:$A$162,0))</x:f>
        <x:v>1</x:v>
      </x:c>
      <x:c r="F602" s="18" t="n">
        <x:f>C602*E602</x:f>
        <x:v>100</x:v>
      </x:c>
      <x:c r="G602" s="18" t="n">
        <x:f>ROUNDUP(F602*(1+D602),0)</x:f>
        <x:v>102</x:v>
      </x:c>
      <x:c r="H602" s="18" t="n">
        <x:f>INDEX('Dated offers'!$F$7:$F$305,MATCH($Z602,'Dated offers'!$A$7:$A$305,0))</x:f>
        <x:v>1</x:v>
      </x:c>
      <x:c r="I602" s="18" t="n">
        <x:f>INDEX('Dated offers'!$G$7:$G$305,MATCH($Z602,'Dated offers'!$A$7:$A$305,0))</x:f>
        <x:v>1</x:v>
      </x:c>
      <x:c r="J602" s="18" t="n">
        <x:f>CEILING(MAX(G602,H602),I602)</x:f>
        <x:v>102</x:v>
      </x:c>
      <x:c r="K602" s="18" t="n">
        <x:v>102</x:v>
      </x:c>
      <x:c r="L602" s="18" t="n">
        <x:f>INDEX('Dated offers'!$I$7:$I$305,MATCH($Z602,'Dated offers'!$A$7:$A$305,0))</x:f>
        <x:v>100</x:v>
      </x:c>
      <x:c r="M602" s="25" t="n">
        <x:f>INDEX('Dated offers'!$J$7:$J$305,MATCH($Z602,'Dated offers'!$A$7:$A$305,0))</x:f>
        <x:v>1.0704</x:v>
      </x:c>
      <x:c r="N602" s="25" t="n">
        <x:f>INDEX('Dated offers'!$K$7:$K$305,MATCH($Z602,'Dated offers'!$A$7:$A$305,0))</x:f>
        <x:v>0</x:v>
      </x:c>
      <x:c r="O602" s="25" t="n">
        <x:f>F602*M602</x:f>
        <x:v>107.04</x:v>
      </x:c>
      <x:c r="P602" s="25" t="n">
        <x:f>G602*M602</x:f>
        <x:v>109.1808</x:v>
      </x:c>
      <x:c r="Q602" s="25" t="n">
        <x:f>K602*M602+N602</x:f>
        <x:v>109.1808</x:v>
      </x:c>
      <x:c r="R602" s="18" t="n">
        <x:f>K602-G602</x:f>
        <x:v>0</x:v>
      </x:c>
      <x:c r="S602" s="18" t="n">
        <x:f>INDEX('Dated offers'!$H$7:$H$305,MATCH($Z602,'Dated offers'!$A$7:$A$305,0))</x:f>
        <x:v>5195</x:v>
      </x:c>
      <x:c r="T602" s="2" t="str">
        <x:f>IF(K602&lt;G602,"Order below requirement",IF(K602&lt;L602,"Below price tier",IF(ISNUMBER(S602),IF(K602&gt;S602,"Quantity exceeds snapshot","Within quantity snapshot"),"Stock not stated")))</x:f>
        <x:v>Within quantity snapshot</x:v>
      </x:c>
      <x:c r="U602" s="2" t="str">
        <x:f>INDEX('Dated offers'!$C$7:$C$305,MATCH($Z602,'Dated offers'!$A$7:$A$305,0))</x:f>
        <x:v>DigiKey</x:v>
      </x:c>
      <x:c r="V602" s="2" t="str">
        <x:f>INDEX('Dated offers'!$D$7:$D$305,MATCH($Z602,'Dated offers'!$A$7:$A$305,0))</x:f>
        <x:v>Not stated</x:v>
      </x:c>
      <x:c r="W602" s="24" t="n">
        <x:f>INDEX('Dated offers'!$E$7:$E$305,MATCH($Z602,'Dated offers'!$A$7:$A$305,0))</x:f>
        <x:v>46307.47807255787</x:v>
      </x:c>
      <x:c r="X602" s="2" t="b">
        <x:f>INDEX('Dated offers'!$N$7:$N$305,MATCH($Z602,'Dated offers'!$A$7:$A$305,0))</x:f>
        <x:v>0</x:v>
      </x:c>
      <x:c r="Y602" s="2" t="str">
        <x:f>INDEX('Dated offers'!$O$7:$O$305,MATCH($Z602,'Dated offers'!$A$7:$A$305,0))</x:f>
        <x:v>Unreserved inventory snapshot</x:v>
      </x:c>
      <x:c r="Z602" s="17" t="str">
        <x:v>OF0270</x:v>
      </x:c>
      <x:c r="AA602" s="2"/>
      <x:c r="AB602" s="2" t="str">
        <x:f>INDEX('Dated offers'!$Q$7:$Q$305,MATCH($Z602,'Dated offers'!$A$7:$A$305,0))</x:f>
        <x:v>https://www.digikey.com/en/products/detail/bourns-inc/SRP6030CA-2R2M/9351038</x:v>
      </x:c>
    </x:row>
    <x:row r="603" ht="24" customHeight="1">
      <x:c r="A603" s="2" t="str">
        <x:v>100 boards / 2% planning</x:v>
      </x:c>
      <x:c r="B603" s="17" t="str">
        <x:v>SS-7188S-A-NF</x:v>
      </x:c>
      <x:c r="C603" s="18" t="n">
        <x:v>100</x:v>
      </x:c>
      <x:c r="D603" s="27" t="n">
        <x:v>0.02</x:v>
      </x:c>
      <x:c r="E603" s="18" t="n">
        <x:f>INDEX('Assembly BOM'!$C$7:$C$162,MATCH($B603,'Assembly BOM'!$A$7:$A$162,0))</x:f>
        <x:v>1</x:v>
      </x:c>
      <x:c r="F603" s="18" t="n">
        <x:f>C603*E603</x:f>
        <x:v>100</x:v>
      </x:c>
      <x:c r="G603" s="18" t="n">
        <x:f>ROUNDUP(F603*(1+D603),0)</x:f>
        <x:v>102</x:v>
      </x:c>
      <x:c r="H603" s="18" t="n">
        <x:f>INDEX('Dated offers'!$F$7:$F$305,MATCH($Z603,'Dated offers'!$A$7:$A$305,0))</x:f>
        <x:v>1</x:v>
      </x:c>
      <x:c r="I603" s="18" t="n">
        <x:f>INDEX('Dated offers'!$G$7:$G$305,MATCH($Z603,'Dated offers'!$A$7:$A$305,0))</x:f>
        <x:v>1</x:v>
      </x:c>
      <x:c r="J603" s="18" t="n">
        <x:f>CEILING(MAX(G603,H603),I603)</x:f>
        <x:v>102</x:v>
      </x:c>
      <x:c r="K603" s="18" t="n">
        <x:v>102</x:v>
      </x:c>
      <x:c r="L603" s="18" t="n">
        <x:f>INDEX('Dated offers'!$I$7:$I$305,MATCH($Z603,'Dated offers'!$A$7:$A$305,0))</x:f>
        <x:v>66</x:v>
      </x:c>
      <x:c r="M603" s="25" t="n">
        <x:f>INDEX('Dated offers'!$J$7:$J$305,MATCH($Z603,'Dated offers'!$A$7:$A$305,0))</x:f>
        <x:v>2.06515</x:v>
      </x:c>
      <x:c r="N603" s="25" t="n">
        <x:f>INDEX('Dated offers'!$K$7:$K$305,MATCH($Z603,'Dated offers'!$A$7:$A$305,0))</x:f>
        <x:v>0</x:v>
      </x:c>
      <x:c r="O603" s="25" t="n">
        <x:f>F603*M603</x:f>
        <x:v>206.51500000000001</x:v>
      </x:c>
      <x:c r="P603" s="25" t="n">
        <x:f>G603*M603</x:f>
        <x:v>210.6453</x:v>
      </x:c>
      <x:c r="Q603" s="25" t="n">
        <x:f>K603*M603+N603</x:f>
        <x:v>210.6453</x:v>
      </x:c>
      <x:c r="R603" s="18" t="n">
        <x:f>K603-G603</x:f>
        <x:v>0</x:v>
      </x:c>
      <x:c r="S603" s="18" t="n">
        <x:f>INDEX('Dated offers'!$H$7:$H$305,MATCH($Z603,'Dated offers'!$A$7:$A$305,0))</x:f>
        <x:v>5038</x:v>
      </x:c>
      <x:c r="T603" s="2" t="str">
        <x:f>IF(K603&lt;G603,"Order below requirement",IF(K603&lt;L603,"Below price tier",IF(ISNUMBER(S603),IF(K603&gt;S603,"Quantity exceeds snapshot","Within quantity snapshot"),"Stock not stated")))</x:f>
        <x:v>Within quantity snapshot</x:v>
      </x:c>
      <x:c r="U603" s="2" t="str">
        <x:f>INDEX('Dated offers'!$C$7:$C$305,MATCH($Z603,'Dated offers'!$A$7:$A$305,0))</x:f>
        <x:v>DigiKey</x:v>
      </x:c>
      <x:c r="V603" s="2" t="str">
        <x:f>INDEX('Dated offers'!$D$7:$D$305,MATCH($Z603,'Dated offers'!$A$7:$A$305,0))</x:f>
        <x:v>Not stated</x:v>
      </x:c>
      <x:c r="W603" s="24" t="n">
        <x:f>INDEX('Dated offers'!$E$7:$E$305,MATCH($Z603,'Dated offers'!$A$7:$A$305,0))</x:f>
        <x:v>46307.478072592596</x:v>
      </x:c>
      <x:c r="X603" s="2" t="b">
        <x:f>INDEX('Dated offers'!$N$7:$N$305,MATCH($Z603,'Dated offers'!$A$7:$A$305,0))</x:f>
        <x:v>0</x:v>
      </x:c>
      <x:c r="Y603" s="2" t="str">
        <x:f>INDEX('Dated offers'!$O$7:$O$305,MATCH($Z603,'Dated offers'!$A$7:$A$305,0))</x:f>
        <x:v>Unreserved inventory snapshot</x:v>
      </x:c>
      <x:c r="Z603" s="17" t="str">
        <x:v>OF0271</x:v>
      </x:c>
      <x:c r="AA603" s="2"/>
      <x:c r="AB603" s="2" t="str">
        <x:f>INDEX('Dated offers'!$Q$7:$Q$305,MATCH($Z603,'Dated offers'!$A$7:$A$305,0))</x:f>
        <x:v>https://www.digikey.com/en/products/detail/stewart-connector/SS-7188S-A-NF/388309</x:v>
      </x:c>
    </x:row>
    <x:row r="604" ht="24" customHeight="1">
      <x:c r="A604" s="2" t="str">
        <x:v>100 boards / 2% planning</x:v>
      </x:c>
      <x:c r="B604" s="17" t="str">
        <x:v>ST4SI3M004600HFW</x:v>
      </x:c>
      <x:c r="C604" s="18" t="n">
        <x:v>100</x:v>
      </x:c>
      <x:c r="D604" s="27" t="n">
        <x:v>0.02</x:v>
      </x:c>
      <x:c r="E604" s="18" t="n">
        <x:f>INDEX('Assembly BOM'!$C$7:$C$162,MATCH($B604,'Assembly BOM'!$A$7:$A$162,0))</x:f>
        <x:v>1</x:v>
      </x:c>
      <x:c r="F604" s="18" t="n">
        <x:f>C604*E604</x:f>
        <x:v>100</x:v>
      </x:c>
      <x:c r="G604" s="18" t="n">
        <x:f>ROUNDUP(F604*(1+D604),0)</x:f>
        <x:v>102</x:v>
      </x:c>
      <x:c r="H604" s="18" t="n">
        <x:f>INDEX('Dated offers'!$F$7:$F$305,MATCH($Z604,'Dated offers'!$A$7:$A$305,0))</x:f>
        <x:v>1</x:v>
      </x:c>
      <x:c r="I604" s="18" t="n">
        <x:f>INDEX('Dated offers'!$G$7:$G$305,MATCH($Z604,'Dated offers'!$A$7:$A$305,0))</x:f>
        <x:v>1</x:v>
      </x:c>
      <x:c r="J604" s="18" t="n">
        <x:f>CEILING(MAX(G604,H604),I604)</x:f>
        <x:v>102</x:v>
      </x:c>
      <x:c r="K604" s="18" t="n">
        <x:v>102</x:v>
      </x:c>
      <x:c r="L604" s="18" t="n">
        <x:f>INDEX('Dated offers'!$I$7:$I$305,MATCH($Z604,'Dated offers'!$A$7:$A$305,0))</x:f>
        <x:v>100</x:v>
      </x:c>
      <x:c r="M604" s="25" t="n">
        <x:f>INDEX('Dated offers'!$J$7:$J$305,MATCH($Z604,'Dated offers'!$A$7:$A$305,0))</x:f>
        <x:v>2.9856</x:v>
      </x:c>
      <x:c r="N604" s="25" t="n">
        <x:f>INDEX('Dated offers'!$K$7:$K$305,MATCH($Z604,'Dated offers'!$A$7:$A$305,0))</x:f>
        <x:v>0</x:v>
      </x:c>
      <x:c r="O604" s="25" t="n">
        <x:f>F604*M604</x:f>
        <x:v>298.56</x:v>
      </x:c>
      <x:c r="P604" s="25" t="n">
        <x:f>G604*M604</x:f>
        <x:v>304.53119999999996</x:v>
      </x:c>
      <x:c r="Q604" s="25" t="n">
        <x:f>K604*M604+N604</x:f>
        <x:v>304.53119999999996</x:v>
      </x:c>
      <x:c r="R604" s="18" t="n">
        <x:f>K604-G604</x:f>
        <x:v>0</x:v>
      </x:c>
      <x:c r="S604" s="18" t="n">
        <x:f>INDEX('Dated offers'!$H$7:$H$305,MATCH($Z604,'Dated offers'!$A$7:$A$305,0))</x:f>
        <x:v>978</x:v>
      </x:c>
      <x:c r="T604" s="2" t="str">
        <x:f>IF(K604&lt;G604,"Order below requirement",IF(K604&lt;L604,"Below price tier",IF(ISNUMBER(S604),IF(K604&gt;S604,"Quantity exceeds snapshot","Within quantity snapshot"),"Stock not stated")))</x:f>
        <x:v>Within quantity snapshot</x:v>
      </x:c>
      <x:c r="U604" s="2" t="str">
        <x:f>INDEX('Dated offers'!$C$7:$C$305,MATCH($Z604,'Dated offers'!$A$7:$A$305,0))</x:f>
        <x:v>DigiKey</x:v>
      </x:c>
      <x:c r="V604" s="2" t="str">
        <x:f>INDEX('Dated offers'!$D$7:$D$305,MATCH($Z604,'Dated offers'!$A$7:$A$305,0))</x:f>
        <x:v>Not stated</x:v>
      </x:c>
      <x:c r="W604" s="24" t="n">
        <x:f>INDEX('Dated offers'!$E$7:$E$305,MATCH($Z604,'Dated offers'!$A$7:$A$305,0))</x:f>
        <x:v>46307.478072592596</x:v>
      </x:c>
      <x:c r="X604" s="2" t="b">
        <x:f>INDEX('Dated offers'!$N$7:$N$305,MATCH($Z604,'Dated offers'!$A$7:$A$305,0))</x:f>
        <x:v>0</x:v>
      </x:c>
      <x:c r="Y604" s="2" t="str">
        <x:f>INDEX('Dated offers'!$O$7:$O$305,MATCH($Z604,'Dated offers'!$A$7:$A$305,0))</x:f>
        <x:v>Unreserved inventory snapshot</x:v>
      </x:c>
      <x:c r="Z604" s="17" t="str">
        <x:v>OF0272</x:v>
      </x:c>
      <x:c r="AA604" s="2"/>
      <x:c r="AB604" s="2" t="str">
        <x:f>INDEX('Dated offers'!$Q$7:$Q$305,MATCH($Z604,'Dated offers'!$A$7:$A$305,0))</x:f>
        <x:v>https://www.digikey.com/en/products/detail/stmicroelectronics/ST4SI3M004600HFW/27684322</x:v>
      </x:c>
    </x:row>
    <x:row r="605" ht="24" customHeight="1">
      <x:c r="A605" s="2" t="str">
        <x:v>100 boards / 2% planning</x:v>
      </x:c>
      <x:c r="B605" s="17" t="str">
        <x:v>TLV7011DBVR</x:v>
      </x:c>
      <x:c r="C605" s="18" t="n">
        <x:v>100</x:v>
      </x:c>
      <x:c r="D605" s="27" t="n">
        <x:v>0.02</x:v>
      </x:c>
      <x:c r="E605" s="18" t="n">
        <x:f>INDEX('Assembly BOM'!$C$7:$C$162,MATCH($B605,'Assembly BOM'!$A$7:$A$162,0))</x:f>
        <x:v>1</x:v>
      </x:c>
      <x:c r="F605" s="18" t="n">
        <x:f>C605*E605</x:f>
        <x:v>100</x:v>
      </x:c>
      <x:c r="G605" s="18" t="n">
        <x:f>ROUNDUP(F605*(1+D605),0)</x:f>
        <x:v>102</x:v>
      </x:c>
      <x:c r="H605" s="18" t="n">
        <x:f>INDEX('Dated offers'!$F$7:$F$305,MATCH($Z605,'Dated offers'!$A$7:$A$305,0))</x:f>
        <x:v>1</x:v>
      </x:c>
      <x:c r="I605" s="18" t="n">
        <x:f>INDEX('Dated offers'!$G$7:$G$305,MATCH($Z605,'Dated offers'!$A$7:$A$305,0))</x:f>
        <x:v>1</x:v>
      </x:c>
      <x:c r="J605" s="18" t="n">
        <x:f>CEILING(MAX(G605,H605),I605)</x:f>
        <x:v>102</x:v>
      </x:c>
      <x:c r="K605" s="18" t="n">
        <x:v>102</x:v>
      </x:c>
      <x:c r="L605" s="18" t="n">
        <x:f>INDEX('Dated offers'!$I$7:$I$305,MATCH($Z605,'Dated offers'!$A$7:$A$305,0))</x:f>
        <x:v>100</x:v>
      </x:c>
      <x:c r="M605" s="25" t="n">
        <x:f>INDEX('Dated offers'!$J$7:$J$305,MATCH($Z605,'Dated offers'!$A$7:$A$305,0))</x:f>
        <x:v>0.3368</x:v>
      </x:c>
      <x:c r="N605" s="25" t="n">
        <x:f>INDEX('Dated offers'!$K$7:$K$305,MATCH($Z605,'Dated offers'!$A$7:$A$305,0))</x:f>
        <x:v>0</x:v>
      </x:c>
      <x:c r="O605" s="25" t="n">
        <x:f>F605*M605</x:f>
        <x:v>33.68</x:v>
      </x:c>
      <x:c r="P605" s="25" t="n">
        <x:f>G605*M605</x:f>
        <x:v>34.3536</x:v>
      </x:c>
      <x:c r="Q605" s="25" t="n">
        <x:f>K605*M605+N605</x:f>
        <x:v>34.3536</x:v>
      </x:c>
      <x:c r="R605" s="18" t="n">
        <x:f>K605-G605</x:f>
        <x:v>0</x:v>
      </x:c>
      <x:c r="S605" s="18" t="n">
        <x:f>INDEX('Dated offers'!$H$7:$H$305,MATCH($Z605,'Dated offers'!$A$7:$A$305,0))</x:f>
        <x:v>7083</x:v>
      </x:c>
      <x:c r="T605" s="2" t="str">
        <x:f>IF(K605&lt;G605,"Order below requirement",IF(K605&lt;L605,"Below price tier",IF(ISNUMBER(S605),IF(K605&gt;S605,"Quantity exceeds snapshot","Within quantity snapshot"),"Stock not stated")))</x:f>
        <x:v>Within quantity snapshot</x:v>
      </x:c>
      <x:c r="U605" s="2" t="str">
        <x:f>INDEX('Dated offers'!$C$7:$C$305,MATCH($Z605,'Dated offers'!$A$7:$A$305,0))</x:f>
        <x:v>LCSC</x:v>
      </x:c>
      <x:c r="V605" s="2" t="str">
        <x:f>INDEX('Dated offers'!$D$7:$D$305,MATCH($Z605,'Dated offers'!$A$7:$A$305,0))</x:f>
        <x:v>C702117</x:v>
      </x:c>
      <x:c r="W605" s="24" t="n">
        <x:f>INDEX('Dated offers'!$E$7:$E$305,MATCH($Z605,'Dated offers'!$A$7:$A$305,0))</x:f>
        <x:v>46307.44747554398</x:v>
      </x:c>
      <x:c r="X605" s="2" t="b">
        <x:f>INDEX('Dated offers'!$N$7:$N$305,MATCH($Z605,'Dated offers'!$A$7:$A$305,0))</x:f>
        <x:v>0</x:v>
      </x:c>
      <x:c r="Y605" s="2" t="str">
        <x:f>INDEX('Dated offers'!$O$7:$O$305,MATCH($Z605,'Dated offers'!$A$7:$A$305,0))</x:f>
        <x:v>Unreserved inventory snapshot</x:v>
      </x:c>
      <x:c r="Z605" s="17" t="str">
        <x:v>OF0273</x:v>
      </x:c>
      <x:c r="AA605" s="2"/>
      <x:c r="AB605" s="2" t="str">
        <x:f>INDEX('Dated offers'!$Q$7:$Q$305,MATCH($Z605,'Dated offers'!$A$7:$A$305,0))</x:f>
        <x:v>https://www.lcsc.com/product-detail/C702117.html</x:v>
      </x:c>
    </x:row>
    <x:row r="606" ht="24" customHeight="1">
      <x:c r="A606" s="2" t="str">
        <x:v>100 boards / 2% planning</x:v>
      </x:c>
      <x:c r="B606" s="17" t="str">
        <x:v>TMP102AIDRLR</x:v>
      </x:c>
      <x:c r="C606" s="18" t="n">
        <x:v>100</x:v>
      </x:c>
      <x:c r="D606" s="27" t="n">
        <x:v>0.02</x:v>
      </x:c>
      <x:c r="E606" s="18" t="n">
        <x:f>INDEX('Assembly BOM'!$C$7:$C$162,MATCH($B606,'Assembly BOM'!$A$7:$A$162,0))</x:f>
        <x:v>1</x:v>
      </x:c>
      <x:c r="F606" s="18" t="n">
        <x:f>C606*E606</x:f>
        <x:v>100</x:v>
      </x:c>
      <x:c r="G606" s="18" t="n">
        <x:f>ROUNDUP(F606*(1+D606),0)</x:f>
        <x:v>102</x:v>
      </x:c>
      <x:c r="H606" s="18" t="n">
        <x:f>INDEX('Dated offers'!$F$7:$F$305,MATCH($Z606,'Dated offers'!$A$7:$A$305,0))</x:f>
        <x:v>1</x:v>
      </x:c>
      <x:c r="I606" s="18" t="n">
        <x:f>INDEX('Dated offers'!$G$7:$G$305,MATCH($Z606,'Dated offers'!$A$7:$A$305,0))</x:f>
        <x:v>1</x:v>
      </x:c>
      <x:c r="J606" s="18" t="n">
        <x:f>CEILING(MAX(G606,H606),I606)</x:f>
        <x:v>102</x:v>
      </x:c>
      <x:c r="K606" s="18" t="n">
        <x:v>102</x:v>
      </x:c>
      <x:c r="L606" s="18" t="n">
        <x:f>INDEX('Dated offers'!$I$7:$I$305,MATCH($Z606,'Dated offers'!$A$7:$A$305,0))</x:f>
        <x:v>100</x:v>
      </x:c>
      <x:c r="M606" s="25" t="n">
        <x:f>INDEX('Dated offers'!$J$7:$J$305,MATCH($Z606,'Dated offers'!$A$7:$A$305,0))</x:f>
        <x:v>0.467</x:v>
      </x:c>
      <x:c r="N606" s="25" t="n">
        <x:f>INDEX('Dated offers'!$K$7:$K$305,MATCH($Z606,'Dated offers'!$A$7:$A$305,0))</x:f>
        <x:v>0</x:v>
      </x:c>
      <x:c r="O606" s="25" t="n">
        <x:f>F606*M606</x:f>
        <x:v>46.7</x:v>
      </x:c>
      <x:c r="P606" s="25" t="n">
        <x:f>G606*M606</x:f>
        <x:v>47.634</x:v>
      </x:c>
      <x:c r="Q606" s="25" t="n">
        <x:f>K606*M606+N606</x:f>
        <x:v>47.634</x:v>
      </x:c>
      <x:c r="R606" s="18" t="n">
        <x:f>K606-G606</x:f>
        <x:v>0</x:v>
      </x:c>
      <x:c r="S606" s="18" t="n">
        <x:f>INDEX('Dated offers'!$H$7:$H$305,MATCH($Z606,'Dated offers'!$A$7:$A$305,0))</x:f>
        <x:v>37099</x:v>
      </x:c>
      <x:c r="T606" s="2" t="str">
        <x:f>IF(K606&lt;G606,"Order below requirement",IF(K606&lt;L606,"Below price tier",IF(ISNUMBER(S606),IF(K606&gt;S606,"Quantity exceeds snapshot","Within quantity snapshot"),"Stock not stated")))</x:f>
        <x:v>Within quantity snapshot</x:v>
      </x:c>
      <x:c r="U606" s="2" t="str">
        <x:f>INDEX('Dated offers'!$C$7:$C$305,MATCH($Z606,'Dated offers'!$A$7:$A$305,0))</x:f>
        <x:v>LCSC</x:v>
      </x:c>
      <x:c r="V606" s="2" t="str">
        <x:f>INDEX('Dated offers'!$D$7:$D$305,MATCH($Z606,'Dated offers'!$A$7:$A$305,0))</x:f>
        <x:v>C99269</x:v>
      </x:c>
      <x:c r="W606" s="24" t="n">
        <x:f>INDEX('Dated offers'!$E$7:$E$305,MATCH($Z606,'Dated offers'!$A$7:$A$305,0))</x:f>
        <x:v>46307.447477141206</x:v>
      </x:c>
      <x:c r="X606" s="2" t="b">
        <x:f>INDEX('Dated offers'!$N$7:$N$305,MATCH($Z606,'Dated offers'!$A$7:$A$305,0))</x:f>
        <x:v>0</x:v>
      </x:c>
      <x:c r="Y606" s="2" t="str">
        <x:f>INDEX('Dated offers'!$O$7:$O$305,MATCH($Z606,'Dated offers'!$A$7:$A$305,0))</x:f>
        <x:v>Unreserved inventory snapshot</x:v>
      </x:c>
      <x:c r="Z606" s="17" t="str">
        <x:v>OF0274</x:v>
      </x:c>
      <x:c r="AA606" s="2"/>
      <x:c r="AB606" s="2" t="str">
        <x:f>INDEX('Dated offers'!$Q$7:$Q$305,MATCH($Z606,'Dated offers'!$A$7:$A$305,0))</x:f>
        <x:v>https://www.lcsc.com/product-detail/C99269.html</x:v>
      </x:c>
    </x:row>
    <x:row r="607" ht="24" customHeight="1">
      <x:c r="A607" s="2" t="str">
        <x:v>100 boards / 2% planning</x:v>
      </x:c>
      <x:c r="B607" s="17" t="str">
        <x:v>TMUX1511PWR</x:v>
      </x:c>
      <x:c r="C607" s="18" t="n">
        <x:v>100</x:v>
      </x:c>
      <x:c r="D607" s="27" t="n">
        <x:v>0.02</x:v>
      </x:c>
      <x:c r="E607" s="18" t="n">
        <x:f>INDEX('Assembly BOM'!$C$7:$C$162,MATCH($B607,'Assembly BOM'!$A$7:$A$162,0))</x:f>
        <x:v>3</x:v>
      </x:c>
      <x:c r="F607" s="18" t="n">
        <x:f>C607*E607</x:f>
        <x:v>300</x:v>
      </x:c>
      <x:c r="G607" s="18" t="n">
        <x:f>ROUNDUP(F607*(1+D607),0)</x:f>
        <x:v>306</x:v>
      </x:c>
      <x:c r="H607" s="18" t="n">
        <x:f>INDEX('Dated offers'!$F$7:$F$305,MATCH($Z607,'Dated offers'!$A$7:$A$305,0))</x:f>
        <x:v>1</x:v>
      </x:c>
      <x:c r="I607" s="18" t="n">
        <x:f>INDEX('Dated offers'!$G$7:$G$305,MATCH($Z607,'Dated offers'!$A$7:$A$305,0))</x:f>
        <x:v>1</x:v>
      </x:c>
      <x:c r="J607" s="18" t="n">
        <x:f>CEILING(MAX(G607,H607),I607)</x:f>
        <x:v>306</x:v>
      </x:c>
      <x:c r="K607" s="18" t="n">
        <x:v>306</x:v>
      </x:c>
      <x:c r="L607" s="18" t="n">
        <x:f>INDEX('Dated offers'!$I$7:$I$305,MATCH($Z607,'Dated offers'!$A$7:$A$305,0))</x:f>
        <x:v>100</x:v>
      </x:c>
      <x:c r="M607" s="25" t="n">
        <x:f>INDEX('Dated offers'!$J$7:$J$305,MATCH($Z607,'Dated offers'!$A$7:$A$305,0))</x:f>
        <x:v>0.2911</x:v>
      </x:c>
      <x:c r="N607" s="25" t="n">
        <x:f>INDEX('Dated offers'!$K$7:$K$305,MATCH($Z607,'Dated offers'!$A$7:$A$305,0))</x:f>
        <x:v>0</x:v>
      </x:c>
      <x:c r="O607" s="25" t="n">
        <x:f>F607*M607</x:f>
        <x:v>87.33000000000001</x:v>
      </x:c>
      <x:c r="P607" s="25" t="n">
        <x:f>G607*M607</x:f>
        <x:v>89.07660000000001</x:v>
      </x:c>
      <x:c r="Q607" s="25" t="n">
        <x:f>K607*M607+N607</x:f>
        <x:v>89.07660000000001</x:v>
      </x:c>
      <x:c r="R607" s="18" t="n">
        <x:f>K607-G607</x:f>
        <x:v>0</x:v>
      </x:c>
      <x:c r="S607" s="18" t="n">
        <x:f>INDEX('Dated offers'!$H$7:$H$305,MATCH($Z607,'Dated offers'!$A$7:$A$305,0))</x:f>
        <x:v>8282</x:v>
      </x:c>
      <x:c r="T607" s="2" t="str">
        <x:f>IF(K607&lt;G607,"Order below requirement",IF(K607&lt;L607,"Below price tier",IF(ISNUMBER(S607),IF(K607&gt;S607,"Quantity exceeds snapshot","Within quantity snapshot"),"Stock not stated")))</x:f>
        <x:v>Within quantity snapshot</x:v>
      </x:c>
      <x:c r="U607" s="2" t="str">
        <x:f>INDEX('Dated offers'!$C$7:$C$305,MATCH($Z607,'Dated offers'!$A$7:$A$305,0))</x:f>
        <x:v>LCSC</x:v>
      </x:c>
      <x:c r="V607" s="2" t="str">
        <x:f>INDEX('Dated offers'!$D$7:$D$305,MATCH($Z607,'Dated offers'!$A$7:$A$305,0))</x:f>
        <x:v>C2866750</x:v>
      </x:c>
      <x:c r="W607" s="24" t="n">
        <x:f>INDEX('Dated offers'!$E$7:$E$305,MATCH($Z607,'Dated offers'!$A$7:$A$305,0))</x:f>
        <x:v>46307.4474805787</x:v>
      </x:c>
      <x:c r="X607" s="2" t="b">
        <x:f>INDEX('Dated offers'!$N$7:$N$305,MATCH($Z607,'Dated offers'!$A$7:$A$305,0))</x:f>
        <x:v>0</x:v>
      </x:c>
      <x:c r="Y607" s="2" t="str">
        <x:f>INDEX('Dated offers'!$O$7:$O$305,MATCH($Z607,'Dated offers'!$A$7:$A$305,0))</x:f>
        <x:v>Unreserved inventory snapshot</x:v>
      </x:c>
      <x:c r="Z607" s="17" t="str">
        <x:v>OF0275</x:v>
      </x:c>
      <x:c r="AA607" s="2"/>
      <x:c r="AB607" s="2" t="str">
        <x:f>INDEX('Dated offers'!$Q$7:$Q$305,MATCH($Z607,'Dated offers'!$A$7:$A$305,0))</x:f>
        <x:v>https://www.lcsc.com/product-detail/C2866750.html</x:v>
      </x:c>
    </x:row>
    <x:row r="608" ht="24" customHeight="1">
      <x:c r="A608" s="2" t="str">
        <x:v>100 boards / 2% planning</x:v>
      </x:c>
      <x:c r="B608" s="17" t="str">
        <x:v>TNPW0402100KBEED</x:v>
      </x:c>
      <x:c r="C608" s="18" t="n">
        <x:v>100</x:v>
      </x:c>
      <x:c r="D608" s="27" t="n">
        <x:v>0.02</x:v>
      </x:c>
      <x:c r="E608" s="18" t="n">
        <x:f>INDEX('Assembly BOM'!$C$7:$C$162,MATCH($B608,'Assembly BOM'!$A$7:$A$162,0))</x:f>
        <x:v>3</x:v>
      </x:c>
      <x:c r="F608" s="18" t="n">
        <x:f>C608*E608</x:f>
        <x:v>300</x:v>
      </x:c>
      <x:c r="G608" s="18" t="n">
        <x:f>ROUNDUP(F608*(1+D608),0)</x:f>
        <x:v>306</x:v>
      </x:c>
      <x:c r="H608" s="18" t="n">
        <x:f>INDEX('Dated offers'!$F$7:$F$305,MATCH($Z608,'Dated offers'!$A$7:$A$305,0))</x:f>
        <x:v>1</x:v>
      </x:c>
      <x:c r="I608" s="18" t="n">
        <x:f>INDEX('Dated offers'!$G$7:$G$305,MATCH($Z608,'Dated offers'!$A$7:$A$305,0))</x:f>
        <x:v>1</x:v>
      </x:c>
      <x:c r="J608" s="18" t="n">
        <x:f>CEILING(MAX(G608,H608),I608)</x:f>
        <x:v>306</x:v>
      </x:c>
      <x:c r="K608" s="18" t="n">
        <x:v>306</x:v>
      </x:c>
      <x:c r="L608" s="18" t="n">
        <x:f>INDEX('Dated offers'!$I$7:$I$305,MATCH($Z608,'Dated offers'!$A$7:$A$305,0))</x:f>
        <x:v>100</x:v>
      </x:c>
      <x:c r="M608" s="25" t="n">
        <x:f>INDEX('Dated offers'!$J$7:$J$305,MATCH($Z608,'Dated offers'!$A$7:$A$305,0))</x:f>
        <x:v>0.1812</x:v>
      </x:c>
      <x:c r="N608" s="25" t="n">
        <x:f>INDEX('Dated offers'!$K$7:$K$305,MATCH($Z608,'Dated offers'!$A$7:$A$305,0))</x:f>
        <x:v>0</x:v>
      </x:c>
      <x:c r="O608" s="25" t="n">
        <x:f>F608*M608</x:f>
        <x:v>54.36</x:v>
      </x:c>
      <x:c r="P608" s="25" t="n">
        <x:f>G608*M608</x:f>
        <x:v>55.4472</x:v>
      </x:c>
      <x:c r="Q608" s="25" t="n">
        <x:f>K608*M608+N608</x:f>
        <x:v>55.4472</x:v>
      </x:c>
      <x:c r="R608" s="18" t="n">
        <x:f>K608-G608</x:f>
        <x:v>0</x:v>
      </x:c>
      <x:c r="S608" s="18" t="n">
        <x:f>INDEX('Dated offers'!$H$7:$H$305,MATCH($Z608,'Dated offers'!$A$7:$A$305,0))</x:f>
        <x:v>244638</x:v>
      </x:c>
      <x:c r="T608" s="2" t="str">
        <x:f>IF(K608&lt;G608,"Order below requirement",IF(K608&lt;L608,"Below price tier",IF(ISNUMBER(S608),IF(K608&gt;S608,"Quantity exceeds snapshot","Within quantity snapshot"),"Stock not stated")))</x:f>
        <x:v>Within quantity snapshot</x:v>
      </x:c>
      <x:c r="U608" s="2" t="str">
        <x:f>INDEX('Dated offers'!$C$7:$C$305,MATCH($Z608,'Dated offers'!$A$7:$A$305,0))</x:f>
        <x:v>DigiKey</x:v>
      </x:c>
      <x:c r="V608" s="2" t="str">
        <x:f>INDEX('Dated offers'!$D$7:$D$305,MATCH($Z608,'Dated offers'!$A$7:$A$305,0))</x:f>
        <x:v>Not stated</x:v>
      </x:c>
      <x:c r="W608" s="24" t="n">
        <x:f>INDEX('Dated offers'!$E$7:$E$305,MATCH($Z608,'Dated offers'!$A$7:$A$305,0))</x:f>
        <x:v>46307.478072592596</x:v>
      </x:c>
      <x:c r="X608" s="2" t="b">
        <x:f>INDEX('Dated offers'!$N$7:$N$305,MATCH($Z608,'Dated offers'!$A$7:$A$305,0))</x:f>
        <x:v>0</x:v>
      </x:c>
      <x:c r="Y608" s="2" t="str">
        <x:f>INDEX('Dated offers'!$O$7:$O$305,MATCH($Z608,'Dated offers'!$A$7:$A$305,0))</x:f>
        <x:v>Unreserved inventory snapshot</x:v>
      </x:c>
      <x:c r="Z608" s="17" t="str">
        <x:v>OF0276</x:v>
      </x:c>
      <x:c r="AA608" s="2"/>
      <x:c r="AB608" s="2" t="str">
        <x:f>INDEX('Dated offers'!$Q$7:$Q$305,MATCH($Z608,'Dated offers'!$A$7:$A$305,0))</x:f>
        <x:v>https://www.digikey.com/en/products/detail/vishay-dale/TNPW0402100KBEED/1857037</x:v>
      </x:c>
    </x:row>
    <x:row r="609" ht="24" customHeight="1">
      <x:c r="A609" s="2" t="str">
        <x:v>100 boards / 2% planning</x:v>
      </x:c>
      <x:c r="B609" s="17" t="str">
        <x:v>TNPW040210K0BEED</x:v>
      </x:c>
      <x:c r="C609" s="18" t="n">
        <x:v>100</x:v>
      </x:c>
      <x:c r="D609" s="27" t="n">
        <x:v>0.02</x:v>
      </x:c>
      <x:c r="E609" s="18" t="n">
        <x:f>INDEX('Assembly BOM'!$C$7:$C$162,MATCH($B609,'Assembly BOM'!$A$7:$A$162,0))</x:f>
        <x:v>18</x:v>
      </x:c>
      <x:c r="F609" s="18" t="n">
        <x:f>C609*E609</x:f>
        <x:v>1800</x:v>
      </x:c>
      <x:c r="G609" s="18" t="n">
        <x:f>ROUNDUP(F609*(1+D609),0)</x:f>
        <x:v>1836</x:v>
      </x:c>
      <x:c r="H609" s="18" t="n">
        <x:f>INDEX('Dated offers'!$F$7:$F$305,MATCH($Z609,'Dated offers'!$A$7:$A$305,0))</x:f>
        <x:v>10</x:v>
      </x:c>
      <x:c r="I609" s="18" t="n">
        <x:f>INDEX('Dated offers'!$G$7:$G$305,MATCH($Z609,'Dated offers'!$A$7:$A$305,0))</x:f>
        <x:v>10</x:v>
      </x:c>
      <x:c r="J609" s="18" t="n">
        <x:f>CEILING(MAX(G609,H609),I609)</x:f>
        <x:v>1840</x:v>
      </x:c>
      <x:c r="K609" s="18" t="n">
        <x:v>1840</x:v>
      </x:c>
      <x:c r="L609" s="18" t="n">
        <x:f>INDEX('Dated offers'!$I$7:$I$305,MATCH($Z609,'Dated offers'!$A$7:$A$305,0))</x:f>
        <x:v>1000</x:v>
      </x:c>
      <x:c r="M609" s="25" t="n">
        <x:f>INDEX('Dated offers'!$J$7:$J$305,MATCH($Z609,'Dated offers'!$A$7:$A$305,0))</x:f>
        <x:v>0.0411</x:v>
      </x:c>
      <x:c r="N609" s="25" t="n">
        <x:f>INDEX('Dated offers'!$K$7:$K$305,MATCH($Z609,'Dated offers'!$A$7:$A$305,0))</x:f>
        <x:v>0</x:v>
      </x:c>
      <x:c r="O609" s="25" t="n">
        <x:f>F609*M609</x:f>
        <x:v>73.97999999999999</x:v>
      </x:c>
      <x:c r="P609" s="25" t="n">
        <x:f>G609*M609</x:f>
        <x:v>75.4596</x:v>
      </x:c>
      <x:c r="Q609" s="25" t="n">
        <x:f>K609*M609+N609</x:f>
        <x:v>75.624</x:v>
      </x:c>
      <x:c r="R609" s="18" t="n">
        <x:f>K609-G609</x:f>
        <x:v>4</x:v>
      </x:c>
      <x:c r="S609" s="18" t="n">
        <x:f>INDEX('Dated offers'!$H$7:$H$305,MATCH($Z609,'Dated offers'!$A$7:$A$305,0))</x:f>
        <x:v>44520</x:v>
      </x:c>
      <x:c r="T609" s="2" t="str">
        <x:f>IF(K609&lt;G609,"Order below requirement",IF(K609&lt;L609,"Below price tier",IF(ISNUMBER(S609),IF(K609&gt;S609,"Quantity exceeds snapshot","Within quantity snapshot"),"Stock not stated")))</x:f>
        <x:v>Within quantity snapshot</x:v>
      </x:c>
      <x:c r="U609" s="2" t="str">
        <x:f>INDEX('Dated offers'!$C$7:$C$305,MATCH($Z609,'Dated offers'!$A$7:$A$305,0))</x:f>
        <x:v>LCSC</x:v>
      </x:c>
      <x:c r="V609" s="2" t="str">
        <x:f>INDEX('Dated offers'!$D$7:$D$305,MATCH($Z609,'Dated offers'!$A$7:$A$305,0))</x:f>
        <x:v>C844452</x:v>
      </x:c>
      <x:c r="W609" s="24" t="n">
        <x:f>INDEX('Dated offers'!$E$7:$E$305,MATCH($Z609,'Dated offers'!$A$7:$A$305,0))</x:f>
        <x:v>46307.447482916665</x:v>
      </x:c>
      <x:c r="X609" s="2" t="b">
        <x:f>INDEX('Dated offers'!$N$7:$N$305,MATCH($Z609,'Dated offers'!$A$7:$A$305,0))</x:f>
        <x:v>0</x:v>
      </x:c>
      <x:c r="Y609" s="2" t="str">
        <x:f>INDEX('Dated offers'!$O$7:$O$305,MATCH($Z609,'Dated offers'!$A$7:$A$305,0))</x:f>
        <x:v>Unreserved inventory snapshot</x:v>
      </x:c>
      <x:c r="Z609" s="17" t="str">
        <x:v>OF0277</x:v>
      </x:c>
      <x:c r="AA609" s="2"/>
      <x:c r="AB609" s="2" t="str">
        <x:f>INDEX('Dated offers'!$Q$7:$Q$305,MATCH($Z609,'Dated offers'!$A$7:$A$305,0))</x:f>
        <x:v>https://www.lcsc.com/product-detail/C844452.html</x:v>
      </x:c>
    </x:row>
    <x:row r="610" ht="24" customHeight="1">
      <x:c r="A610" s="2" t="str">
        <x:v>100 boards / 2% planning</x:v>
      </x:c>
      <x:c r="B610" s="17" t="str">
        <x:v>TNPW04021K24BEED</x:v>
      </x:c>
      <x:c r="C610" s="18" t="n">
        <x:v>100</x:v>
      </x:c>
      <x:c r="D610" s="27" t="n">
        <x:v>0.02</x:v>
      </x:c>
      <x:c r="E610" s="18" t="n">
        <x:f>INDEX('Assembly BOM'!$C$7:$C$162,MATCH($B610,'Assembly BOM'!$A$7:$A$162,0))</x:f>
        <x:v>1</x:v>
      </x:c>
      <x:c r="F610" s="18" t="n">
        <x:f>C610*E610</x:f>
        <x:v>100</x:v>
      </x:c>
      <x:c r="G610" s="18" t="n">
        <x:f>ROUNDUP(F610*(1+D610),0)</x:f>
        <x:v>102</x:v>
      </x:c>
      <x:c r="H610" s="18" t="n">
        <x:f>INDEX('Dated offers'!$F$7:$F$305,MATCH($Z610,'Dated offers'!$A$7:$A$305,0))</x:f>
        <x:v>1</x:v>
      </x:c>
      <x:c r="I610" s="18" t="n">
        <x:f>INDEX('Dated offers'!$G$7:$G$305,MATCH($Z610,'Dated offers'!$A$7:$A$305,0))</x:f>
        <x:v>1</x:v>
      </x:c>
      <x:c r="J610" s="18" t="n">
        <x:f>CEILING(MAX(G610,H610),I610)</x:f>
        <x:v>102</x:v>
      </x:c>
      <x:c r="K610" s="18" t="n">
        <x:v>102</x:v>
      </x:c>
      <x:c r="L610" s="18" t="n">
        <x:f>INDEX('Dated offers'!$I$7:$I$305,MATCH($Z610,'Dated offers'!$A$7:$A$305,0))</x:f>
        <x:v>100</x:v>
      </x:c>
      <x:c r="M610" s="25" t="n">
        <x:f>INDEX('Dated offers'!$J$7:$J$305,MATCH($Z610,'Dated offers'!$A$7:$A$305,0))</x:f>
        <x:v>0.1812</x:v>
      </x:c>
      <x:c r="N610" s="25" t="n">
        <x:f>INDEX('Dated offers'!$K$7:$K$305,MATCH($Z610,'Dated offers'!$A$7:$A$305,0))</x:f>
        <x:v>0</x:v>
      </x:c>
      <x:c r="O610" s="25" t="n">
        <x:f>F610*M610</x:f>
        <x:v>18.12</x:v>
      </x:c>
      <x:c r="P610" s="25" t="n">
        <x:f>G610*M610</x:f>
        <x:v>18.4824</x:v>
      </x:c>
      <x:c r="Q610" s="25" t="n">
        <x:f>K610*M610+N610</x:f>
        <x:v>18.4824</x:v>
      </x:c>
      <x:c r="R610" s="18" t="n">
        <x:f>K610-G610</x:f>
        <x:v>0</x:v>
      </x:c>
      <x:c r="S610" s="18" t="n">
        <x:f>INDEX('Dated offers'!$H$7:$H$305,MATCH($Z610,'Dated offers'!$A$7:$A$305,0))</x:f>
        <x:v>9768</x:v>
      </x:c>
      <x:c r="T610" s="2" t="str">
        <x:f>IF(K610&lt;G610,"Order below requirement",IF(K610&lt;L610,"Below price tier",IF(ISNUMBER(S610),IF(K610&gt;S610,"Quantity exceeds snapshot","Within quantity snapshot"),"Stock not stated")))</x:f>
        <x:v>Within quantity snapshot</x:v>
      </x:c>
      <x:c r="U610" s="2" t="str">
        <x:f>INDEX('Dated offers'!$C$7:$C$305,MATCH($Z610,'Dated offers'!$A$7:$A$305,0))</x:f>
        <x:v>DigiKey</x:v>
      </x:c>
      <x:c r="V610" s="2" t="str">
        <x:f>INDEX('Dated offers'!$D$7:$D$305,MATCH($Z610,'Dated offers'!$A$7:$A$305,0))</x:f>
        <x:v>Not stated</x:v>
      </x:c>
      <x:c r="W610" s="24" t="n">
        <x:f>INDEX('Dated offers'!$E$7:$E$305,MATCH($Z610,'Dated offers'!$A$7:$A$305,0))</x:f>
        <x:v>46307.4780725</x:v>
      </x:c>
      <x:c r="X610" s="2" t="b">
        <x:f>INDEX('Dated offers'!$N$7:$N$305,MATCH($Z610,'Dated offers'!$A$7:$A$305,0))</x:f>
        <x:v>0</x:v>
      </x:c>
      <x:c r="Y610" s="2" t="str">
        <x:f>INDEX('Dated offers'!$O$7:$O$305,MATCH($Z610,'Dated offers'!$A$7:$A$305,0))</x:f>
        <x:v>Unreserved inventory snapshot</x:v>
      </x:c>
      <x:c r="Z610" s="17" t="str">
        <x:v>OF0278</x:v>
      </x:c>
      <x:c r="AA610" s="2"/>
      <x:c r="AB610" s="2" t="str">
        <x:f>INDEX('Dated offers'!$Q$7:$Q$305,MATCH($Z610,'Dated offers'!$A$7:$A$305,0))</x:f>
        <x:v>https://www.digikey.com/en/products/detail/vishay-dale/TNPW04021K24BEED/4876054</x:v>
      </x:c>
    </x:row>
    <x:row r="611" ht="24" customHeight="1">
      <x:c r="A611" s="2" t="str">
        <x:v>100 boards / 2% planning</x:v>
      </x:c>
      <x:c r="B611" s="17" t="str">
        <x:v>TNPW04024K87BEED</x:v>
      </x:c>
      <x:c r="C611" s="18" t="n">
        <x:v>100</x:v>
      </x:c>
      <x:c r="D611" s="27" t="n">
        <x:v>0.02</x:v>
      </x:c>
      <x:c r="E611" s="18" t="n">
        <x:f>INDEX('Assembly BOM'!$C$7:$C$162,MATCH($B611,'Assembly BOM'!$A$7:$A$162,0))</x:f>
        <x:v>1</x:v>
      </x:c>
      <x:c r="F611" s="18" t="n">
        <x:f>C611*E611</x:f>
        <x:v>100</x:v>
      </x:c>
      <x:c r="G611" s="18" t="n">
        <x:f>ROUNDUP(F611*(1+D611),0)</x:f>
        <x:v>102</x:v>
      </x:c>
      <x:c r="H611" s="18" t="n">
        <x:f>INDEX('Dated offers'!$F$7:$F$305,MATCH($Z611,'Dated offers'!$A$7:$A$305,0))</x:f>
        <x:v>1</x:v>
      </x:c>
      <x:c r="I611" s="18" t="n">
        <x:f>INDEX('Dated offers'!$G$7:$G$305,MATCH($Z611,'Dated offers'!$A$7:$A$305,0))</x:f>
        <x:v>1</x:v>
      </x:c>
      <x:c r="J611" s="18" t="n">
        <x:f>CEILING(MAX(G611,H611),I611)</x:f>
        <x:v>102</x:v>
      </x:c>
      <x:c r="K611" s="18" t="n">
        <x:v>102</x:v>
      </x:c>
      <x:c r="L611" s="18" t="n">
        <x:f>INDEX('Dated offers'!$I$7:$I$305,MATCH($Z611,'Dated offers'!$A$7:$A$305,0))</x:f>
        <x:v>100</x:v>
      </x:c>
      <x:c r="M611" s="25" t="n">
        <x:f>INDEX('Dated offers'!$J$7:$J$305,MATCH($Z611,'Dated offers'!$A$7:$A$305,0))</x:f>
        <x:v>0.1812</x:v>
      </x:c>
      <x:c r="N611" s="25" t="n">
        <x:f>INDEX('Dated offers'!$K$7:$K$305,MATCH($Z611,'Dated offers'!$A$7:$A$305,0))</x:f>
        <x:v>0</x:v>
      </x:c>
      <x:c r="O611" s="25" t="n">
        <x:f>F611*M611</x:f>
        <x:v>18.12</x:v>
      </x:c>
      <x:c r="P611" s="25" t="n">
        <x:f>G611*M611</x:f>
        <x:v>18.4824</x:v>
      </x:c>
      <x:c r="Q611" s="25" t="n">
        <x:f>K611*M611+N611</x:f>
        <x:v>18.4824</x:v>
      </x:c>
      <x:c r="R611" s="18" t="n">
        <x:f>K611-G611</x:f>
        <x:v>0</x:v>
      </x:c>
      <x:c r="S611" s="18" t="n">
        <x:f>INDEX('Dated offers'!$H$7:$H$305,MATCH($Z611,'Dated offers'!$A$7:$A$305,0))</x:f>
        <x:v>8176</x:v>
      </x:c>
      <x:c r="T611" s="2" t="str">
        <x:f>IF(K611&lt;G611,"Order below requirement",IF(K611&lt;L611,"Below price tier",IF(ISNUMBER(S611),IF(K611&gt;S611,"Quantity exceeds snapshot","Within quantity snapshot"),"Stock not stated")))</x:f>
        <x:v>Within quantity snapshot</x:v>
      </x:c>
      <x:c r="U611" s="2" t="str">
        <x:f>INDEX('Dated offers'!$C$7:$C$305,MATCH($Z611,'Dated offers'!$A$7:$A$305,0))</x:f>
        <x:v>DigiKey</x:v>
      </x:c>
      <x:c r="V611" s="2" t="str">
        <x:f>INDEX('Dated offers'!$D$7:$D$305,MATCH($Z611,'Dated offers'!$A$7:$A$305,0))</x:f>
        <x:v>Not stated</x:v>
      </x:c>
      <x:c r="W611" s="24" t="n">
        <x:f>INDEX('Dated offers'!$E$7:$E$305,MATCH($Z611,'Dated offers'!$A$7:$A$305,0))</x:f>
        <x:v>46307.4780725</x:v>
      </x:c>
      <x:c r="X611" s="2" t="b">
        <x:f>INDEX('Dated offers'!$N$7:$N$305,MATCH($Z611,'Dated offers'!$A$7:$A$305,0))</x:f>
        <x:v>0</x:v>
      </x:c>
      <x:c r="Y611" s="2" t="str">
        <x:f>INDEX('Dated offers'!$O$7:$O$305,MATCH($Z611,'Dated offers'!$A$7:$A$305,0))</x:f>
        <x:v>Unreserved inventory snapshot</x:v>
      </x:c>
      <x:c r="Z611" s="17" t="str">
        <x:v>OF0279</x:v>
      </x:c>
      <x:c r="AA611" s="2"/>
      <x:c r="AB611" s="2" t="str">
        <x:f>INDEX('Dated offers'!$Q$7:$Q$305,MATCH($Z611,'Dated offers'!$A$7:$A$305,0))</x:f>
        <x:v>https://www.digikey.com/en/products/detail/vishay-dale/TNPW04024K87BEED/2217770</x:v>
      </x:c>
    </x:row>
    <x:row r="612" ht="24" customHeight="1">
      <x:c r="A612" s="2" t="str">
        <x:v>100 boards / 2% planning</x:v>
      </x:c>
      <x:c r="B612" s="17" t="str">
        <x:v>TNPW0603100KBEEA</x:v>
      </x:c>
      <x:c r="C612" s="18" t="n">
        <x:v>100</x:v>
      </x:c>
      <x:c r="D612" s="27" t="n">
        <x:v>0.02</x:v>
      </x:c>
      <x:c r="E612" s="18" t="n">
        <x:f>INDEX('Assembly BOM'!$C$7:$C$162,MATCH($B612,'Assembly BOM'!$A$7:$A$162,0))</x:f>
        <x:v>1</x:v>
      </x:c>
      <x:c r="F612" s="18" t="n">
        <x:f>C612*E612</x:f>
        <x:v>100</x:v>
      </x:c>
      <x:c r="G612" s="18" t="n">
        <x:f>ROUNDUP(F612*(1+D612),0)</x:f>
        <x:v>102</x:v>
      </x:c>
      <x:c r="H612" s="18" t="n">
        <x:f>INDEX('Dated offers'!$F$7:$F$305,MATCH($Z612,'Dated offers'!$A$7:$A$305,0))</x:f>
        <x:v>1</x:v>
      </x:c>
      <x:c r="I612" s="18" t="n">
        <x:f>INDEX('Dated offers'!$G$7:$G$305,MATCH($Z612,'Dated offers'!$A$7:$A$305,0))</x:f>
        <x:v>1</x:v>
      </x:c>
      <x:c r="J612" s="18" t="n">
        <x:f>CEILING(MAX(G612,H612),I612)</x:f>
        <x:v>102</x:v>
      </x:c>
      <x:c r="K612" s="18" t="n">
        <x:v>102</x:v>
      </x:c>
      <x:c r="L612" s="18" t="n">
        <x:f>INDEX('Dated offers'!$I$7:$I$305,MATCH($Z612,'Dated offers'!$A$7:$A$305,0))</x:f>
        <x:v>100</x:v>
      </x:c>
      <x:c r="M612" s="25" t="n">
        <x:f>INDEX('Dated offers'!$J$7:$J$305,MATCH($Z612,'Dated offers'!$A$7:$A$305,0))</x:f>
        <x:v>0.1812</x:v>
      </x:c>
      <x:c r="N612" s="25" t="n">
        <x:f>INDEX('Dated offers'!$K$7:$K$305,MATCH($Z612,'Dated offers'!$A$7:$A$305,0))</x:f>
        <x:v>0</x:v>
      </x:c>
      <x:c r="O612" s="25" t="n">
        <x:f>F612*M612</x:f>
        <x:v>18.12</x:v>
      </x:c>
      <x:c r="P612" s="25" t="n">
        <x:f>G612*M612</x:f>
        <x:v>18.4824</x:v>
      </x:c>
      <x:c r="Q612" s="25" t="n">
        <x:f>K612*M612+N612</x:f>
        <x:v>18.4824</x:v>
      </x:c>
      <x:c r="R612" s="18" t="n">
        <x:f>K612-G612</x:f>
        <x:v>0</x:v>
      </x:c>
      <x:c r="S612" s="18" t="n">
        <x:f>INDEX('Dated offers'!$H$7:$H$305,MATCH($Z612,'Dated offers'!$A$7:$A$305,0))</x:f>
        <x:v>88719</x:v>
      </x:c>
      <x:c r="T612" s="2" t="str">
        <x:f>IF(K612&lt;G612,"Order below requirement",IF(K612&lt;L612,"Below price tier",IF(ISNUMBER(S612),IF(K612&gt;S612,"Quantity exceeds snapshot","Within quantity snapshot"),"Stock not stated")))</x:f>
        <x:v>Within quantity snapshot</x:v>
      </x:c>
      <x:c r="U612" s="2" t="str">
        <x:f>INDEX('Dated offers'!$C$7:$C$305,MATCH($Z612,'Dated offers'!$A$7:$A$305,0))</x:f>
        <x:v>DigiKey</x:v>
      </x:c>
      <x:c r="V612" s="2" t="str">
        <x:f>INDEX('Dated offers'!$D$7:$D$305,MATCH($Z612,'Dated offers'!$A$7:$A$305,0))</x:f>
        <x:v>Not stated</x:v>
      </x:c>
      <x:c r="W612" s="24" t="n">
        <x:f>INDEX('Dated offers'!$E$7:$E$305,MATCH($Z612,'Dated offers'!$A$7:$A$305,0))</x:f>
        <x:v>46307.4780725</x:v>
      </x:c>
      <x:c r="X612" s="2" t="b">
        <x:f>INDEX('Dated offers'!$N$7:$N$305,MATCH($Z612,'Dated offers'!$A$7:$A$305,0))</x:f>
        <x:v>0</x:v>
      </x:c>
      <x:c r="Y612" s="2" t="str">
        <x:f>INDEX('Dated offers'!$O$7:$O$305,MATCH($Z612,'Dated offers'!$A$7:$A$305,0))</x:f>
        <x:v>Unreserved inventory snapshot</x:v>
      </x:c>
      <x:c r="Z612" s="17" t="str">
        <x:v>OF0280</x:v>
      </x:c>
      <x:c r="AA612" s="2"/>
      <x:c r="AB612" s="2" t="str">
        <x:f>INDEX('Dated offers'!$Q$7:$Q$305,MATCH($Z612,'Dated offers'!$A$7:$A$305,0))</x:f>
        <x:v>https://www.digikey.com/en/products/detail/vishay-dale/TNPW0603100KBEEA/1857055</x:v>
      </x:c>
    </x:row>
    <x:row r="613" ht="24" customHeight="1">
      <x:c r="A613" s="2" t="str">
        <x:v>100 boards / 2% planning</x:v>
      </x:c>
      <x:c r="B613" s="17" t="str">
        <x:v>TPD1E05U06DPYR</x:v>
      </x:c>
      <x:c r="C613" s="18" t="n">
        <x:v>100</x:v>
      </x:c>
      <x:c r="D613" s="27" t="n">
        <x:v>0.02</x:v>
      </x:c>
      <x:c r="E613" s="18" t="n">
        <x:f>INDEX('Assembly BOM'!$C$7:$C$162,MATCH($B613,'Assembly BOM'!$A$7:$A$162,0))</x:f>
        <x:v>3</x:v>
      </x:c>
      <x:c r="F613" s="18" t="n">
        <x:f>C613*E613</x:f>
        <x:v>300</x:v>
      </x:c>
      <x:c r="G613" s="18" t="n">
        <x:f>ROUNDUP(F613*(1+D613),0)</x:f>
        <x:v>306</x:v>
      </x:c>
      <x:c r="H613" s="18" t="n">
        <x:f>INDEX('Dated offers'!$F$7:$F$305,MATCH($Z613,'Dated offers'!$A$7:$A$305,0))</x:f>
        <x:v>1</x:v>
      </x:c>
      <x:c r="I613" s="18" t="n">
        <x:f>INDEX('Dated offers'!$G$7:$G$305,MATCH($Z613,'Dated offers'!$A$7:$A$305,0))</x:f>
        <x:v>1</x:v>
      </x:c>
      <x:c r="J613" s="18" t="n">
        <x:f>CEILING(MAX(G613,H613),I613)</x:f>
        <x:v>306</x:v>
      </x:c>
      <x:c r="K613" s="18" t="n">
        <x:v>306</x:v>
      </x:c>
      <x:c r="L613" s="18" t="n">
        <x:f>INDEX('Dated offers'!$I$7:$I$305,MATCH($Z613,'Dated offers'!$A$7:$A$305,0))</x:f>
        <x:v>100</x:v>
      </x:c>
      <x:c r="M613" s="25" t="n">
        <x:f>INDEX('Dated offers'!$J$7:$J$305,MATCH($Z613,'Dated offers'!$A$7:$A$305,0))</x:f>
        <x:v>0.1685</x:v>
      </x:c>
      <x:c r="N613" s="25" t="n">
        <x:f>INDEX('Dated offers'!$K$7:$K$305,MATCH($Z613,'Dated offers'!$A$7:$A$305,0))</x:f>
        <x:v>0</x:v>
      </x:c>
      <x:c r="O613" s="25" t="n">
        <x:f>F613*M613</x:f>
        <x:v>50.550000000000004</x:v>
      </x:c>
      <x:c r="P613" s="25" t="n">
        <x:f>G613*M613</x:f>
        <x:v>51.561</x:v>
      </x:c>
      <x:c r="Q613" s="25" t="n">
        <x:f>K613*M613+N613</x:f>
        <x:v>51.561</x:v>
      </x:c>
      <x:c r="R613" s="18" t="n">
        <x:f>K613-G613</x:f>
        <x:v>0</x:v>
      </x:c>
      <x:c r="S613" s="18" t="n">
        <x:f>INDEX('Dated offers'!$H$7:$H$305,MATCH($Z613,'Dated offers'!$A$7:$A$305,0))</x:f>
        <x:v>590494</x:v>
      </x:c>
      <x:c r="T613" s="2" t="str">
        <x:f>IF(K613&lt;G613,"Order below requirement",IF(K613&lt;L613,"Below price tier",IF(ISNUMBER(S613),IF(K613&gt;S613,"Quantity exceeds snapshot","Within quantity snapshot"),"Stock not stated")))</x:f>
        <x:v>Within quantity snapshot</x:v>
      </x:c>
      <x:c r="U613" s="2" t="str">
        <x:f>INDEX('Dated offers'!$C$7:$C$305,MATCH($Z613,'Dated offers'!$A$7:$A$305,0))</x:f>
        <x:v>DigiKey</x:v>
      </x:c>
      <x:c r="V613" s="2" t="str">
        <x:f>INDEX('Dated offers'!$D$7:$D$305,MATCH($Z613,'Dated offers'!$A$7:$A$305,0))</x:f>
        <x:v>Not stated</x:v>
      </x:c>
      <x:c r="W613" s="24" t="n">
        <x:f>INDEX('Dated offers'!$E$7:$E$305,MATCH($Z613,'Dated offers'!$A$7:$A$305,0))</x:f>
        <x:v>46307.4780725</x:v>
      </x:c>
      <x:c r="X613" s="2" t="b">
        <x:f>INDEX('Dated offers'!$N$7:$N$305,MATCH($Z613,'Dated offers'!$A$7:$A$305,0))</x:f>
        <x:v>0</x:v>
      </x:c>
      <x:c r="Y613" s="2" t="str">
        <x:f>INDEX('Dated offers'!$O$7:$O$305,MATCH($Z613,'Dated offers'!$A$7:$A$305,0))</x:f>
        <x:v>Unreserved inventory snapshot</x:v>
      </x:c>
      <x:c r="Z613" s="17" t="str">
        <x:v>OF0281</x:v>
      </x:c>
      <x:c r="AA613" s="2"/>
      <x:c r="AB613" s="2" t="str">
        <x:f>INDEX('Dated offers'!$Q$7:$Q$305,MATCH($Z613,'Dated offers'!$A$7:$A$305,0))</x:f>
        <x:v>https://www.digikey.com/en/products/detail/texas-instruments/TPD1E05U06DPYR/3844805</x:v>
      </x:c>
    </x:row>
    <x:row r="614" ht="24" customHeight="1">
      <x:c r="A614" s="2" t="str">
        <x:v>100 boards / 2% planning</x:v>
      </x:c>
      <x:c r="B614" s="17" t="str">
        <x:v>TPD4E1U06DBVR</x:v>
      </x:c>
      <x:c r="C614" s="18" t="n">
        <x:v>100</x:v>
      </x:c>
      <x:c r="D614" s="27" t="n">
        <x:v>0.02</x:v>
      </x:c>
      <x:c r="E614" s="18" t="n">
        <x:f>INDEX('Assembly BOM'!$C$7:$C$162,MATCH($B614,'Assembly BOM'!$A$7:$A$162,0))</x:f>
        <x:v>1</x:v>
      </x:c>
      <x:c r="F614" s="18" t="n">
        <x:f>C614*E614</x:f>
        <x:v>100</x:v>
      </x:c>
      <x:c r="G614" s="18" t="n">
        <x:f>ROUNDUP(F614*(1+D614),0)</x:f>
        <x:v>102</x:v>
      </x:c>
      <x:c r="H614" s="18" t="n">
        <x:f>INDEX('Dated offers'!$F$7:$F$305,MATCH($Z614,'Dated offers'!$A$7:$A$305,0))</x:f>
        <x:v>1</x:v>
      </x:c>
      <x:c r="I614" s="18" t="n">
        <x:f>INDEX('Dated offers'!$G$7:$G$305,MATCH($Z614,'Dated offers'!$A$7:$A$305,0))</x:f>
        <x:v>1</x:v>
      </x:c>
      <x:c r="J614" s="18" t="n">
        <x:f>CEILING(MAX(G614,H614),I614)</x:f>
        <x:v>102</x:v>
      </x:c>
      <x:c r="K614" s="18" t="n">
        <x:v>102</x:v>
      </x:c>
      <x:c r="L614" s="18" t="n">
        <x:f>INDEX('Dated offers'!$I$7:$I$305,MATCH($Z614,'Dated offers'!$A$7:$A$305,0))</x:f>
        <x:v>100</x:v>
      </x:c>
      <x:c r="M614" s="25" t="n">
        <x:f>INDEX('Dated offers'!$J$7:$J$305,MATCH($Z614,'Dated offers'!$A$7:$A$305,0))</x:f>
        <x:v>0.3809</x:v>
      </x:c>
      <x:c r="N614" s="25" t="n">
        <x:f>INDEX('Dated offers'!$K$7:$K$305,MATCH($Z614,'Dated offers'!$A$7:$A$305,0))</x:f>
        <x:v>0</x:v>
      </x:c>
      <x:c r="O614" s="25" t="n">
        <x:f>F614*M614</x:f>
        <x:v>38.09</x:v>
      </x:c>
      <x:c r="P614" s="25" t="n">
        <x:f>G614*M614</x:f>
        <x:v>38.851800000000004</x:v>
      </x:c>
      <x:c r="Q614" s="25" t="n">
        <x:f>K614*M614+N614</x:f>
        <x:v>38.851800000000004</x:v>
      </x:c>
      <x:c r="R614" s="18" t="n">
        <x:f>K614-G614</x:f>
        <x:v>0</x:v>
      </x:c>
      <x:c r="S614" s="18" t="n">
        <x:f>INDEX('Dated offers'!$H$7:$H$305,MATCH($Z614,'Dated offers'!$A$7:$A$305,0))</x:f>
        <x:v>28706</x:v>
      </x:c>
      <x:c r="T614" s="2" t="str">
        <x:f>IF(K614&lt;G614,"Order below requirement",IF(K614&lt;L614,"Below price tier",IF(ISNUMBER(S614),IF(K614&gt;S614,"Quantity exceeds snapshot","Within quantity snapshot"),"Stock not stated")))</x:f>
        <x:v>Within quantity snapshot</x:v>
      </x:c>
      <x:c r="U614" s="2" t="str">
        <x:f>INDEX('Dated offers'!$C$7:$C$305,MATCH($Z614,'Dated offers'!$A$7:$A$305,0))</x:f>
        <x:v>DigiKey</x:v>
      </x:c>
      <x:c r="V614" s="2" t="str">
        <x:f>INDEX('Dated offers'!$D$7:$D$305,MATCH($Z614,'Dated offers'!$A$7:$A$305,0))</x:f>
        <x:v>Not stated</x:v>
      </x:c>
      <x:c r="W614" s="24" t="n">
        <x:f>INDEX('Dated offers'!$E$7:$E$305,MATCH($Z614,'Dated offers'!$A$7:$A$305,0))</x:f>
        <x:v>46307.47807255787</x:v>
      </x:c>
      <x:c r="X614" s="2" t="b">
        <x:f>INDEX('Dated offers'!$N$7:$N$305,MATCH($Z614,'Dated offers'!$A$7:$A$305,0))</x:f>
        <x:v>0</x:v>
      </x:c>
      <x:c r="Y614" s="2" t="str">
        <x:f>INDEX('Dated offers'!$O$7:$O$305,MATCH($Z614,'Dated offers'!$A$7:$A$305,0))</x:f>
        <x:v>Unreserved inventory snapshot</x:v>
      </x:c>
      <x:c r="Z614" s="17" t="str">
        <x:v>OF0282</x:v>
      </x:c>
      <x:c r="AA614" s="2"/>
      <x:c r="AB614" s="2" t="str">
        <x:f>INDEX('Dated offers'!$Q$7:$Q$305,MATCH($Z614,'Dated offers'!$A$7:$A$305,0))</x:f>
        <x:v>https://www.digikey.com/en/products/detail/texas-instruments/TPD4E1U06DBVR/3929533</x:v>
      </x:c>
    </x:row>
    <x:row r="615" ht="24" customHeight="1">
      <x:c r="A615" s="2" t="str">
        <x:v>100 boards / 2% planning</x:v>
      </x:c>
      <x:c r="B615" s="17" t="str">
        <x:v>TPS2490DGSR</x:v>
      </x:c>
      <x:c r="C615" s="18" t="n">
        <x:v>100</x:v>
      </x:c>
      <x:c r="D615" s="27" t="n">
        <x:v>0.02</x:v>
      </x:c>
      <x:c r="E615" s="18" t="n">
        <x:f>INDEX('Assembly BOM'!$C$7:$C$162,MATCH($B615,'Assembly BOM'!$A$7:$A$162,0))</x:f>
        <x:v>1</x:v>
      </x:c>
      <x:c r="F615" s="18" t="n">
        <x:f>C615*E615</x:f>
        <x:v>100</x:v>
      </x:c>
      <x:c r="G615" s="18" t="n">
        <x:f>ROUNDUP(F615*(1+D615),0)</x:f>
        <x:v>102</x:v>
      </x:c>
      <x:c r="H615" s="18" t="n">
        <x:f>INDEX('Dated offers'!$F$7:$F$305,MATCH($Z615,'Dated offers'!$A$7:$A$305,0))</x:f>
        <x:v>1</x:v>
      </x:c>
      <x:c r="I615" s="18" t="n">
        <x:f>INDEX('Dated offers'!$G$7:$G$305,MATCH($Z615,'Dated offers'!$A$7:$A$305,0))</x:f>
        <x:v>1</x:v>
      </x:c>
      <x:c r="J615" s="18" t="n">
        <x:f>CEILING(MAX(G615,H615),I615)</x:f>
        <x:v>102</x:v>
      </x:c>
      <x:c r="K615" s="18" t="n">
        <x:v>102</x:v>
      </x:c>
      <x:c r="L615" s="18" t="n">
        <x:f>INDEX('Dated offers'!$I$7:$I$305,MATCH($Z615,'Dated offers'!$A$7:$A$305,0))</x:f>
        <x:v>100</x:v>
      </x:c>
      <x:c r="M615" s="25" t="n">
        <x:f>INDEX('Dated offers'!$J$7:$J$305,MATCH($Z615,'Dated offers'!$A$7:$A$305,0))</x:f>
        <x:v>2.2825</x:v>
      </x:c>
      <x:c r="N615" s="25" t="n">
        <x:f>INDEX('Dated offers'!$K$7:$K$305,MATCH($Z615,'Dated offers'!$A$7:$A$305,0))</x:f>
        <x:v>0</x:v>
      </x:c>
      <x:c r="O615" s="25" t="n">
        <x:f>F615*M615</x:f>
        <x:v>228.25000000000003</x:v>
      </x:c>
      <x:c r="P615" s="25" t="n">
        <x:f>G615*M615</x:f>
        <x:v>232.81500000000003</x:v>
      </x:c>
      <x:c r="Q615" s="25" t="n">
        <x:f>K615*M615+N615</x:f>
        <x:v>232.81500000000003</x:v>
      </x:c>
      <x:c r="R615" s="18" t="n">
        <x:f>K615-G615</x:f>
        <x:v>0</x:v>
      </x:c>
      <x:c r="S615" s="18" t="n">
        <x:f>INDEX('Dated offers'!$H$7:$H$305,MATCH($Z615,'Dated offers'!$A$7:$A$305,0))</x:f>
        <x:v>3000</x:v>
      </x:c>
      <x:c r="T615" s="2" t="str">
        <x:f>IF(K615&lt;G615,"Order below requirement",IF(K615&lt;L615,"Below price tier",IF(ISNUMBER(S615),IF(K615&gt;S615,"Quantity exceeds snapshot","Within quantity snapshot"),"Stock not stated")))</x:f>
        <x:v>Within quantity snapshot</x:v>
      </x:c>
      <x:c r="U615" s="2" t="str">
        <x:f>INDEX('Dated offers'!$C$7:$C$305,MATCH($Z615,'Dated offers'!$A$7:$A$305,0))</x:f>
        <x:v>LCSC</x:v>
      </x:c>
      <x:c r="V615" s="2" t="str">
        <x:f>INDEX('Dated offers'!$D$7:$D$305,MATCH($Z615,'Dated offers'!$A$7:$A$305,0))</x:f>
        <x:v>C139631</x:v>
      </x:c>
      <x:c r="W615" s="24" t="n">
        <x:f>INDEX('Dated offers'!$E$7:$E$305,MATCH($Z615,'Dated offers'!$A$7:$A$305,0))</x:f>
        <x:v>46307.44748415509</x:v>
      </x:c>
      <x:c r="X615" s="2" t="b">
        <x:f>INDEX('Dated offers'!$N$7:$N$305,MATCH($Z615,'Dated offers'!$A$7:$A$305,0))</x:f>
        <x:v>0</x:v>
      </x:c>
      <x:c r="Y615" s="2" t="str">
        <x:f>INDEX('Dated offers'!$O$7:$O$305,MATCH($Z615,'Dated offers'!$A$7:$A$305,0))</x:f>
        <x:v>Unreserved inventory snapshot</x:v>
      </x:c>
      <x:c r="Z615" s="17" t="str">
        <x:v>OF0283</x:v>
      </x:c>
      <x:c r="AA615" s="2"/>
      <x:c r="AB615" s="2" t="str">
        <x:f>INDEX('Dated offers'!$Q$7:$Q$305,MATCH($Z615,'Dated offers'!$A$7:$A$305,0))</x:f>
        <x:v>https://www.lcsc.com/product-detail/C139631.html</x:v>
      </x:c>
    </x:row>
    <x:row r="616" ht="24" customHeight="1">
      <x:c r="A616" s="2" t="str">
        <x:v>100 boards / 2% planning</x:v>
      </x:c>
      <x:c r="B616" s="17" t="str">
        <x:v>TPS2553DBVR-1</x:v>
      </x:c>
      <x:c r="C616" s="18" t="n">
        <x:v>100</x:v>
      </x:c>
      <x:c r="D616" s="27" t="n">
        <x:v>0.02</x:v>
      </x:c>
      <x:c r="E616" s="18" t="n">
        <x:f>INDEX('Assembly BOM'!$C$7:$C$162,MATCH($B616,'Assembly BOM'!$A$7:$A$162,0))</x:f>
        <x:v>1</x:v>
      </x:c>
      <x:c r="F616" s="18" t="n">
        <x:f>C616*E616</x:f>
        <x:v>100</x:v>
      </x:c>
      <x:c r="G616" s="18" t="n">
        <x:f>ROUNDUP(F616*(1+D616),0)</x:f>
        <x:v>102</x:v>
      </x:c>
      <x:c r="H616" s="18" t="n">
        <x:f>INDEX('Dated offers'!$F$7:$F$305,MATCH($Z616,'Dated offers'!$A$7:$A$305,0))</x:f>
        <x:v>5</x:v>
      </x:c>
      <x:c r="I616" s="18" t="n">
        <x:f>INDEX('Dated offers'!$G$7:$G$305,MATCH($Z616,'Dated offers'!$A$7:$A$305,0))</x:f>
        <x:v>5</x:v>
      </x:c>
      <x:c r="J616" s="18" t="n">
        <x:f>CEILING(MAX(G616,H616),I616)</x:f>
        <x:v>105</x:v>
      </x:c>
      <x:c r="K616" s="18" t="n">
        <x:v>105</x:v>
      </x:c>
      <x:c r="L616" s="18" t="n">
        <x:f>INDEX('Dated offers'!$I$7:$I$305,MATCH($Z616,'Dated offers'!$A$7:$A$305,0))</x:f>
        <x:v>50</x:v>
      </x:c>
      <x:c r="M616" s="25" t="n">
        <x:f>INDEX('Dated offers'!$J$7:$J$305,MATCH($Z616,'Dated offers'!$A$7:$A$305,0))</x:f>
        <x:v>0.235</x:v>
      </x:c>
      <x:c r="N616" s="25" t="n">
        <x:f>INDEX('Dated offers'!$K$7:$K$305,MATCH($Z616,'Dated offers'!$A$7:$A$305,0))</x:f>
        <x:v>0</x:v>
      </x:c>
      <x:c r="O616" s="25" t="n">
        <x:f>F616*M616</x:f>
        <x:v>23.5</x:v>
      </x:c>
      <x:c r="P616" s="25" t="n">
        <x:f>G616*M616</x:f>
        <x:v>23.97</x:v>
      </x:c>
      <x:c r="Q616" s="25" t="n">
        <x:f>K616*M616+N616</x:f>
        <x:v>24.674999999999997</x:v>
      </x:c>
      <x:c r="R616" s="18" t="n">
        <x:f>K616-G616</x:f>
        <x:v>3</x:v>
      </x:c>
      <x:c r="S616" s="18" t="n">
        <x:f>INDEX('Dated offers'!$H$7:$H$305,MATCH($Z616,'Dated offers'!$A$7:$A$305,0))</x:f>
        <x:v>12040</x:v>
      </x:c>
      <x:c r="T616" s="2" t="str">
        <x:f>IF(K616&lt;G616,"Order below requirement",IF(K616&lt;L616,"Below price tier",IF(ISNUMBER(S616),IF(K616&gt;S616,"Quantity exceeds snapshot","Within quantity snapshot"),"Stock not stated")))</x:f>
        <x:v>Within quantity snapshot</x:v>
      </x:c>
      <x:c r="U616" s="2" t="str">
        <x:f>INDEX('Dated offers'!$C$7:$C$305,MATCH($Z616,'Dated offers'!$A$7:$A$305,0))</x:f>
        <x:v>LCSC</x:v>
      </x:c>
      <x:c r="V616" s="2" t="str">
        <x:f>INDEX('Dated offers'!$D$7:$D$305,MATCH($Z616,'Dated offers'!$A$7:$A$305,0))</x:f>
        <x:v>C111738</x:v>
      </x:c>
      <x:c r="W616" s="24" t="n">
        <x:f>INDEX('Dated offers'!$E$7:$E$305,MATCH($Z616,'Dated offers'!$A$7:$A$305,0))</x:f>
        <x:v>46307.44748585648</x:v>
      </x:c>
      <x:c r="X616" s="2" t="b">
        <x:f>INDEX('Dated offers'!$N$7:$N$305,MATCH($Z616,'Dated offers'!$A$7:$A$305,0))</x:f>
        <x:v>0</x:v>
      </x:c>
      <x:c r="Y616" s="2" t="str">
        <x:f>INDEX('Dated offers'!$O$7:$O$305,MATCH($Z616,'Dated offers'!$A$7:$A$305,0))</x:f>
        <x:v>Unreserved inventory snapshot</x:v>
      </x:c>
      <x:c r="Z616" s="17" t="str">
        <x:v>OF0284</x:v>
      </x:c>
      <x:c r="AA616" s="2"/>
      <x:c r="AB616" s="2" t="str">
        <x:f>INDEX('Dated offers'!$Q$7:$Q$305,MATCH($Z616,'Dated offers'!$A$7:$A$305,0))</x:f>
        <x:v>https://www.lcsc.com/product-detail/C111738.html</x:v>
      </x:c>
    </x:row>
    <x:row r="617" ht="24" customHeight="1">
      <x:c r="A617" s="2" t="str">
        <x:v>100 boards / 2% planning</x:v>
      </x:c>
      <x:c r="B617" s="17" t="str">
        <x:v>TPS259474ARPWR</x:v>
      </x:c>
      <x:c r="C617" s="18" t="n">
        <x:v>100</x:v>
      </x:c>
      <x:c r="D617" s="27" t="n">
        <x:v>0.02</x:v>
      </x:c>
      <x:c r="E617" s="18" t="n">
        <x:f>INDEX('Assembly BOM'!$C$7:$C$162,MATCH($B617,'Assembly BOM'!$A$7:$A$162,0))</x:f>
        <x:v>1</x:v>
      </x:c>
      <x:c r="F617" s="18" t="n">
        <x:f>C617*E617</x:f>
        <x:v>100</x:v>
      </x:c>
      <x:c r="G617" s="18" t="n">
        <x:f>ROUNDUP(F617*(1+D617),0)</x:f>
        <x:v>102</x:v>
      </x:c>
      <x:c r="H617" s="18" t="n">
        <x:f>INDEX('Dated offers'!$F$7:$F$305,MATCH($Z617,'Dated offers'!$A$7:$A$305,0))</x:f>
        <x:v>1</x:v>
      </x:c>
      <x:c r="I617" s="18" t="n">
        <x:f>INDEX('Dated offers'!$G$7:$G$305,MATCH($Z617,'Dated offers'!$A$7:$A$305,0))</x:f>
        <x:v>1</x:v>
      </x:c>
      <x:c r="J617" s="18" t="n">
        <x:f>CEILING(MAX(G617,H617),I617)</x:f>
        <x:v>102</x:v>
      </x:c>
      <x:c r="K617" s="18" t="n">
        <x:v>102</x:v>
      </x:c>
      <x:c r="L617" s="18" t="n">
        <x:f>INDEX('Dated offers'!$I$7:$I$305,MATCH($Z617,'Dated offers'!$A$7:$A$305,0))</x:f>
        <x:v>100</x:v>
      </x:c>
      <x:c r="M617" s="25" t="n">
        <x:f>INDEX('Dated offers'!$J$7:$J$305,MATCH($Z617,'Dated offers'!$A$7:$A$305,0))</x:f>
        <x:v>1.902</x:v>
      </x:c>
      <x:c r="N617" s="25" t="n">
        <x:f>INDEX('Dated offers'!$K$7:$K$305,MATCH($Z617,'Dated offers'!$A$7:$A$305,0))</x:f>
        <x:v>0</x:v>
      </x:c>
      <x:c r="O617" s="25" t="n">
        <x:f>F617*M617</x:f>
        <x:v>190.2</x:v>
      </x:c>
      <x:c r="P617" s="25" t="n">
        <x:f>G617*M617</x:f>
        <x:v>194.004</x:v>
      </x:c>
      <x:c r="Q617" s="25" t="n">
        <x:f>K617*M617+N617</x:f>
        <x:v>194.004</x:v>
      </x:c>
      <x:c r="R617" s="18" t="n">
        <x:f>K617-G617</x:f>
        <x:v>0</x:v>
      </x:c>
      <x:c r="S617" s="18" t="n">
        <x:f>INDEX('Dated offers'!$H$7:$H$305,MATCH($Z617,'Dated offers'!$A$7:$A$305,0))</x:f>
        <x:v>208</x:v>
      </x:c>
      <x:c r="T617" s="2" t="str">
        <x:f>IF(K617&lt;G617,"Order below requirement",IF(K617&lt;L617,"Below price tier",IF(ISNUMBER(S617),IF(K617&gt;S617,"Quantity exceeds snapshot","Within quantity snapshot"),"Stock not stated")))</x:f>
        <x:v>Within quantity snapshot</x:v>
      </x:c>
      <x:c r="U617" s="2" t="str">
        <x:f>INDEX('Dated offers'!$C$7:$C$305,MATCH($Z617,'Dated offers'!$A$7:$A$305,0))</x:f>
        <x:v>LCSC</x:v>
      </x:c>
      <x:c r="V617" s="2" t="str">
        <x:f>INDEX('Dated offers'!$D$7:$D$305,MATCH($Z617,'Dated offers'!$A$7:$A$305,0))</x:f>
        <x:v>C3662807</x:v>
      </x:c>
      <x:c r="W617" s="24" t="n">
        <x:f>INDEX('Dated offers'!$E$7:$E$305,MATCH($Z617,'Dated offers'!$A$7:$A$305,0))</x:f>
        <x:v>46307.44748833333</x:v>
      </x:c>
      <x:c r="X617" s="2" t="b">
        <x:f>INDEX('Dated offers'!$N$7:$N$305,MATCH($Z617,'Dated offers'!$A$7:$A$305,0))</x:f>
        <x:v>0</x:v>
      </x:c>
      <x:c r="Y617" s="2" t="str">
        <x:f>INDEX('Dated offers'!$O$7:$O$305,MATCH($Z617,'Dated offers'!$A$7:$A$305,0))</x:f>
        <x:v>Unreserved inventory snapshot</x:v>
      </x:c>
      <x:c r="Z617" s="17" t="str">
        <x:v>OF0285</x:v>
      </x:c>
      <x:c r="AA617" s="2"/>
      <x:c r="AB617" s="2" t="str">
        <x:f>INDEX('Dated offers'!$Q$7:$Q$305,MATCH($Z617,'Dated offers'!$A$7:$A$305,0))</x:f>
        <x:v>https://www.lcsc.com/product-detail/C3662807.html</x:v>
      </x:c>
    </x:row>
    <x:row r="618" ht="24" customHeight="1">
      <x:c r="A618" s="2" t="str">
        <x:v>100 boards / 2% planning</x:v>
      </x:c>
      <x:c r="B618" s="17" t="str">
        <x:v>TPS259474LRPWR</x:v>
      </x:c>
      <x:c r="C618" s="18" t="n">
        <x:v>100</x:v>
      </x:c>
      <x:c r="D618" s="27" t="n">
        <x:v>0.02</x:v>
      </x:c>
      <x:c r="E618" s="18" t="n">
        <x:f>INDEX('Assembly BOM'!$C$7:$C$162,MATCH($B618,'Assembly BOM'!$A$7:$A$162,0))</x:f>
        <x:v>2</x:v>
      </x:c>
      <x:c r="F618" s="18" t="n">
        <x:f>C618*E618</x:f>
        <x:v>200</x:v>
      </x:c>
      <x:c r="G618" s="18" t="n">
        <x:f>ROUNDUP(F618*(1+D618),0)</x:f>
        <x:v>204</x:v>
      </x:c>
      <x:c r="H618" s="18" t="n">
        <x:f>INDEX('Dated offers'!$F$7:$F$305,MATCH($Z618,'Dated offers'!$A$7:$A$305,0))</x:f>
        <x:v>1</x:v>
      </x:c>
      <x:c r="I618" s="18" t="n">
        <x:f>INDEX('Dated offers'!$G$7:$G$305,MATCH($Z618,'Dated offers'!$A$7:$A$305,0))</x:f>
        <x:v>1</x:v>
      </x:c>
      <x:c r="J618" s="18" t="n">
        <x:f>CEILING(MAX(G618,H618),I618)</x:f>
        <x:v>204</x:v>
      </x:c>
      <x:c r="K618" s="18" t="n">
        <x:v>204</x:v>
      </x:c>
      <x:c r="L618" s="18" t="n">
        <x:f>INDEX('Dated offers'!$I$7:$I$305,MATCH($Z618,'Dated offers'!$A$7:$A$305,0))</x:f>
        <x:v>100</x:v>
      </x:c>
      <x:c r="M618" s="25" t="n">
        <x:f>INDEX('Dated offers'!$J$7:$J$305,MATCH($Z618,'Dated offers'!$A$7:$A$305,0))</x:f>
        <x:v>1.1641</x:v>
      </x:c>
      <x:c r="N618" s="25" t="n">
        <x:f>INDEX('Dated offers'!$K$7:$K$305,MATCH($Z618,'Dated offers'!$A$7:$A$305,0))</x:f>
        <x:v>0</x:v>
      </x:c>
      <x:c r="O618" s="25" t="n">
        <x:f>F618*M618</x:f>
        <x:v>232.82</x:v>
      </x:c>
      <x:c r="P618" s="25" t="n">
        <x:f>G618*M618</x:f>
        <x:v>237.47639999999998</x:v>
      </x:c>
      <x:c r="Q618" s="25" t="n">
        <x:f>K618*M618+N618</x:f>
        <x:v>237.47639999999998</x:v>
      </x:c>
      <x:c r="R618" s="18" t="n">
        <x:f>K618-G618</x:f>
        <x:v>0</x:v>
      </x:c>
      <x:c r="S618" s="18" t="n">
        <x:f>INDEX('Dated offers'!$H$7:$H$305,MATCH($Z618,'Dated offers'!$A$7:$A$305,0))</x:f>
        <x:v>39724</x:v>
      </x:c>
      <x:c r="T618" s="2" t="str">
        <x:f>IF(K618&lt;G618,"Order below requirement",IF(K618&lt;L618,"Below price tier",IF(ISNUMBER(S618),IF(K618&gt;S618,"Quantity exceeds snapshot","Within quantity snapshot"),"Stock not stated")))</x:f>
        <x:v>Within quantity snapshot</x:v>
      </x:c>
      <x:c r="U618" s="2" t="str">
        <x:f>INDEX('Dated offers'!$C$7:$C$305,MATCH($Z618,'Dated offers'!$A$7:$A$305,0))</x:f>
        <x:v>DigiKey</x:v>
      </x:c>
      <x:c r="V618" s="2" t="str">
        <x:f>INDEX('Dated offers'!$D$7:$D$305,MATCH($Z618,'Dated offers'!$A$7:$A$305,0))</x:f>
        <x:v>Not stated</x:v>
      </x:c>
      <x:c r="W618" s="24" t="n">
        <x:f>INDEX('Dated offers'!$E$7:$E$305,MATCH($Z618,'Dated offers'!$A$7:$A$305,0))</x:f>
        <x:v>46307.47807253472</x:v>
      </x:c>
      <x:c r="X618" s="2" t="b">
        <x:f>INDEX('Dated offers'!$N$7:$N$305,MATCH($Z618,'Dated offers'!$A$7:$A$305,0))</x:f>
        <x:v>0</x:v>
      </x:c>
      <x:c r="Y618" s="2" t="str">
        <x:f>INDEX('Dated offers'!$O$7:$O$305,MATCH($Z618,'Dated offers'!$A$7:$A$305,0))</x:f>
        <x:v>Unreserved inventory snapshot</x:v>
      </x:c>
      <x:c r="Z618" s="17" t="str">
        <x:v>OF0286</x:v>
      </x:c>
      <x:c r="AA618" s="2"/>
      <x:c r="AB618" s="2" t="str">
        <x:f>INDEX('Dated offers'!$Q$7:$Q$305,MATCH($Z618,'Dated offers'!$A$7:$A$305,0))</x:f>
        <x:v>https://www.digikey.com/en/products/detail/texas-instruments/TPS259474LRPWR/14123976</x:v>
      </x:c>
    </x:row>
    <x:row r="619" ht="24" customHeight="1">
      <x:c r="A619" s="2" t="str">
        <x:v>100 boards / 2% planning</x:v>
      </x:c>
      <x:c r="B619" s="17" t="str">
        <x:v>TPS3435CAKAGDDFR</x:v>
      </x:c>
      <x:c r="C619" s="18" t="n">
        <x:v>100</x:v>
      </x:c>
      <x:c r="D619" s="27" t="n">
        <x:v>0.02</x:v>
      </x:c>
      <x:c r="E619" s="18" t="n">
        <x:f>INDEX('Assembly BOM'!$C$7:$C$162,MATCH($B619,'Assembly BOM'!$A$7:$A$162,0))</x:f>
        <x:v>1</x:v>
      </x:c>
      <x:c r="F619" s="18" t="n">
        <x:f>C619*E619</x:f>
        <x:v>100</x:v>
      </x:c>
      <x:c r="G619" s="18" t="n">
        <x:f>ROUNDUP(F619*(1+D619),0)</x:f>
        <x:v>102</x:v>
      </x:c>
      <x:c r="H619" s="18" t="n">
        <x:f>INDEX('Dated offers'!$F$7:$F$305,MATCH($Z619,'Dated offers'!$A$7:$A$305,0))</x:f>
        <x:v>1</x:v>
      </x:c>
      <x:c r="I619" s="18" t="n">
        <x:f>INDEX('Dated offers'!$G$7:$G$305,MATCH($Z619,'Dated offers'!$A$7:$A$305,0))</x:f>
        <x:v>1</x:v>
      </x:c>
      <x:c r="J619" s="18" t="n">
        <x:f>CEILING(MAX(G619,H619),I619)</x:f>
        <x:v>102</x:v>
      </x:c>
      <x:c r="K619" s="18" t="n">
        <x:v>102</x:v>
      </x:c>
      <x:c r="L619" s="18" t="n">
        <x:f>INDEX('Dated offers'!$I$7:$I$305,MATCH($Z619,'Dated offers'!$A$7:$A$305,0))</x:f>
        <x:v>100</x:v>
      </x:c>
      <x:c r="M619" s="25" t="n">
        <x:f>INDEX('Dated offers'!$J$7:$J$305,MATCH($Z619,'Dated offers'!$A$7:$A$305,0))</x:f>
        <x:v>1.476</x:v>
      </x:c>
      <x:c r="N619" s="25" t="n">
        <x:f>INDEX('Dated offers'!$K$7:$K$305,MATCH($Z619,'Dated offers'!$A$7:$A$305,0))</x:f>
        <x:v>0</x:v>
      </x:c>
      <x:c r="O619" s="25" t="n">
        <x:f>F619*M619</x:f>
        <x:v>147.6</x:v>
      </x:c>
      <x:c r="P619" s="25" t="n">
        <x:f>G619*M619</x:f>
        <x:v>150.552</x:v>
      </x:c>
      <x:c r="Q619" s="25" t="n">
        <x:f>K619*M619+N619</x:f>
        <x:v>150.552</x:v>
      </x:c>
      <x:c r="R619" s="18" t="n">
        <x:f>K619-G619</x:f>
        <x:v>0</x:v>
      </x:c>
      <x:c r="S619" s="18" t="n">
        <x:f>INDEX('Dated offers'!$H$7:$H$305,MATCH($Z619,'Dated offers'!$A$7:$A$305,0))</x:f>
        <x:v>5443</x:v>
      </x:c>
      <x:c r="T619" s="2" t="str">
        <x:f>IF(K619&lt;G619,"Order below requirement",IF(K619&lt;L619,"Below price tier",IF(ISNUMBER(S619),IF(K619&gt;S619,"Quantity exceeds snapshot","Within quantity snapshot"),"Stock not stated")))</x:f>
        <x:v>Within quantity snapshot</x:v>
      </x:c>
      <x:c r="U619" s="2" t="str">
        <x:f>INDEX('Dated offers'!$C$7:$C$305,MATCH($Z619,'Dated offers'!$A$7:$A$305,0))</x:f>
        <x:v>DigiKey</x:v>
      </x:c>
      <x:c r="V619" s="2" t="str">
        <x:f>INDEX('Dated offers'!$D$7:$D$305,MATCH($Z619,'Dated offers'!$A$7:$A$305,0))</x:f>
        <x:v>Not stated</x:v>
      </x:c>
      <x:c r="W619" s="24" t="n">
        <x:f>INDEX('Dated offers'!$E$7:$E$305,MATCH($Z619,'Dated offers'!$A$7:$A$305,0))</x:f>
        <x:v>46307.47807273148</x:v>
      </x:c>
      <x:c r="X619" s="2" t="b">
        <x:f>INDEX('Dated offers'!$N$7:$N$305,MATCH($Z619,'Dated offers'!$A$7:$A$305,0))</x:f>
        <x:v>0</x:v>
      </x:c>
      <x:c r="Y619" s="2" t="str">
        <x:f>INDEX('Dated offers'!$O$7:$O$305,MATCH($Z619,'Dated offers'!$A$7:$A$305,0))</x:f>
        <x:v>Unreserved inventory snapshot</x:v>
      </x:c>
      <x:c r="Z619" s="17" t="str">
        <x:v>OF0287</x:v>
      </x:c>
      <x:c r="AA619" s="2"/>
      <x:c r="AB619" s="2" t="str">
        <x:f>INDEX('Dated offers'!$Q$7:$Q$305,MATCH($Z619,'Dated offers'!$A$7:$A$305,0))</x:f>
        <x:v>https://www.digikey.com/en/products/detail/texas-instruments/TPS3435CAKAGDDFR/17748491</x:v>
      </x:c>
    </x:row>
    <x:row r="620" ht="24" customHeight="1">
      <x:c r="A620" s="2" t="str">
        <x:v>100 boards / 2% planning</x:v>
      </x:c>
      <x:c r="B620" s="17" t="str">
        <x:v>TPS3700DDCR</x:v>
      </x:c>
      <x:c r="C620" s="18" t="n">
        <x:v>100</x:v>
      </x:c>
      <x:c r="D620" s="27" t="n">
        <x:v>0.02</x:v>
      </x:c>
      <x:c r="E620" s="18" t="n">
        <x:f>INDEX('Assembly BOM'!$C$7:$C$162,MATCH($B620,'Assembly BOM'!$A$7:$A$162,0))</x:f>
        <x:v>1</x:v>
      </x:c>
      <x:c r="F620" s="18" t="n">
        <x:f>C620*E620</x:f>
        <x:v>100</x:v>
      </x:c>
      <x:c r="G620" s="18" t="n">
        <x:f>ROUNDUP(F620*(1+D620),0)</x:f>
        <x:v>102</x:v>
      </x:c>
      <x:c r="H620" s="18" t="n">
        <x:f>INDEX('Dated offers'!$F$7:$F$305,MATCH($Z620,'Dated offers'!$A$7:$A$305,0))</x:f>
        <x:v>1</x:v>
      </x:c>
      <x:c r="I620" s="18" t="n">
        <x:f>INDEX('Dated offers'!$G$7:$G$305,MATCH($Z620,'Dated offers'!$A$7:$A$305,0))</x:f>
        <x:v>1</x:v>
      </x:c>
      <x:c r="J620" s="18" t="n">
        <x:f>CEILING(MAX(G620,H620),I620)</x:f>
        <x:v>102</x:v>
      </x:c>
      <x:c r="K620" s="18" t="n">
        <x:v>102</x:v>
      </x:c>
      <x:c r="L620" s="18" t="n">
        <x:f>INDEX('Dated offers'!$I$7:$I$305,MATCH($Z620,'Dated offers'!$A$7:$A$305,0))</x:f>
        <x:v>100</x:v>
      </x:c>
      <x:c r="M620" s="25" t="n">
        <x:f>INDEX('Dated offers'!$J$7:$J$305,MATCH($Z620,'Dated offers'!$A$7:$A$305,0))</x:f>
        <x:v>0.9039</x:v>
      </x:c>
      <x:c r="N620" s="25" t="n">
        <x:f>INDEX('Dated offers'!$K$7:$K$305,MATCH($Z620,'Dated offers'!$A$7:$A$305,0))</x:f>
        <x:v>0</x:v>
      </x:c>
      <x:c r="O620" s="25" t="n">
        <x:f>F620*M620</x:f>
        <x:v>90.39</x:v>
      </x:c>
      <x:c r="P620" s="25" t="n">
        <x:f>G620*M620</x:f>
        <x:v>92.1978</x:v>
      </x:c>
      <x:c r="Q620" s="25" t="n">
        <x:f>K620*M620+N620</x:f>
        <x:v>92.1978</x:v>
      </x:c>
      <x:c r="R620" s="18" t="n">
        <x:f>K620-G620</x:f>
        <x:v>0</x:v>
      </x:c>
      <x:c r="S620" s="18" t="n">
        <x:f>INDEX('Dated offers'!$H$7:$H$305,MATCH($Z620,'Dated offers'!$A$7:$A$305,0))</x:f>
        <x:v>13826</x:v>
      </x:c>
      <x:c r="T620" s="2" t="str">
        <x:f>IF(K620&lt;G620,"Order below requirement",IF(K620&lt;L620,"Below price tier",IF(ISNUMBER(S620),IF(K620&gt;S620,"Quantity exceeds snapshot","Within quantity snapshot"),"Stock not stated")))</x:f>
        <x:v>Within quantity snapshot</x:v>
      </x:c>
      <x:c r="U620" s="2" t="str">
        <x:f>INDEX('Dated offers'!$C$7:$C$305,MATCH($Z620,'Dated offers'!$A$7:$A$305,0))</x:f>
        <x:v>LCSC</x:v>
      </x:c>
      <x:c r="V620" s="2" t="str">
        <x:f>INDEX('Dated offers'!$D$7:$D$305,MATCH($Z620,'Dated offers'!$A$7:$A$305,0))</x:f>
        <x:v>C33002</x:v>
      </x:c>
      <x:c r="W620" s="24" t="n">
        <x:f>INDEX('Dated offers'!$E$7:$E$305,MATCH($Z620,'Dated offers'!$A$7:$A$305,0))</x:f>
        <x:v>46307.44749138889</x:v>
      </x:c>
      <x:c r="X620" s="2" t="b">
        <x:f>INDEX('Dated offers'!$N$7:$N$305,MATCH($Z620,'Dated offers'!$A$7:$A$305,0))</x:f>
        <x:v>0</x:v>
      </x:c>
      <x:c r="Y620" s="2" t="str">
        <x:f>INDEX('Dated offers'!$O$7:$O$305,MATCH($Z620,'Dated offers'!$A$7:$A$305,0))</x:f>
        <x:v>Unreserved inventory snapshot</x:v>
      </x:c>
      <x:c r="Z620" s="17" t="str">
        <x:v>OF0288</x:v>
      </x:c>
      <x:c r="AA620" s="2"/>
      <x:c r="AB620" s="2" t="str">
        <x:f>INDEX('Dated offers'!$Q$7:$Q$305,MATCH($Z620,'Dated offers'!$A$7:$A$305,0))</x:f>
        <x:v>https://www.lcsc.com/product-detail/C33002.html</x:v>
      </x:c>
    </x:row>
    <x:row r="621" ht="24" customHeight="1">
      <x:c r="A621" s="2" t="str">
        <x:v>100 boards / 2% planning</x:v>
      </x:c>
      <x:c r="B621" s="17" t="str">
        <x:v>TPS3808G01DBVR</x:v>
      </x:c>
      <x:c r="C621" s="18" t="n">
        <x:v>100</x:v>
      </x:c>
      <x:c r="D621" s="27" t="n">
        <x:v>0.02</x:v>
      </x:c>
      <x:c r="E621" s="18" t="n">
        <x:f>INDEX('Assembly BOM'!$C$7:$C$162,MATCH($B621,'Assembly BOM'!$A$7:$A$162,0))</x:f>
        <x:v>2</x:v>
      </x:c>
      <x:c r="F621" s="18" t="n">
        <x:f>C621*E621</x:f>
        <x:v>200</x:v>
      </x:c>
      <x:c r="G621" s="18" t="n">
        <x:f>ROUNDUP(F621*(1+D621),0)</x:f>
        <x:v>204</x:v>
      </x:c>
      <x:c r="H621" s="18" t="n">
        <x:f>INDEX('Dated offers'!$F$7:$F$305,MATCH($Z621,'Dated offers'!$A$7:$A$305,0))</x:f>
        <x:v>5</x:v>
      </x:c>
      <x:c r="I621" s="18" t="n">
        <x:f>INDEX('Dated offers'!$G$7:$G$305,MATCH($Z621,'Dated offers'!$A$7:$A$305,0))</x:f>
        <x:v>5</x:v>
      </x:c>
      <x:c r="J621" s="18" t="n">
        <x:f>CEILING(MAX(G621,H621),I621)</x:f>
        <x:v>205</x:v>
      </x:c>
      <x:c r="K621" s="18" t="n">
        <x:v>205</x:v>
      </x:c>
      <x:c r="L621" s="18" t="n">
        <x:f>INDEX('Dated offers'!$I$7:$I$305,MATCH($Z621,'Dated offers'!$A$7:$A$305,0))</x:f>
        <x:v>150</x:v>
      </x:c>
      <x:c r="M621" s="25" t="n">
        <x:f>INDEX('Dated offers'!$J$7:$J$305,MATCH($Z621,'Dated offers'!$A$7:$A$305,0))</x:f>
        <x:v>0.3103</x:v>
      </x:c>
      <x:c r="N621" s="25" t="n">
        <x:f>INDEX('Dated offers'!$K$7:$K$305,MATCH($Z621,'Dated offers'!$A$7:$A$305,0))</x:f>
        <x:v>0</x:v>
      </x:c>
      <x:c r="O621" s="25" t="n">
        <x:f>F621*M621</x:f>
        <x:v>62.06</x:v>
      </x:c>
      <x:c r="P621" s="25" t="n">
        <x:f>G621*M621</x:f>
        <x:v>63.3012</x:v>
      </x:c>
      <x:c r="Q621" s="25" t="n">
        <x:f>K621*M621+N621</x:f>
        <x:v>63.61150000000001</x:v>
      </x:c>
      <x:c r="R621" s="18" t="n">
        <x:f>K621-G621</x:f>
        <x:v>1</x:v>
      </x:c>
      <x:c r="S621" s="18" t="n">
        <x:f>INDEX('Dated offers'!$H$7:$H$305,MATCH($Z621,'Dated offers'!$A$7:$A$305,0))</x:f>
        <x:v>15495</x:v>
      </x:c>
      <x:c r="T621" s="2" t="str">
        <x:f>IF(K621&lt;G621,"Order below requirement",IF(K621&lt;L621,"Below price tier",IF(ISNUMBER(S621),IF(K621&gt;S621,"Quantity exceeds snapshot","Within quantity snapshot"),"Stock not stated")))</x:f>
        <x:v>Within quantity snapshot</x:v>
      </x:c>
      <x:c r="U621" s="2" t="str">
        <x:f>INDEX('Dated offers'!$C$7:$C$305,MATCH($Z621,'Dated offers'!$A$7:$A$305,0))</x:f>
        <x:v>LCSC</x:v>
      </x:c>
      <x:c r="V621" s="2" t="str">
        <x:f>INDEX('Dated offers'!$D$7:$D$305,MATCH($Z621,'Dated offers'!$A$7:$A$305,0))</x:f>
        <x:v>C19653</x:v>
      </x:c>
      <x:c r="W621" s="24" t="n">
        <x:f>INDEX('Dated offers'!$E$7:$E$305,MATCH($Z621,'Dated offers'!$A$7:$A$305,0))</x:f>
        <x:v>46307.44749333333</x:v>
      </x:c>
      <x:c r="X621" s="2" t="b">
        <x:f>INDEX('Dated offers'!$N$7:$N$305,MATCH($Z621,'Dated offers'!$A$7:$A$305,0))</x:f>
        <x:v>0</x:v>
      </x:c>
      <x:c r="Y621" s="2" t="str">
        <x:f>INDEX('Dated offers'!$O$7:$O$305,MATCH($Z621,'Dated offers'!$A$7:$A$305,0))</x:f>
        <x:v>Unreserved inventory snapshot</x:v>
      </x:c>
      <x:c r="Z621" s="17" t="str">
        <x:v>OF0289</x:v>
      </x:c>
      <x:c r="AA621" s="2"/>
      <x:c r="AB621" s="2" t="str">
        <x:f>INDEX('Dated offers'!$Q$7:$Q$305,MATCH($Z621,'Dated offers'!$A$7:$A$305,0))</x:f>
        <x:v>https://www.lcsc.com/product-detail/C19653.html</x:v>
      </x:c>
    </x:row>
    <x:row r="622" ht="24" customHeight="1">
      <x:c r="A622" s="2" t="str">
        <x:v>100 boards / 2% planning</x:v>
      </x:c>
      <x:c r="B622" s="17" t="str">
        <x:v>TPS3808G33DBVR</x:v>
      </x:c>
      <x:c r="C622" s="18" t="n">
        <x:v>100</x:v>
      </x:c>
      <x:c r="D622" s="27" t="n">
        <x:v>0.02</x:v>
      </x:c>
      <x:c r="E622" s="18" t="n">
        <x:f>INDEX('Assembly BOM'!$C$7:$C$162,MATCH($B622,'Assembly BOM'!$A$7:$A$162,0))</x:f>
        <x:v>1</x:v>
      </x:c>
      <x:c r="F622" s="18" t="n">
        <x:f>C622*E622</x:f>
        <x:v>100</x:v>
      </x:c>
      <x:c r="G622" s="18" t="n">
        <x:f>ROUNDUP(F622*(1+D622),0)</x:f>
        <x:v>102</x:v>
      </x:c>
      <x:c r="H622" s="18" t="n">
        <x:f>INDEX('Dated offers'!$F$7:$F$305,MATCH($Z622,'Dated offers'!$A$7:$A$305,0))</x:f>
        <x:v>1</x:v>
      </x:c>
      <x:c r="I622" s="18" t="n">
        <x:f>INDEX('Dated offers'!$G$7:$G$305,MATCH($Z622,'Dated offers'!$A$7:$A$305,0))</x:f>
        <x:v>1</x:v>
      </x:c>
      <x:c r="J622" s="18" t="n">
        <x:f>CEILING(MAX(G622,H622),I622)</x:f>
        <x:v>102</x:v>
      </x:c>
      <x:c r="K622" s="18" t="n">
        <x:v>102</x:v>
      </x:c>
      <x:c r="L622" s="18" t="n">
        <x:f>INDEX('Dated offers'!$I$7:$I$305,MATCH($Z622,'Dated offers'!$A$7:$A$305,0))</x:f>
        <x:v>100</x:v>
      </x:c>
      <x:c r="M622" s="25" t="n">
        <x:f>INDEX('Dated offers'!$J$7:$J$305,MATCH($Z622,'Dated offers'!$A$7:$A$305,0))</x:f>
        <x:v>0.245</x:v>
      </x:c>
      <x:c r="N622" s="25" t="n">
        <x:f>INDEX('Dated offers'!$K$7:$K$305,MATCH($Z622,'Dated offers'!$A$7:$A$305,0))</x:f>
        <x:v>0</x:v>
      </x:c>
      <x:c r="O622" s="25" t="n">
        <x:f>F622*M622</x:f>
        <x:v>24.5</x:v>
      </x:c>
      <x:c r="P622" s="25" t="n">
        <x:f>G622*M622</x:f>
        <x:v>24.99</x:v>
      </x:c>
      <x:c r="Q622" s="25" t="n">
        <x:f>K622*M622+N622</x:f>
        <x:v>24.99</x:v>
      </x:c>
      <x:c r="R622" s="18" t="n">
        <x:f>K622-G622</x:f>
        <x:v>0</x:v>
      </x:c>
      <x:c r="S622" s="18" t="n">
        <x:f>INDEX('Dated offers'!$H$7:$H$305,MATCH($Z622,'Dated offers'!$A$7:$A$305,0))</x:f>
        <x:v>23019</x:v>
      </x:c>
      <x:c r="T622" s="2" t="str">
        <x:f>IF(K622&lt;G622,"Order below requirement",IF(K622&lt;L622,"Below price tier",IF(ISNUMBER(S622),IF(K622&gt;S622,"Quantity exceeds snapshot","Within quantity snapshot"),"Stock not stated")))</x:f>
        <x:v>Within quantity snapshot</x:v>
      </x:c>
      <x:c r="U622" s="2" t="str">
        <x:f>INDEX('Dated offers'!$C$7:$C$305,MATCH($Z622,'Dated offers'!$A$7:$A$305,0))</x:f>
        <x:v>LCSC</x:v>
      </x:c>
      <x:c r="V622" s="2" t="str">
        <x:f>INDEX('Dated offers'!$D$7:$D$305,MATCH($Z622,'Dated offers'!$A$7:$A$305,0))</x:f>
        <x:v>C43698</x:v>
      </x:c>
      <x:c r="W622" s="24" t="n">
        <x:f>INDEX('Dated offers'!$E$7:$E$305,MATCH($Z622,'Dated offers'!$A$7:$A$305,0))</x:f>
        <x:v>46307.44749550926</x:v>
      </x:c>
      <x:c r="X622" s="2" t="b">
        <x:f>INDEX('Dated offers'!$N$7:$N$305,MATCH($Z622,'Dated offers'!$A$7:$A$305,0))</x:f>
        <x:v>0</x:v>
      </x:c>
      <x:c r="Y622" s="2" t="str">
        <x:f>INDEX('Dated offers'!$O$7:$O$305,MATCH($Z622,'Dated offers'!$A$7:$A$305,0))</x:f>
        <x:v>Unreserved inventory snapshot</x:v>
      </x:c>
      <x:c r="Z622" s="17" t="str">
        <x:v>OF0290</x:v>
      </x:c>
      <x:c r="AA622" s="2"/>
      <x:c r="AB622" s="2" t="str">
        <x:f>INDEX('Dated offers'!$Q$7:$Q$305,MATCH($Z622,'Dated offers'!$A$7:$A$305,0))</x:f>
        <x:v>https://www.lcsc.com/product-detail/C43698.html</x:v>
      </x:c>
    </x:row>
    <x:row r="623" ht="24" customHeight="1">
      <x:c r="A623" s="2" t="str">
        <x:v>100 boards / 2% planning</x:v>
      </x:c>
      <x:c r="B623" s="17" t="str">
        <x:v>TPS389001DSER</x:v>
      </x:c>
      <x:c r="C623" s="18" t="n">
        <x:v>100</x:v>
      </x:c>
      <x:c r="D623" s="27" t="n">
        <x:v>0.02</x:v>
      </x:c>
      <x:c r="E623" s="18" t="n">
        <x:f>INDEX('Assembly BOM'!$C$7:$C$162,MATCH($B623,'Assembly BOM'!$A$7:$A$162,0))</x:f>
        <x:v>1</x:v>
      </x:c>
      <x:c r="F623" s="18" t="n">
        <x:f>C623*E623</x:f>
        <x:v>100</x:v>
      </x:c>
      <x:c r="G623" s="18" t="n">
        <x:f>ROUNDUP(F623*(1+D623),0)</x:f>
        <x:v>102</x:v>
      </x:c>
      <x:c r="H623" s="18" t="n">
        <x:f>INDEX('Dated offers'!$F$7:$F$305,MATCH($Z623,'Dated offers'!$A$7:$A$305,0))</x:f>
        <x:v>1</x:v>
      </x:c>
      <x:c r="I623" s="18" t="n">
        <x:f>INDEX('Dated offers'!$G$7:$G$305,MATCH($Z623,'Dated offers'!$A$7:$A$305,0))</x:f>
        <x:v>1</x:v>
      </x:c>
      <x:c r="J623" s="18" t="n">
        <x:f>CEILING(MAX(G623,H623),I623)</x:f>
        <x:v>102</x:v>
      </x:c>
      <x:c r="K623" s="18" t="n">
        <x:v>102</x:v>
      </x:c>
      <x:c r="L623" s="18" t="n">
        <x:f>INDEX('Dated offers'!$I$7:$I$305,MATCH($Z623,'Dated offers'!$A$7:$A$305,0))</x:f>
        <x:v>100</x:v>
      </x:c>
      <x:c r="M623" s="25" t="n">
        <x:f>INDEX('Dated offers'!$J$7:$J$305,MATCH($Z623,'Dated offers'!$A$7:$A$305,0))</x:f>
        <x:v>1.1273</x:v>
      </x:c>
      <x:c r="N623" s="25" t="n">
        <x:f>INDEX('Dated offers'!$K$7:$K$305,MATCH($Z623,'Dated offers'!$A$7:$A$305,0))</x:f>
        <x:v>0</x:v>
      </x:c>
      <x:c r="O623" s="25" t="n">
        <x:f>F623*M623</x:f>
        <x:v>112.72999999999999</x:v>
      </x:c>
      <x:c r="P623" s="25" t="n">
        <x:f>G623*M623</x:f>
        <x:v>114.9846</x:v>
      </x:c>
      <x:c r="Q623" s="25" t="n">
        <x:f>K623*M623+N623</x:f>
        <x:v>114.9846</x:v>
      </x:c>
      <x:c r="R623" s="18" t="n">
        <x:f>K623-G623</x:f>
        <x:v>0</x:v>
      </x:c>
      <x:c r="S623" s="18" t="n">
        <x:f>INDEX('Dated offers'!$H$7:$H$305,MATCH($Z623,'Dated offers'!$A$7:$A$305,0))</x:f>
        <x:v>26260</x:v>
      </x:c>
      <x:c r="T623" s="2" t="str">
        <x:f>IF(K623&lt;G623,"Order below requirement",IF(K623&lt;L623,"Below price tier",IF(ISNUMBER(S623),IF(K623&gt;S623,"Quantity exceeds snapshot","Within quantity snapshot"),"Stock not stated")))</x:f>
        <x:v>Within quantity snapshot</x:v>
      </x:c>
      <x:c r="U623" s="2" t="str">
        <x:f>INDEX('Dated offers'!$C$7:$C$305,MATCH($Z623,'Dated offers'!$A$7:$A$305,0))</x:f>
        <x:v>DigiKey</x:v>
      </x:c>
      <x:c r="V623" s="2" t="str">
        <x:f>INDEX('Dated offers'!$D$7:$D$305,MATCH($Z623,'Dated offers'!$A$7:$A$305,0))</x:f>
        <x:v>Not stated</x:v>
      </x:c>
      <x:c r="W623" s="24" t="n">
        <x:f>INDEX('Dated offers'!$E$7:$E$305,MATCH($Z623,'Dated offers'!$A$7:$A$305,0))</x:f>
        <x:v>46307.47807253472</x:v>
      </x:c>
      <x:c r="X623" s="2" t="b">
        <x:f>INDEX('Dated offers'!$N$7:$N$305,MATCH($Z623,'Dated offers'!$A$7:$A$305,0))</x:f>
        <x:v>0</x:v>
      </x:c>
      <x:c r="Y623" s="2" t="str">
        <x:f>INDEX('Dated offers'!$O$7:$O$305,MATCH($Z623,'Dated offers'!$A$7:$A$305,0))</x:f>
        <x:v>Unreserved inventory snapshot</x:v>
      </x:c>
      <x:c r="Z623" s="17" t="str">
        <x:v>OF0291</x:v>
      </x:c>
      <x:c r="AA623" s="2"/>
      <x:c r="AB623" s="2" t="str">
        <x:f>INDEX('Dated offers'!$Q$7:$Q$305,MATCH($Z623,'Dated offers'!$A$7:$A$305,0))</x:f>
        <x:v>https://www.digikey.com/en/products/detail/texas-instruments/TPS389001DSER/6123505</x:v>
      </x:c>
    </x:row>
    <x:row r="624" ht="24" customHeight="1">
      <x:c r="A624" s="2" t="str">
        <x:v>100 boards / 2% planning</x:v>
      </x:c>
      <x:c r="B624" s="17" t="str">
        <x:v>TPS62912RPUR</x:v>
      </x:c>
      <x:c r="C624" s="18" t="n">
        <x:v>100</x:v>
      </x:c>
      <x:c r="D624" s="27" t="n">
        <x:v>0.02</x:v>
      </x:c>
      <x:c r="E624" s="18" t="n">
        <x:f>INDEX('Assembly BOM'!$C$7:$C$162,MATCH($B624,'Assembly BOM'!$A$7:$A$162,0))</x:f>
        <x:v>3</x:v>
      </x:c>
      <x:c r="F624" s="18" t="n">
        <x:f>C624*E624</x:f>
        <x:v>300</x:v>
      </x:c>
      <x:c r="G624" s="18" t="n">
        <x:f>ROUNDUP(F624*(1+D624),0)</x:f>
        <x:v>306</x:v>
      </x:c>
      <x:c r="H624" s="18" t="n">
        <x:f>INDEX('Dated offers'!$F$7:$F$305,MATCH($Z624,'Dated offers'!$A$7:$A$305,0))</x:f>
        <x:v>1</x:v>
      </x:c>
      <x:c r="I624" s="18" t="n">
        <x:f>INDEX('Dated offers'!$G$7:$G$305,MATCH($Z624,'Dated offers'!$A$7:$A$305,0))</x:f>
        <x:v>1</x:v>
      </x:c>
      <x:c r="J624" s="18" t="n">
        <x:f>CEILING(MAX(G624,H624),I624)</x:f>
        <x:v>306</x:v>
      </x:c>
      <x:c r="K624" s="18" t="n">
        <x:v>306</x:v>
      </x:c>
      <x:c r="L624" s="18" t="n">
        <x:f>INDEX('Dated offers'!$I$7:$I$305,MATCH($Z624,'Dated offers'!$A$7:$A$305,0))</x:f>
        <x:v>100</x:v>
      </x:c>
      <x:c r="M624" s="25" t="n">
        <x:f>INDEX('Dated offers'!$J$7:$J$305,MATCH($Z624,'Dated offers'!$A$7:$A$305,0))</x:f>
        <x:v>2.9714</x:v>
      </x:c>
      <x:c r="N624" s="25" t="n">
        <x:f>INDEX('Dated offers'!$K$7:$K$305,MATCH($Z624,'Dated offers'!$A$7:$A$305,0))</x:f>
        <x:v>0</x:v>
      </x:c>
      <x:c r="O624" s="25" t="n">
        <x:f>F624*M624</x:f>
        <x:v>891.42</x:v>
      </x:c>
      <x:c r="P624" s="25" t="n">
        <x:f>G624*M624</x:f>
        <x:v>909.2484000000001</x:v>
      </x:c>
      <x:c r="Q624" s="25" t="n">
        <x:f>K624*M624+N624</x:f>
        <x:v>909.2484000000001</x:v>
      </x:c>
      <x:c r="R624" s="18" t="n">
        <x:f>K624-G624</x:f>
        <x:v>0</x:v>
      </x:c>
      <x:c r="S624" s="18" t="n">
        <x:f>INDEX('Dated offers'!$H$7:$H$305,MATCH($Z624,'Dated offers'!$A$7:$A$305,0))</x:f>
        <x:v>902</x:v>
      </x:c>
      <x:c r="T624" s="2" t="str">
        <x:f>IF(K624&lt;G624,"Order below requirement",IF(K624&lt;L624,"Below price tier",IF(ISNUMBER(S624),IF(K624&gt;S624,"Quantity exceeds snapshot","Within quantity snapshot"),"Stock not stated")))</x:f>
        <x:v>Within quantity snapshot</x:v>
      </x:c>
      <x:c r="U624" s="2" t="str">
        <x:f>INDEX('Dated offers'!$C$7:$C$305,MATCH($Z624,'Dated offers'!$A$7:$A$305,0))</x:f>
        <x:v>LCSC</x:v>
      </x:c>
      <x:c r="V624" s="2" t="str">
        <x:f>INDEX('Dated offers'!$D$7:$D$305,MATCH($Z624,'Dated offers'!$A$7:$A$305,0))</x:f>
        <x:v>C3198056</x:v>
      </x:c>
      <x:c r="W624" s="24" t="n">
        <x:f>INDEX('Dated offers'!$E$7:$E$305,MATCH($Z624,'Dated offers'!$A$7:$A$305,0))</x:f>
        <x:v>46307.44749672454</x:v>
      </x:c>
      <x:c r="X624" s="2" t="b">
        <x:f>INDEX('Dated offers'!$N$7:$N$305,MATCH($Z624,'Dated offers'!$A$7:$A$305,0))</x:f>
        <x:v>0</x:v>
      </x:c>
      <x:c r="Y624" s="2" t="str">
        <x:f>INDEX('Dated offers'!$O$7:$O$305,MATCH($Z624,'Dated offers'!$A$7:$A$305,0))</x:f>
        <x:v>Unreserved inventory snapshot</x:v>
      </x:c>
      <x:c r="Z624" s="17" t="str">
        <x:v>OF0292</x:v>
      </x:c>
      <x:c r="AA624" s="2"/>
      <x:c r="AB624" s="2" t="str">
        <x:f>INDEX('Dated offers'!$Q$7:$Q$305,MATCH($Z624,'Dated offers'!$A$7:$A$305,0))</x:f>
        <x:v>https://www.lcsc.com/product-detail/C3198056.html</x:v>
      </x:c>
    </x:row>
    <x:row r="625" ht="24" customHeight="1">
      <x:c r="A625" s="2" t="str">
        <x:v>100 boards / 2% planning</x:v>
      </x:c>
      <x:c r="B625" s="17" t="str">
        <x:v>TPS7A2033PDBVR</x:v>
      </x:c>
      <x:c r="C625" s="18" t="n">
        <x:v>100</x:v>
      </x:c>
      <x:c r="D625" s="27" t="n">
        <x:v>0.02</x:v>
      </x:c>
      <x:c r="E625" s="18" t="n">
        <x:f>INDEX('Assembly BOM'!$C$7:$C$162,MATCH($B625,'Assembly BOM'!$A$7:$A$162,0))</x:f>
        <x:v>1</x:v>
      </x:c>
      <x:c r="F625" s="18" t="n">
        <x:f>C625*E625</x:f>
        <x:v>100</x:v>
      </x:c>
      <x:c r="G625" s="18" t="n">
        <x:f>ROUNDUP(F625*(1+D625),0)</x:f>
        <x:v>102</x:v>
      </x:c>
      <x:c r="H625" s="18" t="n">
        <x:f>INDEX('Dated offers'!$F$7:$F$305,MATCH($Z625,'Dated offers'!$A$7:$A$305,0))</x:f>
        <x:v>5</x:v>
      </x:c>
      <x:c r="I625" s="18" t="n">
        <x:f>INDEX('Dated offers'!$G$7:$G$305,MATCH($Z625,'Dated offers'!$A$7:$A$305,0))</x:f>
        <x:v>5</x:v>
      </x:c>
      <x:c r="J625" s="18" t="n">
        <x:f>CEILING(MAX(G625,H625),I625)</x:f>
        <x:v>105</x:v>
      </x:c>
      <x:c r="K625" s="18" t="n">
        <x:v>105</x:v>
      </x:c>
      <x:c r="L625" s="18" t="n">
        <x:f>INDEX('Dated offers'!$I$7:$I$305,MATCH($Z625,'Dated offers'!$A$7:$A$305,0))</x:f>
        <x:v>50</x:v>
      </x:c>
      <x:c r="M625" s="25" t="n">
        <x:f>INDEX('Dated offers'!$J$7:$J$305,MATCH($Z625,'Dated offers'!$A$7:$A$305,0))</x:f>
        <x:v>0.1679</x:v>
      </x:c>
      <x:c r="N625" s="25" t="n">
        <x:f>INDEX('Dated offers'!$K$7:$K$305,MATCH($Z625,'Dated offers'!$A$7:$A$305,0))</x:f>
        <x:v>0</x:v>
      </x:c>
      <x:c r="O625" s="25" t="n">
        <x:f>F625*M625</x:f>
        <x:v>16.79</x:v>
      </x:c>
      <x:c r="P625" s="25" t="n">
        <x:f>G625*M625</x:f>
        <x:v>17.125799999999998</x:v>
      </x:c>
      <x:c r="Q625" s="25" t="n">
        <x:f>K625*M625+N625</x:f>
        <x:v>17.6295</x:v>
      </x:c>
      <x:c r="R625" s="18" t="n">
        <x:f>K625-G625</x:f>
        <x:v>3</x:v>
      </x:c>
      <x:c r="S625" s="18" t="n">
        <x:f>INDEX('Dated offers'!$H$7:$H$305,MATCH($Z625,'Dated offers'!$A$7:$A$305,0))</x:f>
        <x:v>179995</x:v>
      </x:c>
      <x:c r="T625" s="2" t="str">
        <x:f>IF(K625&lt;G625,"Order below requirement",IF(K625&lt;L625,"Below price tier",IF(ISNUMBER(S625),IF(K625&gt;S625,"Quantity exceeds snapshot","Within quantity snapshot"),"Stock not stated")))</x:f>
        <x:v>Within quantity snapshot</x:v>
      </x:c>
      <x:c r="U625" s="2" t="str">
        <x:f>INDEX('Dated offers'!$C$7:$C$305,MATCH($Z625,'Dated offers'!$A$7:$A$305,0))</x:f>
        <x:v>LCSC</x:v>
      </x:c>
      <x:c r="V625" s="2" t="str">
        <x:f>INDEX('Dated offers'!$D$7:$D$305,MATCH($Z625,'Dated offers'!$A$7:$A$305,0))</x:f>
        <x:v>C2862740</x:v>
      </x:c>
      <x:c r="W625" s="24" t="n">
        <x:f>INDEX('Dated offers'!$E$7:$E$305,MATCH($Z625,'Dated offers'!$A$7:$A$305,0))</x:f>
        <x:v>46307.44749840278</x:v>
      </x:c>
      <x:c r="X625" s="2" t="b">
        <x:f>INDEX('Dated offers'!$N$7:$N$305,MATCH($Z625,'Dated offers'!$A$7:$A$305,0))</x:f>
        <x:v>0</x:v>
      </x:c>
      <x:c r="Y625" s="2" t="str">
        <x:f>INDEX('Dated offers'!$O$7:$O$305,MATCH($Z625,'Dated offers'!$A$7:$A$305,0))</x:f>
        <x:v>Unreserved inventory snapshot</x:v>
      </x:c>
      <x:c r="Z625" s="17" t="str">
        <x:v>OF0293</x:v>
      </x:c>
      <x:c r="AA625" s="2"/>
      <x:c r="AB625" s="2" t="str">
        <x:f>INDEX('Dated offers'!$Q$7:$Q$305,MATCH($Z625,'Dated offers'!$A$7:$A$305,0))</x:f>
        <x:v>https://www.lcsc.com/product-detail/C2862740.html</x:v>
      </x:c>
    </x:row>
    <x:row r="626" ht="24" customHeight="1">
      <x:c r="A626" s="2" t="str">
        <x:v>100 boards / 2% planning</x:v>
      </x:c>
      <x:c r="B626" s="17" t="str">
        <x:v>TVS0500DRVR</x:v>
      </x:c>
      <x:c r="C626" s="18" t="n">
        <x:v>100</x:v>
      </x:c>
      <x:c r="D626" s="27" t="n">
        <x:v>0.02</x:v>
      </x:c>
      <x:c r="E626" s="18" t="n">
        <x:f>INDEX('Assembly BOM'!$C$7:$C$162,MATCH($B626,'Assembly BOM'!$A$7:$A$162,0))</x:f>
        <x:v>1</x:v>
      </x:c>
      <x:c r="F626" s="18" t="n">
        <x:f>C626*E626</x:f>
        <x:v>100</x:v>
      </x:c>
      <x:c r="G626" s="18" t="n">
        <x:f>ROUNDUP(F626*(1+D626),0)</x:f>
        <x:v>102</x:v>
      </x:c>
      <x:c r="H626" s="18" t="n">
        <x:f>INDEX('Dated offers'!$F$7:$F$305,MATCH($Z626,'Dated offers'!$A$7:$A$305,0))</x:f>
        <x:v>1</x:v>
      </x:c>
      <x:c r="I626" s="18" t="n">
        <x:f>INDEX('Dated offers'!$G$7:$G$305,MATCH($Z626,'Dated offers'!$A$7:$A$305,0))</x:f>
        <x:v>1</x:v>
      </x:c>
      <x:c r="J626" s="18" t="n">
        <x:f>CEILING(MAX(G626,H626),I626)</x:f>
        <x:v>102</x:v>
      </x:c>
      <x:c r="K626" s="18" t="n">
        <x:v>102</x:v>
      </x:c>
      <x:c r="L626" s="18" t="n">
        <x:f>INDEX('Dated offers'!$I$7:$I$305,MATCH($Z626,'Dated offers'!$A$7:$A$305,0))</x:f>
        <x:v>100</x:v>
      </x:c>
      <x:c r="M626" s="25" t="n">
        <x:f>INDEX('Dated offers'!$J$7:$J$305,MATCH($Z626,'Dated offers'!$A$7:$A$305,0))</x:f>
        <x:v>0.4493</x:v>
      </x:c>
      <x:c r="N626" s="25" t="n">
        <x:f>INDEX('Dated offers'!$K$7:$K$305,MATCH($Z626,'Dated offers'!$A$7:$A$305,0))</x:f>
        <x:v>0</x:v>
      </x:c>
      <x:c r="O626" s="25" t="n">
        <x:f>F626*M626</x:f>
        <x:v>44.93</x:v>
      </x:c>
      <x:c r="P626" s="25" t="n">
        <x:f>G626*M626</x:f>
        <x:v>45.828599999999994</x:v>
      </x:c>
      <x:c r="Q626" s="25" t="n">
        <x:f>K626*M626+N626</x:f>
        <x:v>45.828599999999994</x:v>
      </x:c>
      <x:c r="R626" s="18" t="n">
        <x:f>K626-G626</x:f>
        <x:v>0</x:v>
      </x:c>
      <x:c r="S626" s="18" t="n">
        <x:f>INDEX('Dated offers'!$H$7:$H$305,MATCH($Z626,'Dated offers'!$A$7:$A$305,0))</x:f>
        <x:v>37002</x:v>
      </x:c>
      <x:c r="T626" s="2" t="str">
        <x:f>IF(K626&lt;G626,"Order below requirement",IF(K626&lt;L626,"Below price tier",IF(ISNUMBER(S626),IF(K626&gt;S626,"Quantity exceeds snapshot","Within quantity snapshot"),"Stock not stated")))</x:f>
        <x:v>Within quantity snapshot</x:v>
      </x:c>
      <x:c r="U626" s="2" t="str">
        <x:f>INDEX('Dated offers'!$C$7:$C$305,MATCH($Z626,'Dated offers'!$A$7:$A$305,0))</x:f>
        <x:v>DigiKey</x:v>
      </x:c>
      <x:c r="V626" s="2" t="str">
        <x:f>INDEX('Dated offers'!$D$7:$D$305,MATCH($Z626,'Dated offers'!$A$7:$A$305,0))</x:f>
        <x:v>Not stated</x:v>
      </x:c>
      <x:c r="W626" s="24" t="n">
        <x:f>INDEX('Dated offers'!$E$7:$E$305,MATCH($Z626,'Dated offers'!$A$7:$A$305,0))</x:f>
        <x:v>46307.4780725463</x:v>
      </x:c>
      <x:c r="X626" s="2" t="b">
        <x:f>INDEX('Dated offers'!$N$7:$N$305,MATCH($Z626,'Dated offers'!$A$7:$A$305,0))</x:f>
        <x:v>0</x:v>
      </x:c>
      <x:c r="Y626" s="2" t="str">
        <x:f>INDEX('Dated offers'!$O$7:$O$305,MATCH($Z626,'Dated offers'!$A$7:$A$305,0))</x:f>
        <x:v>Unreserved inventory snapshot</x:v>
      </x:c>
      <x:c r="Z626" s="17" t="str">
        <x:v>OF0294</x:v>
      </x:c>
      <x:c r="AA626" s="2"/>
      <x:c r="AB626" s="2" t="str">
        <x:f>INDEX('Dated offers'!$Q$7:$Q$305,MATCH($Z626,'Dated offers'!$A$7:$A$305,0))</x:f>
        <x:v>https://www.digikey.com/en/products/detail/texas-instruments/TVS0500DRVR/8538263</x:v>
      </x:c>
    </x:row>
    <x:row r="627" ht="24" customHeight="1">
      <x:c r="A627" s="2" t="str">
        <x:v>100 boards / 2% planning</x:v>
      </x:c>
      <x:c r="B627" s="17" t="str">
        <x:v>TYPE-C-31-M-12</x:v>
      </x:c>
      <x:c r="C627" s="18" t="n">
        <x:v>100</x:v>
      </x:c>
      <x:c r="D627" s="27" t="n">
        <x:v>0.02</x:v>
      </x:c>
      <x:c r="E627" s="18" t="n">
        <x:f>INDEX('Assembly BOM'!$C$7:$C$162,MATCH($B627,'Assembly BOM'!$A$7:$A$162,0))</x:f>
        <x:v>1</x:v>
      </x:c>
      <x:c r="F627" s="18" t="n">
        <x:f>C627*E627</x:f>
        <x:v>100</x:v>
      </x:c>
      <x:c r="G627" s="18" t="n">
        <x:f>ROUNDUP(F627*(1+D627),0)</x:f>
        <x:v>102</x:v>
      </x:c>
      <x:c r="H627" s="18" t="n">
        <x:f>INDEX('Dated offers'!$F$7:$F$305,MATCH($Z627,'Dated offers'!$A$7:$A$305,0))</x:f>
        <x:v>5</x:v>
      </x:c>
      <x:c r="I627" s="18" t="n">
        <x:f>INDEX('Dated offers'!$G$7:$G$305,MATCH($Z627,'Dated offers'!$A$7:$A$305,0))</x:f>
        <x:v>5</x:v>
      </x:c>
      <x:c r="J627" s="18" t="n">
        <x:f>CEILING(MAX(G627,H627),I627)</x:f>
        <x:v>105</x:v>
      </x:c>
      <x:c r="K627" s="18" t="n">
        <x:v>105</x:v>
      </x:c>
      <x:c r="L627" s="18" t="n">
        <x:f>INDEX('Dated offers'!$I$7:$I$305,MATCH($Z627,'Dated offers'!$A$7:$A$305,0))</x:f>
        <x:v>50</x:v>
      </x:c>
      <x:c r="M627" s="25" t="n">
        <x:f>INDEX('Dated offers'!$J$7:$J$305,MATCH($Z627,'Dated offers'!$A$7:$A$305,0))</x:f>
        <x:v>0.1483</x:v>
      </x:c>
      <x:c r="N627" s="25" t="n">
        <x:f>INDEX('Dated offers'!$K$7:$K$305,MATCH($Z627,'Dated offers'!$A$7:$A$305,0))</x:f>
        <x:v>0</x:v>
      </x:c>
      <x:c r="O627" s="25" t="n">
        <x:f>F627*M627</x:f>
        <x:v>14.829999999999998</x:v>
      </x:c>
      <x:c r="P627" s="25" t="n">
        <x:f>G627*M627</x:f>
        <x:v>15.126599999999998</x:v>
      </x:c>
      <x:c r="Q627" s="25" t="n">
        <x:f>K627*M627+N627</x:f>
        <x:v>15.571499999999999</x:v>
      </x:c>
      <x:c r="R627" s="18" t="n">
        <x:f>K627-G627</x:f>
        <x:v>3</x:v>
      </x:c>
      <x:c r="S627" s="18" t="n">
        <x:f>INDEX('Dated offers'!$H$7:$H$305,MATCH($Z627,'Dated offers'!$A$7:$A$305,0))</x:f>
        <x:v>380675</x:v>
      </x:c>
      <x:c r="T627" s="2" t="str">
        <x:f>IF(K627&lt;G627,"Order below requirement",IF(K627&lt;L627,"Below price tier",IF(ISNUMBER(S627),IF(K627&gt;S627,"Quantity exceeds snapshot","Within quantity snapshot"),"Stock not stated")))</x:f>
        <x:v>Within quantity snapshot</x:v>
      </x:c>
      <x:c r="U627" s="2" t="str">
        <x:f>INDEX('Dated offers'!$C$7:$C$305,MATCH($Z627,'Dated offers'!$A$7:$A$305,0))</x:f>
        <x:v>LCSC</x:v>
      </x:c>
      <x:c r="V627" s="2" t="str">
        <x:f>INDEX('Dated offers'!$D$7:$D$305,MATCH($Z627,'Dated offers'!$A$7:$A$305,0))</x:f>
        <x:v>C165948</x:v>
      </x:c>
      <x:c r="W627" s="24" t="n">
        <x:f>INDEX('Dated offers'!$E$7:$E$305,MATCH($Z627,'Dated offers'!$A$7:$A$305,0))</x:f>
        <x:v>46307.44750119213</x:v>
      </x:c>
      <x:c r="X627" s="2" t="b">
        <x:f>INDEX('Dated offers'!$N$7:$N$305,MATCH($Z627,'Dated offers'!$A$7:$A$305,0))</x:f>
        <x:v>0</x:v>
      </x:c>
      <x:c r="Y627" s="2" t="str">
        <x:f>INDEX('Dated offers'!$O$7:$O$305,MATCH($Z627,'Dated offers'!$A$7:$A$305,0))</x:f>
        <x:v>Unreserved inventory snapshot</x:v>
      </x:c>
      <x:c r="Z627" s="17" t="str">
        <x:v>OF0295</x:v>
      </x:c>
      <x:c r="AA627" s="2"/>
      <x:c r="AB627" s="2" t="str">
        <x:f>INDEX('Dated offers'!$Q$7:$Q$305,MATCH($Z627,'Dated offers'!$A$7:$A$305,0))</x:f>
        <x:v>https://www.lcsc.com/product-detail/C165948.html</x:v>
      </x:c>
    </x:row>
    <x:row r="628" ht="24" customHeight="1">
      <x:c r="A628" s="2" t="str">
        <x:v>100 boards / 2% planning</x:v>
      </x:c>
      <x:c r="B628" s="17" t="str">
        <x:v>U.FL-R-SMT-1(80)</x:v>
      </x:c>
      <x:c r="C628" s="18" t="n">
        <x:v>100</x:v>
      </x:c>
      <x:c r="D628" s="27" t="n">
        <x:v>0.02</x:v>
      </x:c>
      <x:c r="E628" s="18" t="n">
        <x:f>INDEX('Assembly BOM'!$C$7:$C$162,MATCH($B628,'Assembly BOM'!$A$7:$A$162,0))</x:f>
        <x:v>1</x:v>
      </x:c>
      <x:c r="F628" s="18" t="n">
        <x:f>C628*E628</x:f>
        <x:v>100</x:v>
      </x:c>
      <x:c r="G628" s="18" t="n">
        <x:f>ROUNDUP(F628*(1+D628),0)</x:f>
        <x:v>102</x:v>
      </x:c>
      <x:c r="H628" s="18" t="n">
        <x:f>INDEX('Dated offers'!$F$7:$F$305,MATCH($Z628,'Dated offers'!$A$7:$A$305,0))</x:f>
        <x:v>5</x:v>
      </x:c>
      <x:c r="I628" s="18" t="n">
        <x:f>INDEX('Dated offers'!$G$7:$G$305,MATCH($Z628,'Dated offers'!$A$7:$A$305,0))</x:f>
        <x:v>5</x:v>
      </x:c>
      <x:c r="J628" s="18" t="n">
        <x:f>CEILING(MAX(G628,H628),I628)</x:f>
        <x:v>105</x:v>
      </x:c>
      <x:c r="K628" s="18" t="n">
        <x:v>105</x:v>
      </x:c>
      <x:c r="L628" s="18" t="n">
        <x:f>INDEX('Dated offers'!$I$7:$I$305,MATCH($Z628,'Dated offers'!$A$7:$A$305,0))</x:f>
        <x:v>50</x:v>
      </x:c>
      <x:c r="M628" s="25" t="n">
        <x:f>INDEX('Dated offers'!$J$7:$J$305,MATCH($Z628,'Dated offers'!$A$7:$A$305,0))</x:f>
        <x:v>0.0931</x:v>
      </x:c>
      <x:c r="N628" s="25" t="n">
        <x:f>INDEX('Dated offers'!$K$7:$K$305,MATCH($Z628,'Dated offers'!$A$7:$A$305,0))</x:f>
        <x:v>0</x:v>
      </x:c>
      <x:c r="O628" s="25" t="n">
        <x:f>F628*M628</x:f>
        <x:v>9.31</x:v>
      </x:c>
      <x:c r="P628" s="25" t="n">
        <x:f>G628*M628</x:f>
        <x:v>9.4962</x:v>
      </x:c>
      <x:c r="Q628" s="25" t="n">
        <x:f>K628*M628+N628</x:f>
        <x:v>9.775500000000001</x:v>
      </x:c>
      <x:c r="R628" s="18" t="n">
        <x:f>K628-G628</x:f>
        <x:v>3</x:v>
      </x:c>
      <x:c r="S628" s="18" t="n">
        <x:f>INDEX('Dated offers'!$H$7:$H$305,MATCH($Z628,'Dated offers'!$A$7:$A$305,0))</x:f>
        <x:v>92510</x:v>
      </x:c>
      <x:c r="T628" s="2" t="str">
        <x:f>IF(K628&lt;G628,"Order below requirement",IF(K628&lt;L628,"Below price tier",IF(ISNUMBER(S628),IF(K628&gt;S628,"Quantity exceeds snapshot","Within quantity snapshot"),"Stock not stated")))</x:f>
        <x:v>Within quantity snapshot</x:v>
      </x:c>
      <x:c r="U628" s="2" t="str">
        <x:f>INDEX('Dated offers'!$C$7:$C$305,MATCH($Z628,'Dated offers'!$A$7:$A$305,0))</x:f>
        <x:v>LCSC</x:v>
      </x:c>
      <x:c r="V628" s="2" t="str">
        <x:f>INDEX('Dated offers'!$D$7:$D$305,MATCH($Z628,'Dated offers'!$A$7:$A$305,0))</x:f>
        <x:v>C88374</x:v>
      </x:c>
      <x:c r="W628" s="24" t="n">
        <x:f>INDEX('Dated offers'!$E$7:$E$305,MATCH($Z628,'Dated offers'!$A$7:$A$305,0))</x:f>
        <x:v>46307.44750297454</x:v>
      </x:c>
      <x:c r="X628" s="2" t="b">
        <x:f>INDEX('Dated offers'!$N$7:$N$305,MATCH($Z628,'Dated offers'!$A$7:$A$305,0))</x:f>
        <x:v>0</x:v>
      </x:c>
      <x:c r="Y628" s="2" t="str">
        <x:f>INDEX('Dated offers'!$O$7:$O$305,MATCH($Z628,'Dated offers'!$A$7:$A$305,0))</x:f>
        <x:v>Unreserved inventory snapshot</x:v>
      </x:c>
      <x:c r="Z628" s="17" t="str">
        <x:v>OF0296</x:v>
      </x:c>
      <x:c r="AA628" s="2"/>
      <x:c r="AB628" s="2" t="str">
        <x:f>INDEX('Dated offers'!$Q$7:$Q$305,MATCH($Z628,'Dated offers'!$A$7:$A$305,0))</x:f>
        <x:v>https://www.lcsc.com/product-detail/C88374.html</x:v>
      </x:c>
    </x:row>
    <x:row r="629" ht="24" customHeight="1">
      <x:c r="A629" s="2" t="str">
        <x:v>100 boards / 2% planning</x:v>
      </x:c>
      <x:c r="B629" s="17" t="str">
        <x:v>UHW2A330MPD</x:v>
      </x:c>
      <x:c r="C629" s="18" t="n">
        <x:v>100</x:v>
      </x:c>
      <x:c r="D629" s="27" t="n">
        <x:v>0.02</x:v>
      </x:c>
      <x:c r="E629" s="18" t="n">
        <x:f>INDEX('Assembly BOM'!$C$7:$C$162,MATCH($B629,'Assembly BOM'!$A$7:$A$162,0))</x:f>
        <x:v>1</x:v>
      </x:c>
      <x:c r="F629" s="18" t="n">
        <x:f>C629*E629</x:f>
        <x:v>100</x:v>
      </x:c>
      <x:c r="G629" s="18" t="n">
        <x:f>ROUNDUP(F629*(1+D629),0)</x:f>
        <x:v>102</x:v>
      </x:c>
      <x:c r="H629" s="18" t="n">
        <x:f>INDEX('Dated offers'!$F$7:$F$305,MATCH($Z629,'Dated offers'!$A$7:$A$305,0))</x:f>
        <x:v>1</x:v>
      </x:c>
      <x:c r="I629" s="18" t="n">
        <x:f>INDEX('Dated offers'!$G$7:$G$305,MATCH($Z629,'Dated offers'!$A$7:$A$305,0))</x:f>
        <x:v>1</x:v>
      </x:c>
      <x:c r="J629" s="18" t="n">
        <x:f>CEILING(MAX(G629,H629),I629)</x:f>
        <x:v>102</x:v>
      </x:c>
      <x:c r="K629" s="18" t="n">
        <x:v>102</x:v>
      </x:c>
      <x:c r="L629" s="18" t="n">
        <x:f>INDEX('Dated offers'!$I$7:$I$305,MATCH($Z629,'Dated offers'!$A$7:$A$305,0))</x:f>
        <x:v>100</x:v>
      </x:c>
      <x:c r="M629" s="25" t="n">
        <x:f>INDEX('Dated offers'!$J$7:$J$305,MATCH($Z629,'Dated offers'!$A$7:$A$305,0))</x:f>
        <x:v>0.5136</x:v>
      </x:c>
      <x:c r="N629" s="25" t="n">
        <x:f>INDEX('Dated offers'!$K$7:$K$305,MATCH($Z629,'Dated offers'!$A$7:$A$305,0))</x:f>
        <x:v>0</x:v>
      </x:c>
      <x:c r="O629" s="25" t="n">
        <x:f>F629*M629</x:f>
        <x:v>51.35999999999999</x:v>
      </x:c>
      <x:c r="P629" s="25" t="n">
        <x:f>G629*M629</x:f>
        <x:v>52.38719999999999</x:v>
      </x:c>
      <x:c r="Q629" s="25" t="n">
        <x:f>K629*M629+N629</x:f>
        <x:v>52.38719999999999</x:v>
      </x:c>
      <x:c r="R629" s="18" t="n">
        <x:f>K629-G629</x:f>
        <x:v>0</x:v>
      </x:c>
      <x:c r="S629" s="18" t="n">
        <x:f>INDEX('Dated offers'!$H$7:$H$305,MATCH($Z629,'Dated offers'!$A$7:$A$305,0))</x:f>
        <x:v>1506</x:v>
      </x:c>
      <x:c r="T629" s="2" t="str">
        <x:f>IF(K629&lt;G629,"Order below requirement",IF(K629&lt;L629,"Below price tier",IF(ISNUMBER(S629),IF(K629&gt;S629,"Quantity exceeds snapshot","Within quantity snapshot"),"Stock not stated")))</x:f>
        <x:v>Within quantity snapshot</x:v>
      </x:c>
      <x:c r="U629" s="2" t="str">
        <x:f>INDEX('Dated offers'!$C$7:$C$305,MATCH($Z629,'Dated offers'!$A$7:$A$305,0))</x:f>
        <x:v>DigiKey</x:v>
      </x:c>
      <x:c r="V629" s="2" t="str">
        <x:f>INDEX('Dated offers'!$D$7:$D$305,MATCH($Z629,'Dated offers'!$A$7:$A$305,0))</x:f>
        <x:v>Not stated</x:v>
      </x:c>
      <x:c r="W629" s="24" t="n">
        <x:f>INDEX('Dated offers'!$E$7:$E$305,MATCH($Z629,'Dated offers'!$A$7:$A$305,0))</x:f>
        <x:v>46307.4780725463</x:v>
      </x:c>
      <x:c r="X629" s="2" t="b">
        <x:f>INDEX('Dated offers'!$N$7:$N$305,MATCH($Z629,'Dated offers'!$A$7:$A$305,0))</x:f>
        <x:v>0</x:v>
      </x:c>
      <x:c r="Y629" s="2" t="str">
        <x:f>INDEX('Dated offers'!$O$7:$O$305,MATCH($Z629,'Dated offers'!$A$7:$A$305,0))</x:f>
        <x:v>Unreserved inventory snapshot</x:v>
      </x:c>
      <x:c r="Z629" s="17" t="str">
        <x:v>OF0297</x:v>
      </x:c>
      <x:c r="AA629" s="2"/>
      <x:c r="AB629" s="2" t="str">
        <x:f>INDEX('Dated offers'!$Q$7:$Q$305,MATCH($Z629,'Dated offers'!$A$7:$A$305,0))</x:f>
        <x:v>https://www.digikey.com/en/products/detail/nichicon/UHW2A330MPD/21317756</x:v>
      </x:c>
    </x:row>
    <x:row r="630" ht="24" customHeight="1">
      <x:c r="A630" s="2" t="str">
        <x:v>100 boards / 2% planning</x:v>
      </x:c>
      <x:c r="B630" s="17" t="str">
        <x:v>USBLC6-2P6</x:v>
      </x:c>
      <x:c r="C630" s="18" t="n">
        <x:v>100</x:v>
      </x:c>
      <x:c r="D630" s="27" t="n">
        <x:v>0.02</x:v>
      </x:c>
      <x:c r="E630" s="18" t="n">
        <x:f>INDEX('Assembly BOM'!$C$7:$C$162,MATCH($B630,'Assembly BOM'!$A$7:$A$162,0))</x:f>
        <x:v>1</x:v>
      </x:c>
      <x:c r="F630" s="18" t="n">
        <x:f>C630*E630</x:f>
        <x:v>100</x:v>
      </x:c>
      <x:c r="G630" s="18" t="n">
        <x:f>ROUNDUP(F630*(1+D630),0)</x:f>
        <x:v>102</x:v>
      </x:c>
      <x:c r="H630" s="18" t="n">
        <x:f>INDEX('Dated offers'!$F$7:$F$305,MATCH($Z630,'Dated offers'!$A$7:$A$305,0))</x:f>
        <x:v>1</x:v>
      </x:c>
      <x:c r="I630" s="18" t="n">
        <x:f>INDEX('Dated offers'!$G$7:$G$305,MATCH($Z630,'Dated offers'!$A$7:$A$305,0))</x:f>
        <x:v>1</x:v>
      </x:c>
      <x:c r="J630" s="18" t="n">
        <x:f>CEILING(MAX(G630,H630),I630)</x:f>
        <x:v>102</x:v>
      </x:c>
      <x:c r="K630" s="18" t="n">
        <x:v>102</x:v>
      </x:c>
      <x:c r="L630" s="18" t="n">
        <x:f>INDEX('Dated offers'!$I$7:$I$305,MATCH($Z630,'Dated offers'!$A$7:$A$305,0))</x:f>
        <x:v>100</x:v>
      </x:c>
      <x:c r="M630" s="25" t="n">
        <x:f>INDEX('Dated offers'!$J$7:$J$305,MATCH($Z630,'Dated offers'!$A$7:$A$305,0))</x:f>
        <x:v>0.2552</x:v>
      </x:c>
      <x:c r="N630" s="25" t="n">
        <x:f>INDEX('Dated offers'!$K$7:$K$305,MATCH($Z630,'Dated offers'!$A$7:$A$305,0))</x:f>
        <x:v>0</x:v>
      </x:c>
      <x:c r="O630" s="25" t="n">
        <x:f>F630*M630</x:f>
        <x:v>25.52</x:v>
      </x:c>
      <x:c r="P630" s="25" t="n">
        <x:f>G630*M630</x:f>
        <x:v>26.030399999999997</x:v>
      </x:c>
      <x:c r="Q630" s="25" t="n">
        <x:f>K630*M630+N630</x:f>
        <x:v>26.030399999999997</x:v>
      </x:c>
      <x:c r="R630" s="18" t="n">
        <x:f>K630-G630</x:f>
        <x:v>0</x:v>
      </x:c>
      <x:c r="S630" s="18" t="n">
        <x:f>INDEX('Dated offers'!$H$7:$H$305,MATCH($Z630,'Dated offers'!$A$7:$A$305,0))</x:f>
        <x:v>86297</x:v>
      </x:c>
      <x:c r="T630" s="2" t="str">
        <x:f>IF(K630&lt;G630,"Order below requirement",IF(K630&lt;L630,"Below price tier",IF(ISNUMBER(S630),IF(K630&gt;S630,"Quantity exceeds snapshot","Within quantity snapshot"),"Stock not stated")))</x:f>
        <x:v>Within quantity snapshot</x:v>
      </x:c>
      <x:c r="U630" s="2" t="str">
        <x:f>INDEX('Dated offers'!$C$7:$C$305,MATCH($Z630,'Dated offers'!$A$7:$A$305,0))</x:f>
        <x:v>DigiKey</x:v>
      </x:c>
      <x:c r="V630" s="2" t="str">
        <x:f>INDEX('Dated offers'!$D$7:$D$305,MATCH($Z630,'Dated offers'!$A$7:$A$305,0))</x:f>
        <x:v>Not stated</x:v>
      </x:c>
      <x:c r="W630" s="24" t="n">
        <x:f>INDEX('Dated offers'!$E$7:$E$305,MATCH($Z630,'Dated offers'!$A$7:$A$305,0))</x:f>
        <x:v>46307.47807273148</x:v>
      </x:c>
      <x:c r="X630" s="2" t="b">
        <x:f>INDEX('Dated offers'!$N$7:$N$305,MATCH($Z630,'Dated offers'!$A$7:$A$305,0))</x:f>
        <x:v>0</x:v>
      </x:c>
      <x:c r="Y630" s="2" t="str">
        <x:f>INDEX('Dated offers'!$O$7:$O$305,MATCH($Z630,'Dated offers'!$A$7:$A$305,0))</x:f>
        <x:v>Unreserved inventory snapshot</x:v>
      </x:c>
      <x:c r="Z630" s="17" t="str">
        <x:v>OF0298</x:v>
      </x:c>
      <x:c r="AA630" s="2"/>
      <x:c r="AB630" s="2" t="str">
        <x:f>INDEX('Dated offers'!$Q$7:$Q$305,MATCH($Z630,'Dated offers'!$A$7:$A$305,0))</x:f>
        <x:v>https://www.digikey.com/en/products/detail/stmicroelectronics/USBLC6-2P6/1007464</x:v>
      </x:c>
    </x:row>
    <x:row r="631" ht="24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</x:row>
    <x:row r="632" ht="24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</x:row>
    <x:row r="633" ht="24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</x:row>
  </x:sheetData>
  <x:conditionalFormatting sqref="T7:T630">
    <x:cfRule type="containsText" dxfId="0" priority="1" operator="containsText" text="exceeds"/>
  </x:conditionalFormatting>
  <x:pageMargins left="0.7" right="0.7" top="0.75" bottom="0.75" header="0.3" footer="0.3"/>
  <x:tableParts count="1">
    <x:tablePart xmlns:r="http://schemas.openxmlformats.org/officeDocument/2006/relationships" r:id="R7c57345000ba42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33" hidden="0" customWidth="1"/>
    <x:col min="3" max="3" width="22" hidden="0" customWidth="1"/>
    <x:col min="4" max="4" width="35" hidden="0" customWidth="1"/>
    <x:col min="5" max="5" width="24" hidden="0" customWidth="1"/>
    <x:col min="6" max="6" width="11" hidden="0" customWidth="1"/>
    <x:col min="7" max="7" width="12" hidden="0" customWidth="1"/>
    <x:col min="8" max="8" width="18" hidden="0" customWidth="1"/>
    <x:col min="9" max="9" width="14" hidden="0" customWidth="1"/>
    <x:col min="10" max="10" width="13" hidden="0" customWidth="1"/>
    <x:col min="11" max="11" width="12" hidden="0" customWidth="1"/>
    <x:col min="12" max="12" width="39" hidden="0" customWidth="1"/>
    <x:col min="13" max="13" width="31" hidden="0" customWidth="1"/>
    <x:col min="14" max="14" width="12" hidden="0" customWidth="1"/>
    <x:col min="15" max="15" width="68" hidden="0" customWidth="1"/>
    <x:col min="16" max="16" width="3" hidden="0" customWidth="1"/>
    <x:col min="17" max="17" width="10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Dated selected offers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4" t="str">
        <x:v>Exact selected offer and tier records. Stock is an unreserved snapshot.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0" customHeight="1">
      <x:c r="A6" s="14" t="str">
        <x:v>Offer ID</x:v>
      </x:c>
      <x:c r="B6" s="15" t="str">
        <x:v>MPN</x:v>
      </x:c>
      <x:c r="C6" s="15" t="str">
        <x:v>Supplier</x:v>
      </x:c>
      <x:c r="D6" s="15" t="str">
        <x:v>Supplier SKU</x:v>
      </x:c>
      <x:c r="E6" s="15" t="str">
        <x:v>Observed UTC</x:v>
      </x:c>
      <x:c r="F6" s="15" t="str">
        <x:v>Minimum qty</x:v>
      </x:c>
      <x:c r="G6" s="15" t="str">
        <x:v>Pack multiple</x:v>
      </x:c>
      <x:c r="H6" s="15" t="str">
        <x:v>Stock / allocation</x:v>
      </x:c>
      <x:c r="I6" s="15" t="str">
        <x:v>Price tier qty</x:v>
      </x:c>
      <x:c r="J6" s="15" t="str">
        <x:v>Unit USD</x:v>
      </x:c>
      <x:c r="K6" s="15" t="str">
        <x:v>Reel USD</x:v>
      </x:c>
      <x:c r="L6" s="15" t="str">
        <x:v>Supplier lifecycle</x:v>
      </x:c>
      <x:c r="M6" s="15" t="str">
        <x:v>Manufacturer status</x:v>
      </x:c>
      <x:c r="N6" s="15" t="str">
        <x:v>PCBA only</x:v>
      </x:c>
      <x:c r="O6" s="16" t="str">
        <x:v>Supply conditions</x:v>
      </x:c>
      <x:c r="P6" s="2"/>
      <x:c r="Q6" s="2" t="str">
        <x:v>Offer URL</x:v>
      </x:c>
    </x:row>
    <x:row r="7" ht="44" customHeight="1">
      <x:c r="A7" s="17" t="str">
        <x:v>OF0001</x:v>
      </x:c>
      <x:c r="B7" s="17" t="str">
        <x:v>0451002.MRL</x:v>
      </x:c>
      <x:c r="C7" s="17" t="str">
        <x:v>LCSC</x:v>
      </x:c>
      <x:c r="D7" s="17" t="str">
        <x:v>C99547</x:v>
      </x:c>
      <x:c r="E7" s="24" t="d">
        <x:v>2026-10-12T10:44:14.670Z</x:v>
      </x:c>
      <x:c r="F7" s="18" t="n">
        <x:v>5</x:v>
      </x:c>
      <x:c r="G7" s="18" t="n">
        <x:v>5</x:v>
      </x:c>
      <x:c r="H7" s="18" t="n">
        <x:v>24355</x:v>
      </x:c>
      <x:c r="I7" s="18" t="n">
        <x:v>5</x:v>
      </x:c>
      <x:c r="J7" s="25" t="n">
        <x:v>0.3431</x:v>
      </x:c>
      <x:c r="K7" s="25" t="n">
        <x:v>0</x:v>
      </x:c>
      <x:c r="L7" s="26" t="str">
        <x:v>Not stated by captured product payload</x:v>
      </x:c>
      <x:c r="M7" s="26" t="str">
        <x:v>Not independently stated in this supplement</x:v>
      </x:c>
      <x:c r="N7" s="23" t="b">
        <x:v>0</x:v>
      </x:c>
      <x:c r="O7" s="2" t="str">
        <x:v>Unreserved inventory snapshot</x:v>
      </x:c>
      <x:c r="P7" s="2"/>
      <x:c r="Q7" s="2" t="str">
        <x:v>https://www.lcsc.com/product-detail/C99547.html</x:v>
      </x:c>
    </x:row>
    <x:row r="8" ht="44" customHeight="1">
      <x:c r="A8" s="17" t="str">
        <x:v>OF0002</x:v>
      </x:c>
      <x:c r="B8" s="17" t="str">
        <x:v>123A-42B02</x:v>
      </x:c>
      <x:c r="C8" s="17" t="str">
        <x:v>DigiKey</x:v>
      </x:c>
      <x:c r="D8" s="17" t="str">
        <x:v>Not stated</x:v>
      </x:c>
      <x:c r="E8" s="24" t="d">
        <x:v>2026-10-12T11:28:25.464Z</x:v>
      </x:c>
      <x:c r="F8" s="18" t="n">
        <x:v>1</x:v>
      </x:c>
      <x:c r="G8" s="18" t="n">
        <x:v>1</x:v>
      </x:c>
      <x:c r="H8" s="18" t="n">
        <x:v>244</x:v>
      </x:c>
      <x:c r="I8" s="18" t="n">
        <x:v>25</x:v>
      </x:c>
      <x:c r="J8" s="25" t="n">
        <x:v>4.0992</x:v>
      </x:c>
      <x:c r="K8" s="25" t="n">
        <x:v>0</x:v>
      </x:c>
      <x:c r="L8" s="26" t="str">
        <x:v>Active</x:v>
      </x:c>
      <x:c r="M8" s="26" t="str">
        <x:v>Not independently stated in this supplement</x:v>
      </x:c>
      <x:c r="N8" s="23" t="b">
        <x:v>0</x:v>
      </x:c>
      <x:c r="O8" s="2" t="str">
        <x:v>Unreserved inventory snapshot</x:v>
      </x:c>
      <x:c r="P8" s="2"/>
      <x:c r="Q8" s="2" t="str">
        <x:v>https://www.digikey.com/en/products/detail/attend-technology/123A-42B02/26236331</x:v>
      </x:c>
    </x:row>
    <x:row r="9" ht="44" customHeight="1">
      <x:c r="A9" s="17" t="str">
        <x:v>OF0003</x:v>
      </x:c>
      <x:c r="B9" s="17" t="str">
        <x:v>25SVPK82M</x:v>
      </x:c>
      <x:c r="C9" s="17" t="str">
        <x:v>DigiKey</x:v>
      </x:c>
      <x:c r="D9" s="17" t="str">
        <x:v>Not stated</x:v>
      </x:c>
      <x:c r="E9" s="24" t="d">
        <x:v>2026-10-12T11:28:25.483Z</x:v>
      </x:c>
      <x:c r="F9" s="18" t="n">
        <x:v>1</x:v>
      </x:c>
      <x:c r="G9" s="18" t="n">
        <x:v>1</x:v>
      </x:c>
      <x:c r="H9" s="18" t="n">
        <x:v>581</x:v>
      </x:c>
      <x:c r="I9" s="18" t="n">
        <x:v>10</x:v>
      </x:c>
      <x:c r="J9" s="25" t="n">
        <x:v>1.259</x:v>
      </x:c>
      <x:c r="K9" s="25" t="n">
        <x:v>0</x:v>
      </x:c>
      <x:c r="L9" s="26" t="str">
        <x:v>Active</x:v>
      </x:c>
      <x:c r="M9" s="26" t="str">
        <x:v>Not independently stated in this supplement</x:v>
      </x:c>
      <x:c r="N9" s="23" t="b">
        <x:v>0</x:v>
      </x:c>
      <x:c r="O9" s="2" t="str">
        <x:v>Unreserved inventory snapshot</x:v>
      </x:c>
      <x:c r="P9" s="2"/>
      <x:c r="Q9" s="2" t="str">
        <x:v>https://www.digikey.com/en/products/detail/panasonic-industry/25SVPK82M/7564851</x:v>
      </x:c>
    </x:row>
    <x:row r="10" ht="44" customHeight="1">
      <x:c r="A10" s="17" t="str">
        <x:v>OF0004</x:v>
      </x:c>
      <x:c r="B10" s="21" t="str">
        <x:v>885012206026</x:v>
      </x:c>
      <x:c r="C10" s="17" t="str">
        <x:v>DigiKey</x:v>
      </x:c>
      <x:c r="D10" s="17" t="str">
        <x:v>Not stated</x:v>
      </x:c>
      <x:c r="E10" s="24" t="d">
        <x:v>2026-10-12T11:28:25.466Z</x:v>
      </x:c>
      <x:c r="F10" s="18" t="n">
        <x:v>1</x:v>
      </x:c>
      <x:c r="G10" s="18" t="n">
        <x:v>1</x:v>
      </x:c>
      <x:c r="H10" s="18" t="n">
        <x:v>34767</x:v>
      </x:c>
      <x:c r="I10" s="18" t="n">
        <x:v>50</x:v>
      </x:c>
      <x:c r="J10" s="25" t="n">
        <x:v>0.0578</x:v>
      </x:c>
      <x:c r="K10" s="25" t="n">
        <x:v>0</x:v>
      </x:c>
      <x:c r="L10" s="26" t="str">
        <x:v>Active</x:v>
      </x:c>
      <x:c r="M10" s="26" t="str">
        <x:v>Not independently stated in this supplement</x:v>
      </x:c>
      <x:c r="N10" s="23" t="b">
        <x:v>0</x:v>
      </x:c>
      <x:c r="O10" s="2" t="str">
        <x:v>Unreserved inventory snapshot</x:v>
      </x:c>
      <x:c r="P10" s="2"/>
      <x:c r="Q10" s="2" t="str">
        <x:v>https://www.digikey.com/en/products/detail/w%C3%BCrth-elektronik/885012206026/5453800</x:v>
      </x:c>
    </x:row>
    <x:row r="11" ht="44" customHeight="1">
      <x:c r="A11" s="17" t="str">
        <x:v>OF0005</x:v>
      </x:c>
      <x:c r="B11" s="21" t="str">
        <x:v>885012207026</x:v>
      </x:c>
      <x:c r="C11" s="17" t="str">
        <x:v>DigiKey</x:v>
      </x:c>
      <x:c r="D11" s="17" t="str">
        <x:v>Exact 885012207026 Cut Tape</x:v>
      </x:c>
      <x:c r="E11" s="24" t="d">
        <x:v>2026-10-12T17:08:59.064Z</x:v>
      </x:c>
      <x:c r="F11" s="18" t="n">
        <x:v>1</x:v>
      </x:c>
      <x:c r="G11" s="18" t="n">
        <x:v>1</x:v>
      </x:c>
      <x:c r="H11" s="18" t="n">
        <x:v>3676</x:v>
      </x:c>
      <x:c r="I11" s="18" t="n">
        <x:v>50</x:v>
      </x:c>
      <x:c r="J11" s="25" t="n">
        <x:v>0.1668</x:v>
      </x:c>
      <x:c r="K11" s="25" t="n">
        <x:v>0</x:v>
      </x:c>
      <x:c r="L11" s="26" t="str">
        <x:v>DigiKey Active; manufacturer catalog Active; datasheet002.000 Valid</x:v>
      </x:c>
      <x:c r="M11" s="26" t="str">
        <x:v>Not independently stated in this supplement</x:v>
      </x:c>
      <x:c r="N11" s="23" t="b">
        <x:v>0</x:v>
      </x:c>
      <x:c r="O11" s="2" t="str">
        <x:v>Unreserved inventory snapshot</x:v>
      </x:c>
      <x:c r="P11" s="2"/>
      <x:c r="Q11" s="2" t="str">
        <x:v>https://www.digikey.com/en/products/detail/w%C3%BCrth-elektronik/885012207026/5454285</x:v>
      </x:c>
    </x:row>
    <x:row r="12" ht="44" customHeight="1">
      <x:c r="A12" s="17" t="str">
        <x:v>OF0006</x:v>
      </x:c>
      <x:c r="B12" s="17" t="str">
        <x:v>9774025243R</x:v>
      </x:c>
      <x:c r="C12" s="17" t="str">
        <x:v>DigiKey</x:v>
      </x:c>
      <x:c r="D12" s="17" t="str">
        <x:v>Not stated</x:v>
      </x:c>
      <x:c r="E12" s="24" t="d">
        <x:v>2026-10-12T11:28:25.471Z</x:v>
      </x:c>
      <x:c r="F12" s="18" t="n">
        <x:v>1</x:v>
      </x:c>
      <x:c r="G12" s="18" t="n">
        <x:v>1</x:v>
      </x:c>
      <x:c r="H12" s="18" t="n">
        <x:v>106480</x:v>
      </x:c>
      <x:c r="I12" s="18" t="n">
        <x:v>10</x:v>
      </x:c>
      <x:c r="J12" s="25" t="n">
        <x:v>1.098</x:v>
      </x:c>
      <x:c r="K12" s="25" t="n">
        <x:v>0</x:v>
      </x:c>
      <x:c r="L12" s="26" t="str">
        <x:v>Active</x:v>
      </x:c>
      <x:c r="M12" s="26" t="str">
        <x:v>Not independently stated in this supplement</x:v>
      </x:c>
      <x:c r="N12" s="23" t="b">
        <x:v>0</x:v>
      </x:c>
      <x:c r="O12" s="2" t="str">
        <x:v>Unreserved inventory snapshot</x:v>
      </x:c>
      <x:c r="P12" s="2"/>
      <x:c r="Q12" s="2" t="str">
        <x:v>https://www.digikey.com/en/products/detail/w%C3%BCrth-elektronik/9774025243R/5320622</x:v>
      </x:c>
    </x:row>
    <x:row r="13" ht="44" customHeight="1">
      <x:c r="A13" s="17" t="str">
        <x:v>OF0007</x:v>
      </x:c>
      <x:c r="B13" s="17" t="str">
        <x:v>ABM8-25.000MHZ-D1X-T</x:v>
      </x:c>
      <x:c r="C13" s="17" t="str">
        <x:v>DigiKey</x:v>
      </x:c>
      <x:c r="D13" s="17" t="str">
        <x:v>Not stated</x:v>
      </x:c>
      <x:c r="E13" s="24" t="d">
        <x:v>2026-10-12T11:28:25.472Z</x:v>
      </x:c>
      <x:c r="F13" s="18" t="n">
        <x:v>1</x:v>
      </x:c>
      <x:c r="G13" s="18" t="n">
        <x:v>1</x:v>
      </x:c>
      <x:c r="H13" s="18" t="n">
        <x:v>338</x:v>
      </x:c>
      <x:c r="I13" s="18" t="n">
        <x:v>25</x:v>
      </x:c>
      <x:c r="J13" s="25" t="n">
        <x:v>0.3788</x:v>
      </x:c>
      <x:c r="K13" s="25" t="n">
        <x:v>0</x:v>
      </x:c>
      <x:c r="L13" s="26" t="str">
        <x:v>Active</x:v>
      </x:c>
      <x:c r="M13" s="26" t="str">
        <x:v>Not independently stated in this supplement</x:v>
      </x:c>
      <x:c r="N13" s="23" t="b">
        <x:v>0</x:v>
      </x:c>
      <x:c r="O13" s="2" t="str">
        <x:v>Unreserved inventory snapshot</x:v>
      </x:c>
      <x:c r="P13" s="2"/>
      <x:c r="Q13" s="2" t="str">
        <x:v>https://www.digikey.com/en/products/detail/abracon-llc/ABM8-25-000MHZ-D1X-T/9997887</x:v>
      </x:c>
    </x:row>
    <x:row r="14" ht="44" customHeight="1">
      <x:c r="A14" s="17" t="str">
        <x:v>OF0008</x:v>
      </x:c>
      <x:c r="B14" s="17" t="str">
        <x:v>ABM8-40.000MHZ-10-D1G-T</x:v>
      </x:c>
      <x:c r="C14" s="17" t="str">
        <x:v>DigiKey</x:v>
      </x:c>
      <x:c r="D14" s="17" t="str">
        <x:v>Not stated</x:v>
      </x:c>
      <x:c r="E14" s="24" t="d">
        <x:v>2026-10-12T11:28:25.472Z</x:v>
      </x:c>
      <x:c r="F14" s="18" t="n">
        <x:v>1</x:v>
      </x:c>
      <x:c r="G14" s="18" t="n">
        <x:v>1</x:v>
      </x:c>
      <x:c r="H14" s="18" t="n">
        <x:v>1001</x:v>
      </x:c>
      <x:c r="I14" s="18" t="n">
        <x:v>25</x:v>
      </x:c>
      <x:c r="J14" s="25" t="n">
        <x:v>0.4048</x:v>
      </x:c>
      <x:c r="K14" s="25" t="n">
        <x:v>0</x:v>
      </x:c>
      <x:c r="L14" s="26" t="str">
        <x:v>Active</x:v>
      </x:c>
      <x:c r="M14" s="26" t="str">
        <x:v>Not independently stated in this supplement</x:v>
      </x:c>
      <x:c r="N14" s="23" t="b">
        <x:v>0</x:v>
      </x:c>
      <x:c r="O14" s="2" t="str">
        <x:v>Unreserved inventory snapshot</x:v>
      </x:c>
      <x:c r="P14" s="2"/>
      <x:c r="Q14" s="2" t="str">
        <x:v>https://www.digikey.com/en/products/detail/abracon-llc/ABM8-40-000MHZ-10-D1G-T/9997905</x:v>
      </x:c>
    </x:row>
    <x:row r="15" ht="44" customHeight="1">
      <x:c r="A15" s="17" t="str">
        <x:v>OF0009</x:v>
      </x:c>
      <x:c r="B15" s="17" t="str">
        <x:v>AC01000004708JA100</x:v>
      </x:c>
      <x:c r="C15" s="17" t="str">
        <x:v>DigiKey</x:v>
      </x:c>
      <x:c r="D15" s="17" t="str">
        <x:v>Not stated</x:v>
      </x:c>
      <x:c r="E15" s="24" t="d">
        <x:v>2026-10-12T11:28:25.469Z</x:v>
      </x:c>
      <x:c r="F15" s="18" t="n">
        <x:v>1</x:v>
      </x:c>
      <x:c r="G15" s="18" t="n">
        <x:v>1</x:v>
      </x:c>
      <x:c r="H15" s="18" t="n">
        <x:v>384</x:v>
      </x:c>
      <x:c r="I15" s="18" t="n">
        <x:v>25</x:v>
      </x:c>
      <x:c r="J15" s="25" t="n">
        <x:v>0.5644</x:v>
      </x:c>
      <x:c r="K15" s="25" t="n">
        <x:v>0</x:v>
      </x:c>
      <x:c r="L15" s="26" t="str">
        <x:v>Active</x:v>
      </x:c>
      <x:c r="M15" s="26" t="str">
        <x:v>Not independently stated in this supplement</x:v>
      </x:c>
      <x:c r="N15" s="23" t="b">
        <x:v>0</x:v>
      </x:c>
      <x:c r="O15" s="2" t="str">
        <x:v>Unreserved inventory snapshot</x:v>
      </x:c>
      <x:c r="P15" s="2"/>
      <x:c r="Q15" s="2" t="str">
        <x:v>https://www.digikey.com/en/products/detail/vishay/AC01000004708JA100/596586</x:v>
      </x:c>
    </x:row>
    <x:row r="16" ht="44" customHeight="1">
      <x:c r="A16" s="17" t="str">
        <x:v>OF0010</x:v>
      </x:c>
      <x:c r="B16" s="17" t="str">
        <x:v>AT93C46DN-SH-T</x:v>
      </x:c>
      <x:c r="C16" s="17" t="str">
        <x:v>DigiKey</x:v>
      </x:c>
      <x:c r="D16" s="17" t="str">
        <x:v>Not stated</x:v>
      </x:c>
      <x:c r="E16" s="24" t="d">
        <x:v>2026-10-12T11:28:25.482Z</x:v>
      </x:c>
      <x:c r="F16" s="18" t="n">
        <x:v>1</x:v>
      </x:c>
      <x:c r="G16" s="18" t="n">
        <x:v>1</x:v>
      </x:c>
      <x:c r="H16" s="18" t="n">
        <x:v>24535</x:v>
      </x:c>
      <x:c r="I16" s="18" t="n">
        <x:v>1</x:v>
      </x:c>
      <x:c r="J16" s="25" t="n">
        <x:v>0.28</x:v>
      </x:c>
      <x:c r="K16" s="25" t="n">
        <x:v>0</x:v>
      </x:c>
      <x:c r="L16" s="26" t="str">
        <x:v>Active</x:v>
      </x:c>
      <x:c r="M16" s="26" t="str">
        <x:v>Not independently stated in this supplement</x:v>
      </x:c>
      <x:c r="N16" s="23" t="b">
        <x:v>0</x:v>
      </x:c>
      <x:c r="O16" s="2" t="str">
        <x:v>Unreserved inventory snapshot</x:v>
      </x:c>
      <x:c r="P16" s="2"/>
      <x:c r="Q16" s="2" t="str">
        <x:v>https://www.digikey.com/en/products/detail/microchip-technology/AT93C46DN-SH-T/1566800</x:v>
      </x:c>
    </x:row>
    <x:row r="17" ht="44" customHeight="1">
      <x:c r="A17" s="17" t="str">
        <x:v>OF0011</x:v>
      </x:c>
      <x:c r="B17" s="17" t="str">
        <x:v>B2B-XH-A(LF)(SN)</x:v>
      </x:c>
      <x:c r="C17" s="17" t="str">
        <x:v>LCSC</x:v>
      </x:c>
      <x:c r="D17" s="17" t="str">
        <x:v>C158012</x:v>
      </x:c>
      <x:c r="E17" s="24" t="d">
        <x:v>2026-10-12T10:44:14.965Z</x:v>
      </x:c>
      <x:c r="F17" s="18" t="n">
        <x:v>20</x:v>
      </x:c>
      <x:c r="G17" s="18" t="n">
        <x:v>20</x:v>
      </x:c>
      <x:c r="H17" s="18" t="n">
        <x:v>238920</x:v>
      </x:c>
      <x:c r="I17" s="18" t="n">
        <x:v>20</x:v>
      </x:c>
      <x:c r="J17" s="25" t="n">
        <x:v>0.0409</x:v>
      </x:c>
      <x:c r="K17" s="25" t="n">
        <x:v>0</x:v>
      </x:c>
      <x:c r="L17" s="26" t="str">
        <x:v>Not stated by captured product payload</x:v>
      </x:c>
      <x:c r="M17" s="26" t="str">
        <x:v>Not independently stated in this supplement</x:v>
      </x:c>
      <x:c r="N17" s="23" t="b">
        <x:v>0</x:v>
      </x:c>
      <x:c r="O17" s="2" t="str">
        <x:v>Unreserved inventory snapshot</x:v>
      </x:c>
      <x:c r="P17" s="2"/>
      <x:c r="Q17" s="2" t="str">
        <x:v>https://www.lcsc.com/product-detail/C158012.html</x:v>
      </x:c>
    </x:row>
    <x:row r="18" ht="44" customHeight="1">
      <x:c r="A18" s="17" t="str">
        <x:v>OF0012</x:v>
      </x:c>
      <x:c r="B18" s="17" t="str">
        <x:v>B3U-1000P</x:v>
      </x:c>
      <x:c r="C18" s="17" t="str">
        <x:v>LCSC</x:v>
      </x:c>
      <x:c r="D18" s="17" t="str">
        <x:v>C231329</x:v>
      </x:c>
      <x:c r="E18" s="24" t="d">
        <x:v>2026-10-12T10:44:14.972Z</x:v>
      </x:c>
      <x:c r="F18" s="18" t="n">
        <x:v>5</x:v>
      </x:c>
      <x:c r="G18" s="18" t="n">
        <x:v>5</x:v>
      </x:c>
      <x:c r="H18" s="18" t="n">
        <x:v>120135</x:v>
      </x:c>
      <x:c r="I18" s="18" t="n">
        <x:v>50</x:v>
      </x:c>
      <x:c r="J18" s="25" t="n">
        <x:v>0.148</x:v>
      </x:c>
      <x:c r="K18" s="25" t="n">
        <x:v>0</x:v>
      </x:c>
      <x:c r="L18" s="26" t="str">
        <x:v>Not stated by captured product payload</x:v>
      </x:c>
      <x:c r="M18" s="26" t="str">
        <x:v>In production</x:v>
      </x:c>
      <x:c r="N18" s="23" t="b">
        <x:v>0</x:v>
      </x:c>
      <x:c r="O18" s="2" t="str">
        <x:v>Unreserved inventory snapshot</x:v>
      </x:c>
      <x:c r="P18" s="2"/>
      <x:c r="Q18" s="2" t="str">
        <x:v>https://www.lcsc.com/product-detail/C231329.html</x:v>
      </x:c>
    </x:row>
    <x:row r="19" ht="44" customHeight="1">
      <x:c r="A19" s="17" t="str">
        <x:v>OF0013</x:v>
      </x:c>
      <x:c r="B19" s="17" t="str">
        <x:v>BLM18PG330SN1D</x:v>
      </x:c>
      <x:c r="C19" s="17" t="str">
        <x:v>DigiKey</x:v>
      </x:c>
      <x:c r="D19" s="17" t="str">
        <x:v>Not stated</x:v>
      </x:c>
      <x:c r="E19" s="24" t="d">
        <x:v>2026-10-12T11:28:25.478Z</x:v>
      </x:c>
      <x:c r="F19" s="18" t="n">
        <x:v>1</x:v>
      </x:c>
      <x:c r="G19" s="18" t="n">
        <x:v>1</x:v>
      </x:c>
      <x:c r="H19" s="18" t="n">
        <x:v>329009</x:v>
      </x:c>
      <x:c r="I19" s="18" t="n">
        <x:v>25</x:v>
      </x:c>
      <x:c r="J19" s="25" t="n">
        <x:v>0.0568</x:v>
      </x:c>
      <x:c r="K19" s="25" t="n">
        <x:v>0</x:v>
      </x:c>
      <x:c r="L19" s="26" t="str">
        <x:v>Active</x:v>
      </x:c>
      <x:c r="M19" s="26" t="str">
        <x:v>Not independently stated in this supplement</x:v>
      </x:c>
      <x:c r="N19" s="23" t="b">
        <x:v>0</x:v>
      </x:c>
      <x:c r="O19" s="2" t="str">
        <x:v>Unreserved inventory snapshot</x:v>
      </x:c>
      <x:c r="P19" s="2"/>
      <x:c r="Q19" s="2" t="str">
        <x:v>https://www.digikey.com/en/products/detail/murata-electronics/BLM18PG330SN1D/1948325</x:v>
      </x:c>
    </x:row>
    <x:row r="20" ht="44" customHeight="1">
      <x:c r="A20" s="17" t="str">
        <x:v>OF0014</x:v>
      </x:c>
      <x:c r="B20" s="17" t="str">
        <x:v>BZT52C6V2-7-F</x:v>
      </x:c>
      <x:c r="C20" s="17" t="str">
        <x:v>LCSC</x:v>
      </x:c>
      <x:c r="D20" s="17" t="str">
        <x:v>C397931</x:v>
      </x:c>
      <x:c r="E20" s="24" t="d">
        <x:v>2026-10-12T10:44:15.477Z</x:v>
      </x:c>
      <x:c r="F20" s="18" t="n">
        <x:v>10</x:v>
      </x:c>
      <x:c r="G20" s="18" t="n">
        <x:v>10</x:v>
      </x:c>
      <x:c r="H20" s="18" t="n">
        <x:v>18480</x:v>
      </x:c>
      <x:c r="I20" s="18" t="n">
        <x:v>10</x:v>
      </x:c>
      <x:c r="J20" s="25" t="n">
        <x:v>0.0472</x:v>
      </x:c>
      <x:c r="K20" s="25" t="n">
        <x:v>0</x:v>
      </x:c>
      <x:c r="L20" s="26" t="str">
        <x:v>Not stated by captured product payload</x:v>
      </x:c>
      <x:c r="M20" s="26" t="str">
        <x:v>Active</x:v>
      </x:c>
      <x:c r="N20" s="23" t="b">
        <x:v>0</x:v>
      </x:c>
      <x:c r="O20" s="2" t="str">
        <x:v>Unreserved inventory snapshot</x:v>
      </x:c>
      <x:c r="P20" s="2"/>
      <x:c r="Q20" s="2" t="str">
        <x:v>https://www.lcsc.com/product-detail/C397931.html</x:v>
      </x:c>
    </x:row>
    <x:row r="21" ht="44" customHeight="1">
      <x:c r="A21" s="17" t="str">
        <x:v>OF0015</x:v>
      </x:c>
      <x:c r="B21" s="17" t="str">
        <x:v>C0402C102K5RACTU</x:v>
      </x:c>
      <x:c r="C21" s="17" t="str">
        <x:v>DigiKey</x:v>
      </x:c>
      <x:c r="D21" s="17" t="str">
        <x:v>Not stated</x:v>
      </x:c>
      <x:c r="E21" s="24" t="d">
        <x:v>2026-10-12T11:28:25.481Z</x:v>
      </x:c>
      <x:c r="F21" s="18" t="n">
        <x:v>1</x:v>
      </x:c>
      <x:c r="G21" s="18" t="n">
        <x:v>1</x:v>
      </x:c>
      <x:c r="H21" s="18" t="n">
        <x:v>1816650</x:v>
      </x:c>
      <x:c r="I21" s="18" t="n">
        <x:v>50</x:v>
      </x:c>
      <x:c r="J21" s="25" t="n">
        <x:v>0.0238</x:v>
      </x:c>
      <x:c r="K21" s="25" t="n">
        <x:v>0</x:v>
      </x:c>
      <x:c r="L21" s="26" t="str">
        <x:v>Active</x:v>
      </x:c>
      <x:c r="M21" s="26" t="str">
        <x:v>Not independently stated in this supplement</x:v>
      </x:c>
      <x:c r="N21" s="23" t="b">
        <x:v>0</x:v>
      </x:c>
      <x:c r="O21" s="2" t="str">
        <x:v>Unreserved inventory snapshot</x:v>
      </x:c>
      <x:c r="P21" s="2"/>
      <x:c r="Q21" s="2" t="str">
        <x:v>https://www.digikey.com/en/products/detail/kemet/C0402C102K5RACTU/411034</x:v>
      </x:c>
    </x:row>
    <x:row r="22" ht="44" customHeight="1">
      <x:c r="A22" s="17" t="str">
        <x:v>OF0016</x:v>
      </x:c>
      <x:c r="B22" s="17" t="str">
        <x:v>C0402C220J5GACTU</x:v>
      </x:c>
      <x:c r="C22" s="17" t="str">
        <x:v>DigiKey</x:v>
      </x:c>
      <x:c r="D22" s="17" t="str">
        <x:v>Not stated</x:v>
      </x:c>
      <x:c r="E22" s="24" t="d">
        <x:v>2026-10-12T11:28:25.478Z</x:v>
      </x:c>
      <x:c r="F22" s="18" t="n">
        <x:v>1</x:v>
      </x:c>
      <x:c r="G22" s="18" t="n">
        <x:v>1</x:v>
      </x:c>
      <x:c r="H22" s="18" t="n">
        <x:v>489655</x:v>
      </x:c>
      <x:c r="I22" s="18" t="n">
        <x:v>10</x:v>
      </x:c>
      <x:c r="J22" s="25" t="n">
        <x:v>0.041</x:v>
      </x:c>
      <x:c r="K22" s="25" t="n">
        <x:v>0</x:v>
      </x:c>
      <x:c r="L22" s="26" t="str">
        <x:v>Active</x:v>
      </x:c>
      <x:c r="M22" s="26" t="str">
        <x:v>Not independently stated in this supplement</x:v>
      </x:c>
      <x:c r="N22" s="23" t="b">
        <x:v>0</x:v>
      </x:c>
      <x:c r="O22" s="2" t="str">
        <x:v>Unreserved inventory snapshot</x:v>
      </x:c>
      <x:c r="P22" s="2"/>
      <x:c r="Q22" s="2" t="str">
        <x:v>https://www.digikey.com/en/products/detail/kemet/C0402C220J5GACTU/411017</x:v>
      </x:c>
    </x:row>
    <x:row r="23" ht="44" customHeight="1">
      <x:c r="A23" s="17" t="str">
        <x:v>OF0017</x:v>
      </x:c>
      <x:c r="B23" s="17" t="str">
        <x:v>C0402C222K5RACTU</x:v>
      </x:c>
      <x:c r="C23" s="17" t="str">
        <x:v>DigiKey</x:v>
      </x:c>
      <x:c r="D23" s="17" t="str">
        <x:v>Not stated</x:v>
      </x:c>
      <x:c r="E23" s="24" t="d">
        <x:v>2026-10-12T11:28:25.475Z</x:v>
      </x:c>
      <x:c r="F23" s="18" t="n">
        <x:v>1</x:v>
      </x:c>
      <x:c r="G23" s="18" t="n">
        <x:v>1</x:v>
      </x:c>
      <x:c r="H23" s="18" t="n">
        <x:v>100284</x:v>
      </x:c>
      <x:c r="I23" s="18" t="n">
        <x:v>10</x:v>
      </x:c>
      <x:c r="J23" s="25" t="n">
        <x:v>0.039</x:v>
      </x:c>
      <x:c r="K23" s="25" t="n">
        <x:v>0</x:v>
      </x:c>
      <x:c r="L23" s="26" t="str">
        <x:v>Active</x:v>
      </x:c>
      <x:c r="M23" s="26" t="str">
        <x:v>Not independently stated in this supplement</x:v>
      </x:c>
      <x:c r="N23" s="23" t="b">
        <x:v>0</x:v>
      </x:c>
      <x:c r="O23" s="2" t="str">
        <x:v>Unreserved inventory snapshot</x:v>
      </x:c>
      <x:c r="P23" s="2"/>
      <x:c r="Q23" s="2" t="str">
        <x:v>https://www.digikey.com/en/products/detail/kemet/C0402C222K5RACTU/501970</x:v>
      </x:c>
    </x:row>
    <x:row r="24" ht="44" customHeight="1">
      <x:c r="A24" s="17" t="str">
        <x:v>OF0018</x:v>
      </x:c>
      <x:c r="B24" s="17" t="str">
        <x:v>C0402C330J5GACTU</x:v>
      </x:c>
      <x:c r="C24" s="17" t="str">
        <x:v>DigiKey</x:v>
      </x:c>
      <x:c r="D24" s="17" t="str">
        <x:v>Not stated</x:v>
      </x:c>
      <x:c r="E24" s="24" t="d">
        <x:v>2026-10-12T11:28:25.475Z</x:v>
      </x:c>
      <x:c r="F24" s="18" t="n">
        <x:v>1</x:v>
      </x:c>
      <x:c r="G24" s="18" t="n">
        <x:v>1</x:v>
      </x:c>
      <x:c r="H24" s="18" t="n">
        <x:v>277240</x:v>
      </x:c>
      <x:c r="I24" s="18" t="n">
        <x:v>10</x:v>
      </x:c>
      <x:c r="J24" s="25" t="n">
        <x:v>0.041</x:v>
      </x:c>
      <x:c r="K24" s="25" t="n">
        <x:v>0</x:v>
      </x:c>
      <x:c r="L24" s="26" t="str">
        <x:v>Active</x:v>
      </x:c>
      <x:c r="M24" s="26" t="str">
        <x:v>Not independently stated in this supplement</x:v>
      </x:c>
      <x:c r="N24" s="23" t="b">
        <x:v>0</x:v>
      </x:c>
      <x:c r="O24" s="2" t="str">
        <x:v>Unreserved inventory snapshot</x:v>
      </x:c>
      <x:c r="P24" s="2"/>
      <x:c r="Q24" s="2" t="str">
        <x:v>https://www.digikey.com/en/products/detail/kemet/C0402C330J5GACTU/411019</x:v>
      </x:c>
    </x:row>
    <x:row r="25" ht="44" customHeight="1">
      <x:c r="A25" s="17" t="str">
        <x:v>OF0019</x:v>
      </x:c>
      <x:c r="B25" s="17" t="str">
        <x:v>C0402C332K5RACTU</x:v>
      </x:c>
      <x:c r="C25" s="17" t="str">
        <x:v>DigiKey</x:v>
      </x:c>
      <x:c r="D25" s="17" t="str">
        <x:v>Not stated</x:v>
      </x:c>
      <x:c r="E25" s="24" t="d">
        <x:v>2026-10-12T11:28:25.475Z</x:v>
      </x:c>
      <x:c r="F25" s="18" t="n">
        <x:v>1</x:v>
      </x:c>
      <x:c r="G25" s="18" t="n">
        <x:v>1</x:v>
      </x:c>
      <x:c r="H25" s="18" t="n">
        <x:v>225921</x:v>
      </x:c>
      <x:c r="I25" s="18" t="n">
        <x:v>10</x:v>
      </x:c>
      <x:c r="J25" s="25" t="n">
        <x:v>0.048</x:v>
      </x:c>
      <x:c r="K25" s="25" t="n">
        <x:v>0</x:v>
      </x:c>
      <x:c r="L25" s="26" t="str">
        <x:v>Active</x:v>
      </x:c>
      <x:c r="M25" s="26" t="str">
        <x:v>Not independently stated in this supplement</x:v>
      </x:c>
      <x:c r="N25" s="23" t="b">
        <x:v>0</x:v>
      </x:c>
      <x:c r="O25" s="2" t="str">
        <x:v>Unreserved inventory snapshot</x:v>
      </x:c>
      <x:c r="P25" s="2"/>
      <x:c r="Q25" s="2" t="str">
        <x:v>https://www.digikey.com/en/products/detail/kemet/C0402C332K5RACTU/501999</x:v>
      </x:c>
    </x:row>
    <x:row r="26" ht="44" customHeight="1">
      <x:c r="A26" s="17" t="str">
        <x:v>OF0020</x:v>
      </x:c>
      <x:c r="B26" s="17" t="str">
        <x:v>C0402C391J5GACTU</x:v>
      </x:c>
      <x:c r="C26" s="17" t="str">
        <x:v>DigiKey</x:v>
      </x:c>
      <x:c r="D26" s="17" t="str">
        <x:v>Not stated</x:v>
      </x:c>
      <x:c r="E26" s="24" t="d">
        <x:v>2026-10-12T11:28:25.475Z</x:v>
      </x:c>
      <x:c r="F26" s="18" t="n">
        <x:v>1</x:v>
      </x:c>
      <x:c r="G26" s="18" t="n">
        <x:v>1</x:v>
      </x:c>
      <x:c r="H26" s="18" t="n">
        <x:v>32647</x:v>
      </x:c>
      <x:c r="I26" s="18" t="n">
        <x:v>10</x:v>
      </x:c>
      <x:c r="J26" s="25" t="n">
        <x:v>0.333</x:v>
      </x:c>
      <x:c r="K26" s="25" t="n">
        <x:v>0</x:v>
      </x:c>
      <x:c r="L26" s="26" t="str">
        <x:v>Active</x:v>
      </x:c>
      <x:c r="M26" s="26" t="str">
        <x:v>Not independently stated in this supplement</x:v>
      </x:c>
      <x:c r="N26" s="23" t="b">
        <x:v>0</x:v>
      </x:c>
      <x:c r="O26" s="2" t="str">
        <x:v>Unreserved inventory snapshot</x:v>
      </x:c>
      <x:c r="P26" s="2"/>
      <x:c r="Q26" s="2" t="str">
        <x:v>https://www.digikey.com/en/products/detail/kemet/C0402C391J5GACTU/2196662</x:v>
      </x:c>
    </x:row>
    <x:row r="27" ht="44" customHeight="1">
      <x:c r="A27" s="17" t="str">
        <x:v>OF0021</x:v>
      </x:c>
      <x:c r="B27" s="17" t="str">
        <x:v>C0603C224K4RACTU</x:v>
      </x:c>
      <x:c r="C27" s="17" t="str">
        <x:v>DigiKey</x:v>
      </x:c>
      <x:c r="D27" s="17" t="str">
        <x:v>Not stated</x:v>
      </x:c>
      <x:c r="E27" s="24" t="d">
        <x:v>2026-10-12T11:28:25.475Z</x:v>
      </x:c>
      <x:c r="F27" s="18" t="n">
        <x:v>1</x:v>
      </x:c>
      <x:c r="G27" s="18" t="n">
        <x:v>1</x:v>
      </x:c>
      <x:c r="H27" s="18" t="n">
        <x:v>823</x:v>
      </x:c>
      <x:c r="I27" s="18" t="n">
        <x:v>10</x:v>
      </x:c>
      <x:c r="J27" s="25" t="n">
        <x:v>0.346</x:v>
      </x:c>
      <x:c r="K27" s="25" t="n">
        <x:v>0</x:v>
      </x:c>
      <x:c r="L27" s="26" t="str">
        <x:v>Active</x:v>
      </x:c>
      <x:c r="M27" s="26" t="str">
        <x:v>Not independently stated in this supplement</x:v>
      </x:c>
      <x:c r="N27" s="23" t="b">
        <x:v>0</x:v>
      </x:c>
      <x:c r="O27" s="2" t="str">
        <x:v>Unreserved inventory snapshot</x:v>
      </x:c>
      <x:c r="P27" s="2"/>
      <x:c r="Q27" s="2" t="str">
        <x:v>https://www.digikey.com/en/products/detail/kemet/C0603C224K4RACTU/2057822</x:v>
      </x:c>
    </x:row>
    <x:row r="28" ht="44" customHeight="1">
      <x:c r="A28" s="17" t="str">
        <x:v>OF0022</x:v>
      </x:c>
      <x:c r="B28" s="17" t="str">
        <x:v>C0805C102JAGACTU</x:v>
      </x:c>
      <x:c r="C28" s="17" t="str">
        <x:v>DigiKey</x:v>
      </x:c>
      <x:c r="D28" s="17" t="str">
        <x:v>Not stated</x:v>
      </x:c>
      <x:c r="E28" s="24" t="d">
        <x:v>2026-10-12T11:28:25.475Z</x:v>
      </x:c>
      <x:c r="F28" s="18" t="n">
        <x:v>1</x:v>
      </x:c>
      <x:c r="G28" s="18" t="n">
        <x:v>1</x:v>
      </x:c>
      <x:c r="H28" s="18" t="n">
        <x:v>6914</x:v>
      </x:c>
      <x:c r="I28" s="18" t="n">
        <x:v>50</x:v>
      </x:c>
      <x:c r="J28" s="25" t="n">
        <x:v>0.3016</x:v>
      </x:c>
      <x:c r="K28" s="25" t="n">
        <x:v>0</x:v>
      </x:c>
      <x:c r="L28" s="26" t="str">
        <x:v>Active</x:v>
      </x:c>
      <x:c r="M28" s="26" t="str">
        <x:v>Not independently stated in this supplement</x:v>
      </x:c>
      <x:c r="N28" s="23" t="b">
        <x:v>0</x:v>
      </x:c>
      <x:c r="O28" s="2" t="str">
        <x:v>Unreserved inventory snapshot</x:v>
      </x:c>
      <x:c r="P28" s="2"/>
      <x:c r="Q28" s="2" t="str">
        <x:v>https://www.digikey.com/en/products/detail/kemet/C0805C102JAGACTU/7382555</x:v>
      </x:c>
    </x:row>
    <x:row r="29" ht="44" customHeight="1">
      <x:c r="A29" s="17" t="str">
        <x:v>OF0023</x:v>
      </x:c>
      <x:c r="B29" s="17" t="str">
        <x:v>C0805C103K1RACTU</x:v>
      </x:c>
      <x:c r="C29" s="17" t="str">
        <x:v>DigiKey</x:v>
      </x:c>
      <x:c r="D29" s="17" t="str">
        <x:v>Not stated</x:v>
      </x:c>
      <x:c r="E29" s="24" t="d">
        <x:v>2026-10-12T11:28:25.475Z</x:v>
      </x:c>
      <x:c r="F29" s="18" t="n">
        <x:v>1</x:v>
      </x:c>
      <x:c r="G29" s="18" t="n">
        <x:v>1</x:v>
      </x:c>
      <x:c r="H29" s="18" t="n">
        <x:v>329236</x:v>
      </x:c>
      <x:c r="I29" s="18" t="n">
        <x:v>50</x:v>
      </x:c>
      <x:c r="J29" s="25" t="n">
        <x:v>0.0408</x:v>
      </x:c>
      <x:c r="K29" s="25" t="n">
        <x:v>0</x:v>
      </x:c>
      <x:c r="L29" s="26" t="str">
        <x:v>Active</x:v>
      </x:c>
      <x:c r="M29" s="26" t="str">
        <x:v>Not independently stated in this supplement</x:v>
      </x:c>
      <x:c r="N29" s="23" t="b">
        <x:v>0</x:v>
      </x:c>
      <x:c r="O29" s="2" t="str">
        <x:v>Unreserved inventory snapshot</x:v>
      </x:c>
      <x:c r="P29" s="2"/>
      <x:c r="Q29" s="2" t="str">
        <x:v>https://www.digikey.com/en/products/detail/kemet/C0805C103K1RACTU/411158</x:v>
      </x:c>
    </x:row>
    <x:row r="30" ht="44" customHeight="1">
      <x:c r="A30" s="17" t="str">
        <x:v>OF0024</x:v>
      </x:c>
      <x:c r="B30" s="17" t="str">
        <x:v>C0805C223K1RACTU</x:v>
      </x:c>
      <x:c r="C30" s="17" t="str">
        <x:v>LCSC</x:v>
      </x:c>
      <x:c r="D30" s="17" t="str">
        <x:v>C2178056</x:v>
      </x:c>
      <x:c r="E30" s="24" t="d">
        <x:v>2026-10-12T10:44:15.395Z</x:v>
      </x:c>
      <x:c r="F30" s="18" t="n">
        <x:v>20</x:v>
      </x:c>
      <x:c r="G30" s="18" t="n">
        <x:v>20</x:v>
      </x:c>
      <x:c r="H30" s="18" t="n">
        <x:v>3880</x:v>
      </x:c>
      <x:c r="I30" s="18" t="n">
        <x:v>20</x:v>
      </x:c>
      <x:c r="J30" s="25" t="n">
        <x:v>0.0225</x:v>
      </x:c>
      <x:c r="K30" s="25" t="n">
        <x:v>0</x:v>
      </x:c>
      <x:c r="L30" s="26" t="str">
        <x:v>Not stated by captured product payload</x:v>
      </x:c>
      <x:c r="M30" s="26" t="str">
        <x:v>Not independently stated in this supplement</x:v>
      </x:c>
      <x:c r="N30" s="23" t="b">
        <x:v>0</x:v>
      </x:c>
      <x:c r="O30" s="2" t="str">
        <x:v>Unreserved inventory snapshot</x:v>
      </x:c>
      <x:c r="P30" s="2"/>
      <x:c r="Q30" s="2" t="str">
        <x:v>https://www.lcsc.com/product-detail/C2178056.html</x:v>
      </x:c>
    </x:row>
    <x:row r="31" ht="44" customHeight="1">
      <x:c r="A31" s="17" t="str">
        <x:v>OF0025</x:v>
      </x:c>
      <x:c r="B31" s="17" t="str">
        <x:v>C0805C475K4RACTU</x:v>
      </x:c>
      <x:c r="C31" s="17" t="str">
        <x:v>DigiKey</x:v>
      </x:c>
      <x:c r="D31" s="17" t="str">
        <x:v>Not stated</x:v>
      </x:c>
      <x:c r="E31" s="24" t="d">
        <x:v>2026-10-12T11:28:25.477Z</x:v>
      </x:c>
      <x:c r="F31" s="18" t="n">
        <x:v>1</x:v>
      </x:c>
      <x:c r="G31" s="18" t="n">
        <x:v>1</x:v>
      </x:c>
      <x:c r="H31" s="18" t="n">
        <x:v>280009</x:v>
      </x:c>
      <x:c r="I31" s="18" t="n">
        <x:v>50</x:v>
      </x:c>
      <x:c r="J31" s="25" t="n">
        <x:v>0.1526</x:v>
      </x:c>
      <x:c r="K31" s="25" t="n">
        <x:v>0</x:v>
      </x:c>
      <x:c r="L31" s="26" t="str">
        <x:v>Active</x:v>
      </x:c>
      <x:c r="M31" s="26" t="str">
        <x:v>Not independently stated in this supplement</x:v>
      </x:c>
      <x:c r="N31" s="23" t="b">
        <x:v>0</x:v>
      </x:c>
      <x:c r="O31" s="2" t="str">
        <x:v>Unreserved inventory snapshot</x:v>
      </x:c>
      <x:c r="P31" s="2"/>
      <x:c r="Q31" s="2" t="str">
        <x:v>https://www.digikey.com/en/products/detail/kemet/C0805C475K4RACTU/3317449</x:v>
      </x:c>
    </x:row>
    <x:row r="32" ht="44" customHeight="1">
      <x:c r="A32" s="17" t="str">
        <x:v>OF0026</x:v>
      </x:c>
      <x:c r="B32" s="17" t="str">
        <x:v>CGA6N3X7R2A225K230AB</x:v>
      </x:c>
      <x:c r="C32" s="17" t="str">
        <x:v>DigiKey</x:v>
      </x:c>
      <x:c r="D32" s="17" t="str">
        <x:v>Not stated</x:v>
      </x:c>
      <x:c r="E32" s="24" t="d">
        <x:v>2026-10-12T11:28:25.475Z</x:v>
      </x:c>
      <x:c r="F32" s="18" t="n">
        <x:v>1</x:v>
      </x:c>
      <x:c r="G32" s="18" t="n">
        <x:v>1</x:v>
      </x:c>
      <x:c r="H32" s="18" t="n">
        <x:v>31398</x:v>
      </x:c>
      <x:c r="I32" s="18" t="n">
        <x:v>100</x:v>
      </x:c>
      <x:c r="J32" s="25" t="n">
        <x:v>0.5267</x:v>
      </x:c>
      <x:c r="K32" s="25" t="n">
        <x:v>0</x:v>
      </x:c>
      <x:c r="L32" s="26" t="str">
        <x:v>Active</x:v>
      </x:c>
      <x:c r="M32" s="26" t="str">
        <x:v>Not independently stated in this supplement</x:v>
      </x:c>
      <x:c r="N32" s="23" t="b">
        <x:v>0</x:v>
      </x:c>
      <x:c r="O32" s="2" t="str">
        <x:v>Unreserved inventory snapshot</x:v>
      </x:c>
      <x:c r="P32" s="2"/>
      <x:c r="Q32" s="2" t="str">
        <x:v>https://www.digikey.com/en/products/detail/tdk-corporation/CGA6N3X7R2A225K230AB/2443344</x:v>
      </x:c>
    </x:row>
    <x:row r="33" ht="44" customHeight="1">
      <x:c r="A33" s="17" t="str">
        <x:v>OF0027</x:v>
      </x:c>
      <x:c r="B33" s="17" t="str">
        <x:v>CL05B104KB5NNNC</x:v>
      </x:c>
      <x:c r="C33" s="17" t="str">
        <x:v>LCSC</x:v>
      </x:c>
      <x:c r="D33" s="17" t="str">
        <x:v>C960916</x:v>
      </x:c>
      <x:c r="E33" s="24" t="d">
        <x:v>2026-10-12T10:44:15.853Z</x:v>
      </x:c>
      <x:c r="F33" s="18" t="n">
        <x:v>50</x:v>
      </x:c>
      <x:c r="G33" s="18" t="n">
        <x:v>50</x:v>
      </x:c>
      <x:c r="H33" s="18" t="n">
        <x:v>155500</x:v>
      </x:c>
      <x:c r="I33" s="18" t="n">
        <x:v>1500</x:v>
      </x:c>
      <x:c r="J33" s="25" t="n">
        <x:v>0.0066</x:v>
      </x:c>
      <x:c r="K33" s="25" t="n">
        <x:v>0</x:v>
      </x:c>
      <x:c r="L33" s="26" t="str">
        <x:v>Not stated by captured product payload</x:v>
      </x:c>
      <x:c r="M33" s="26" t="str">
        <x:v>MassProduction</x:v>
      </x:c>
      <x:c r="N33" s="23" t="b">
        <x:v>0</x:v>
      </x:c>
      <x:c r="O33" s="2" t="str">
        <x:v>Unreserved inventory snapshot</x:v>
      </x:c>
      <x:c r="P33" s="2"/>
      <x:c r="Q33" s="2" t="str">
        <x:v>https://www.lcsc.com/product-detail/C960916.html</x:v>
      </x:c>
    </x:row>
    <x:row r="34" ht="44" customHeight="1">
      <x:c r="A34" s="17" t="str">
        <x:v>OF0028</x:v>
      </x:c>
      <x:c r="B34" s="17" t="str">
        <x:v>CL10B225KP8NNNC</x:v>
      </x:c>
      <x:c r="C34" s="17" t="str">
        <x:v>LCSC</x:v>
      </x:c>
      <x:c r="D34" s="17" t="str">
        <x:v>C100082</x:v>
      </x:c>
      <x:c r="E34" s="24" t="d">
        <x:v>2026-10-12T10:44:15.993Z</x:v>
      </x:c>
      <x:c r="F34" s="18" t="n">
        <x:v>20</x:v>
      </x:c>
      <x:c r="G34" s="18" t="n">
        <x:v>20</x:v>
      </x:c>
      <x:c r="H34" s="18" t="n">
        <x:v>274380</x:v>
      </x:c>
      <x:c r="I34" s="18" t="n">
        <x:v>200</x:v>
      </x:c>
      <x:c r="J34" s="25" t="n">
        <x:v>0.021</x:v>
      </x:c>
      <x:c r="K34" s="25" t="n">
        <x:v>0</x:v>
      </x:c>
      <x:c r="L34" s="26" t="str">
        <x:v>Not stated by captured product payload</x:v>
      </x:c>
      <x:c r="M34" s="26" t="str">
        <x:v>MassProduction</x:v>
      </x:c>
      <x:c r="N34" s="23" t="b">
        <x:v>0</x:v>
      </x:c>
      <x:c r="O34" s="2" t="str">
        <x:v>Unreserved inventory snapshot</x:v>
      </x:c>
      <x:c r="P34" s="2"/>
      <x:c r="Q34" s="2" t="str">
        <x:v>https://www.lcsc.com/product-detail/C100082.html</x:v>
      </x:c>
    </x:row>
    <x:row r="35" ht="44" customHeight="1">
      <x:c r="A35" s="17" t="str">
        <x:v>OF0029</x:v>
      </x:c>
      <x:c r="B35" s="17" t="str">
        <x:v>CL21B105KBFNNNF</x:v>
      </x:c>
      <x:c r="C35" s="17" t="str">
        <x:v>LCSC</x:v>
      </x:c>
      <x:c r="D35" s="17" t="str">
        <x:v>C16195091</x:v>
      </x:c>
      <x:c r="E35" s="24" t="d">
        <x:v>2026-10-12T17:02:10.378Z</x:v>
      </x:c>
      <x:c r="F35" s="18" t="n">
        <x:v>10</x:v>
      </x:c>
      <x:c r="G35" s="18" t="n">
        <x:v>10</x:v>
      </x:c>
      <x:c r="H35" s="18" t="n">
        <x:v>450</x:v>
      </x:c>
      <x:c r="I35" s="18" t="n">
        <x:v>100</x:v>
      </x:c>
      <x:c r="J35" s="25" t="n">
        <x:v>0.029</x:v>
      </x:c>
      <x:c r="K35" s="25" t="n">
        <x:v>0</x:v>
      </x:c>
      <x:c r="L35" s="26" t="str">
        <x:v>Mass Production per current Samsung exact primary818</x:v>
      </x:c>
      <x:c r="M35" s="26" t="str">
        <x:v>Not independently stated in this supplement</x:v>
      </x:c>
      <x:c r="N35" s="23" t="b">
        <x:v>0</x:v>
      </x:c>
      <x:c r="O35" s="2" t="str">
        <x:v>Unreserved inventory snapshot</x:v>
      </x:c>
      <x:c r="P35" s="2"/>
      <x:c r="Q35" s="2" t="str">
        <x:v>https://www.lcsc.com/product-detail/C16195091.html</x:v>
      </x:c>
    </x:row>
    <x:row r="36" ht="44" customHeight="1">
      <x:c r="A36" s="17" t="str">
        <x:v>OF0030</x:v>
      </x:c>
      <x:c r="B36" s="17" t="str">
        <x:v>CL32B106KBJZW6E</x:v>
      </x:c>
      <x:c r="C36" s="17" t="str">
        <x:v>DigiKey</x:v>
      </x:c>
      <x:c r="D36" s="17" t="str">
        <x:v>Not stated</x:v>
      </x:c>
      <x:c r="E36" s="24" t="d">
        <x:v>2026-10-12T11:28:25.475Z</x:v>
      </x:c>
      <x:c r="F36" s="18" t="n">
        <x:v>1</x:v>
      </x:c>
      <x:c r="G36" s="18" t="n">
        <x:v>1</x:v>
      </x:c>
      <x:c r="H36" s="18" t="n">
        <x:v>167479</x:v>
      </x:c>
      <x:c r="I36" s="18" t="n">
        <x:v>50</x:v>
      </x:c>
      <x:c r="J36" s="25" t="n">
        <x:v>0.5222</x:v>
      </x:c>
      <x:c r="K36" s="25" t="n">
        <x:v>0</x:v>
      </x:c>
      <x:c r="L36" s="26" t="str">
        <x:v>Active</x:v>
      </x:c>
      <x:c r="M36" s="26" t="str">
        <x:v>Not independently stated in this supplement</x:v>
      </x:c>
      <x:c r="N36" s="23" t="b">
        <x:v>0</x:v>
      </x:c>
      <x:c r="O36" s="2" t="str">
        <x:v>Unreserved inventory snapshot</x:v>
      </x:c>
      <x:c r="P36" s="2"/>
      <x:c r="Q36" s="2" t="str">
        <x:v>https://www.digikey.com/en/products/detail/samsung-electro-mechanics-america-inc/CL32B106KBJZW6E/7320557</x:v>
      </x:c>
    </x:row>
    <x:row r="37" ht="44" customHeight="1">
      <x:c r="A37" s="17" t="str">
        <x:v>OF0031</x:v>
      </x:c>
      <x:c r="B37" s="17" t="str">
        <x:v>CL32B226KAJNNNE</x:v>
      </x:c>
      <x:c r="C37" s="17" t="str">
        <x:v>LCSC</x:v>
      </x:c>
      <x:c r="D37" s="17" t="str">
        <x:v>C309062</x:v>
      </x:c>
      <x:c r="E37" s="24" t="d">
        <x:v>2026-10-12T14:52:12.204Z</x:v>
      </x:c>
      <x:c r="F37" s="18" t="n">
        <x:v>1</x:v>
      </x:c>
      <x:c r="G37" s="18" t="n">
        <x:v>1</x:v>
      </x:c>
      <x:c r="H37" s="18" t="n">
        <x:v>42997</x:v>
      </x:c>
      <x:c r="I37" s="18" t="n">
        <x:v>500</x:v>
      </x:c>
      <x:c r="J37" s="25" t="n">
        <x:v>0.2028</x:v>
      </x:c>
      <x:c r="K37" s="25" t="n">
        <x:v>0</x:v>
      </x:c>
      <x:c r="L37" s="26" t="str">
        <x:v>Mass Production per Samsung primary</x:v>
      </x:c>
      <x:c r="M37" s="26" t="str">
        <x:v>Not independently stated in this supplement</x:v>
      </x:c>
      <x:c r="N37" s="23" t="b">
        <x:v>0</x:v>
      </x:c>
      <x:c r="O37" s="2" t="str">
        <x:v>Unreserved inventory snapshot</x:v>
      </x:c>
      <x:c r="P37" s="2"/>
      <x:c r="Q37" s="2" t="str">
        <x:v>https://www.lcsc.com/product-detail/C309062.html</x:v>
      </x:c>
    </x:row>
    <x:row r="38" ht="44" customHeight="1">
      <x:c r="A38" s="17" t="str">
        <x:v>OF0032</x:v>
      </x:c>
      <x:c r="B38" s="17" t="str">
        <x:v>CL32B476KPJNNWE</x:v>
      </x:c>
      <x:c r="C38" s="17" t="str">
        <x:v>LCSC</x:v>
      </x:c>
      <x:c r="D38" s="17" t="str">
        <x:v>C2932479</x:v>
      </x:c>
      <x:c r="E38" s="24" t="d">
        <x:v>2026-10-12T15:45:30.280Z</x:v>
      </x:c>
      <x:c r="F38" s="18" t="n">
        <x:v>1</x:v>
      </x:c>
      <x:c r="G38" s="18" t="n">
        <x:v>1</x:v>
      </x:c>
      <x:c r="H38" s="18" t="n">
        <x:v>1284</x:v>
      </x:c>
      <x:c r="I38" s="18" t="n">
        <x:v>30</x:v>
      </x:c>
      <x:c r="J38" s="25" t="n">
        <x:v>0.5278</x:v>
      </x:c>
      <x:c r="K38" s="25" t="n">
        <x:v>0</x:v>
      </x:c>
      <x:c r="L38" s="26" t="str">
        <x:v>Mass Production per Samsung current-primary756</x:v>
      </x:c>
      <x:c r="M38" s="26" t="str">
        <x:v>Not independently stated in this supplement</x:v>
      </x:c>
      <x:c r="N38" s="23" t="b">
        <x:v>0</x:v>
      </x:c>
      <x:c r="O38" s="2" t="str">
        <x:v>Unreserved inventory snapshot</x:v>
      </x:c>
      <x:c r="P38" s="2"/>
      <x:c r="Q38" s="2" t="str">
        <x:v>https://www.lcsc.com/product-detail/C2932479.html</x:v>
      </x:c>
    </x:row>
    <x:row r="39" ht="44" customHeight="1">
      <x:c r="A39" s="17" t="str">
        <x:v>OF0033</x:v>
      </x:c>
      <x:c r="B39" s="17" t="str">
        <x:v>CRCW04020000Z0ED</x:v>
      </x:c>
      <x:c r="C39" s="17" t="str">
        <x:v>DigiKey</x:v>
      </x:c>
      <x:c r="D39" s="17" t="str">
        <x:v>Not stated</x:v>
      </x:c>
      <x:c r="E39" s="24" t="d">
        <x:v>2026-10-12T11:28:25.475Z</x:v>
      </x:c>
      <x:c r="F39" s="18" t="n">
        <x:v>1</x:v>
      </x:c>
      <x:c r="G39" s="18" t="n">
        <x:v>1</x:v>
      </x:c>
      <x:c r="H39" s="18" t="n">
        <x:v>3541597</x:v>
      </x:c>
      <x:c r="I39" s="18" t="n">
        <x:v>100</x:v>
      </x:c>
      <x:c r="J39" s="25" t="n">
        <x:v>0.0099</x:v>
      </x:c>
      <x:c r="K39" s="25" t="n">
        <x:v>0</x:v>
      </x:c>
      <x:c r="L39" s="26" t="str">
        <x:v>Active</x:v>
      </x:c>
      <x:c r="M39" s="26" t="str">
        <x:v>Not independently stated in this supplement</x:v>
      </x:c>
      <x:c r="N39" s="23" t="b">
        <x:v>0</x:v>
      </x:c>
      <x:c r="O39" s="2" t="str">
        <x:v>Unreserved inventory snapshot</x:v>
      </x:c>
      <x:c r="P39" s="2"/>
      <x:c r="Q39" s="2" t="str">
        <x:v>https://www.digikey.com/en/products/detail/vishay-dale/CRCW04020000Z0ED/1177495</x:v>
      </x:c>
    </x:row>
    <x:row r="40" ht="44" customHeight="1">
      <x:c r="A40" s="17" t="str">
        <x:v>OF0034</x:v>
      </x:c>
      <x:c r="B40" s="17" t="str">
        <x:v>CRCW0402100KFKED</x:v>
      </x:c>
      <x:c r="C40" s="17" t="str">
        <x:v>LCSC</x:v>
      </x:c>
      <x:c r="D40" s="17" t="str">
        <x:v>C481918</x:v>
      </x:c>
      <x:c r="E40" s="24" t="d">
        <x:v>2026-10-12T10:44:16.418Z</x:v>
      </x:c>
      <x:c r="F40" s="18" t="n">
        <x:v>100</x:v>
      </x:c>
      <x:c r="G40" s="18" t="n">
        <x:v>100</x:v>
      </x:c>
      <x:c r="H40" s="18" t="n">
        <x:v>49900</x:v>
      </x:c>
      <x:c r="I40" s="18" t="n">
        <x:v>100</x:v>
      </x:c>
      <x:c r="J40" s="25" t="n">
        <x:v>0.0042</x:v>
      </x:c>
      <x:c r="K40" s="25" t="n">
        <x:v>0</x:v>
      </x:c>
      <x:c r="L40" s="26" t="str">
        <x:v>Not stated by captured product payload</x:v>
      </x:c>
      <x:c r="M40" s="26" t="str">
        <x:v>Not independently stated in this supplement</x:v>
      </x:c>
      <x:c r="N40" s="23" t="b">
        <x:v>0</x:v>
      </x:c>
      <x:c r="O40" s="2" t="str">
        <x:v>Unreserved inventory snapshot</x:v>
      </x:c>
      <x:c r="P40" s="2"/>
      <x:c r="Q40" s="2" t="str">
        <x:v>https://www.lcsc.com/product-detail/C481918.html</x:v>
      </x:c>
    </x:row>
    <x:row r="41" ht="44" customHeight="1">
      <x:c r="A41" s="17" t="str">
        <x:v>OF0035</x:v>
      </x:c>
      <x:c r="B41" s="17" t="str">
        <x:v>CRCW0402100RFKED</x:v>
      </x:c>
      <x:c r="C41" s="17" t="str">
        <x:v>DigiKey</x:v>
      </x:c>
      <x:c r="D41" s="17" t="str">
        <x:v>Not stated</x:v>
      </x:c>
      <x:c r="E41" s="24" t="d">
        <x:v>2026-10-12T11:28:25.475Z</x:v>
      </x:c>
      <x:c r="F41" s="18" t="n">
        <x:v>1</x:v>
      </x:c>
      <x:c r="G41" s="18" t="n">
        <x:v>1</x:v>
      </x:c>
      <x:c r="H41" s="18" t="n">
        <x:v>2318138</x:v>
      </x:c>
      <x:c r="I41" s="18" t="n">
        <x:v>100</x:v>
      </x:c>
      <x:c r="J41" s="25" t="n">
        <x:v>0.0157</x:v>
      </x:c>
      <x:c r="K41" s="25" t="n">
        <x:v>0</x:v>
      </x:c>
      <x:c r="L41" s="26" t="str">
        <x:v>Active</x:v>
      </x:c>
      <x:c r="M41" s="26" t="str">
        <x:v>Not independently stated in this supplement</x:v>
      </x:c>
      <x:c r="N41" s="23" t="b">
        <x:v>0</x:v>
      </x:c>
      <x:c r="O41" s="2" t="str">
        <x:v>Unreserved inventory snapshot</x:v>
      </x:c>
      <x:c r="P41" s="2"/>
      <x:c r="Q41" s="2" t="str">
        <x:v>https://www.digikey.com/en/products/detail/vishay-dale/CRCW0402100RFKED/1177893</x:v>
      </x:c>
    </x:row>
    <x:row r="42" ht="44" customHeight="1">
      <x:c r="A42" s="17" t="str">
        <x:v>OF0036</x:v>
      </x:c>
      <x:c r="B42" s="17" t="str">
        <x:v>CRCW040210K0FKED</x:v>
      </x:c>
      <x:c r="C42" s="17" t="str">
        <x:v>LCSC</x:v>
      </x:c>
      <x:c r="D42" s="17" t="str">
        <x:v>C71617</x:v>
      </x:c>
      <x:c r="E42" s="24" t="d">
        <x:v>2026-10-12T10:44:17.050Z</x:v>
      </x:c>
      <x:c r="F42" s="18" t="n">
        <x:v>10</x:v>
      </x:c>
      <x:c r="G42" s="18" t="n">
        <x:v>10</x:v>
      </x:c>
      <x:c r="H42" s="18" t="n">
        <x:v>499990</x:v>
      </x:c>
      <x:c r="I42" s="18" t="n">
        <x:v>300</x:v>
      </x:c>
      <x:c r="J42" s="25" t="n">
        <x:v>0.0022</x:v>
      </x:c>
      <x:c r="K42" s="25" t="n">
        <x:v>0</x:v>
      </x:c>
      <x:c r="L42" s="26" t="str">
        <x:v>Not stated by captured product payload</x:v>
      </x:c>
      <x:c r="M42" s="26" t="str">
        <x:v>Not independently stated in this supplement</x:v>
      </x:c>
      <x:c r="N42" s="23" t="b">
        <x:v>0</x:v>
      </x:c>
      <x:c r="O42" s="2" t="str">
        <x:v>Unreserved inventory snapshot</x:v>
      </x:c>
      <x:c r="P42" s="2"/>
      <x:c r="Q42" s="2" t="str">
        <x:v>https://www.lcsc.com/product-detail/C71617.html</x:v>
      </x:c>
    </x:row>
    <x:row r="43" ht="44" customHeight="1">
      <x:c r="A43" s="17" t="str">
        <x:v>OF0037</x:v>
      </x:c>
      <x:c r="B43" s="17" t="str">
        <x:v>CRCW0402150KFKED</x:v>
      </x:c>
      <x:c r="C43" s="17" t="str">
        <x:v>DigiKey</x:v>
      </x:c>
      <x:c r="D43" s="17" t="str">
        <x:v>Not stated</x:v>
      </x:c>
      <x:c r="E43" s="24" t="d">
        <x:v>2026-10-12T11:28:25.473Z</x:v>
      </x:c>
      <x:c r="F43" s="18" t="n">
        <x:v>1</x:v>
      </x:c>
      <x:c r="G43" s="18" t="n">
        <x:v>1</x:v>
      </x:c>
      <x:c r="H43" s="18" t="n">
        <x:v>198771</x:v>
      </x:c>
      <x:c r="I43" s="18" t="n">
        <x:v>25</x:v>
      </x:c>
      <x:c r="J43" s="25" t="n">
        <x:v>0.0236</x:v>
      </x:c>
      <x:c r="K43" s="25" t="n">
        <x:v>0</x:v>
      </x:c>
      <x:c r="L43" s="26" t="str">
        <x:v>Active</x:v>
      </x:c>
      <x:c r="M43" s="26" t="str">
        <x:v>Not independently stated in this supplement</x:v>
      </x:c>
      <x:c r="N43" s="23" t="b">
        <x:v>0</x:v>
      </x:c>
      <x:c r="O43" s="2" t="str">
        <x:v>Unreserved inventory snapshot</x:v>
      </x:c>
      <x:c r="P43" s="2"/>
      <x:c r="Q43" s="2" t="str">
        <x:v>https://www.digikey.com/en/products/detail/vishay-dale/CRCW0402150KFKED/1178253</x:v>
      </x:c>
    </x:row>
    <x:row r="44" ht="44" customHeight="1">
      <x:c r="A44" s="17" t="str">
        <x:v>OF0038</x:v>
      </x:c>
      <x:c r="B44" s="17" t="str">
        <x:v>CRCW0402150RFKED</x:v>
      </x:c>
      <x:c r="C44" s="17" t="str">
        <x:v>DigiKey</x:v>
      </x:c>
      <x:c r="D44" s="17" t="str">
        <x:v>Not stated</x:v>
      </x:c>
      <x:c r="E44" s="24" t="d">
        <x:v>2026-10-12T11:28:25.473Z</x:v>
      </x:c>
      <x:c r="F44" s="18" t="n">
        <x:v>1</x:v>
      </x:c>
      <x:c r="G44" s="18" t="n">
        <x:v>1</x:v>
      </x:c>
      <x:c r="H44" s="18" t="n">
        <x:v>85136</x:v>
      </x:c>
      <x:c r="I44" s="18" t="n">
        <x:v>25</x:v>
      </x:c>
      <x:c r="J44" s="25" t="n">
        <x:v>0.0236</x:v>
      </x:c>
      <x:c r="K44" s="25" t="n">
        <x:v>0</x:v>
      </x:c>
      <x:c r="L44" s="26" t="str">
        <x:v>Active</x:v>
      </x:c>
      <x:c r="M44" s="26" t="str">
        <x:v>Not independently stated in this supplement</x:v>
      </x:c>
      <x:c r="N44" s="23" t="b">
        <x:v>0</x:v>
      </x:c>
      <x:c r="O44" s="2" t="str">
        <x:v>Unreserved inventory snapshot</x:v>
      </x:c>
      <x:c r="P44" s="2"/>
      <x:c r="Q44" s="2" t="str">
        <x:v>https://www.digikey.com/en/products/detail/vishay-dale/CRCW0402150RFKED/1177911</x:v>
      </x:c>
    </x:row>
    <x:row r="45" ht="44" customHeight="1">
      <x:c r="A45" s="17" t="str">
        <x:v>OF0039</x:v>
      </x:c>
      <x:c r="B45" s="17" t="str">
        <x:v>CRCW040215K0FKED</x:v>
      </x:c>
      <x:c r="C45" s="17" t="str">
        <x:v>DigiKey</x:v>
      </x:c>
      <x:c r="D45" s="17" t="str">
        <x:v>Not stated</x:v>
      </x:c>
      <x:c r="E45" s="24" t="d">
        <x:v>2026-10-12T11:28:25.473Z</x:v>
      </x:c>
      <x:c r="F45" s="18" t="n">
        <x:v>1</x:v>
      </x:c>
      <x:c r="G45" s="18" t="n">
        <x:v>1</x:v>
      </x:c>
      <x:c r="H45" s="18" t="n">
        <x:v>515721</x:v>
      </x:c>
      <x:c r="I45" s="18" t="n">
        <x:v>25</x:v>
      </x:c>
      <x:c r="J45" s="25" t="n">
        <x:v>0.0236</x:v>
      </x:c>
      <x:c r="K45" s="25" t="n">
        <x:v>0</x:v>
      </x:c>
      <x:c r="L45" s="26" t="str">
        <x:v>Active</x:v>
      </x:c>
      <x:c r="M45" s="26" t="str">
        <x:v>Not independently stated in this supplement</x:v>
      </x:c>
      <x:c r="N45" s="23" t="b">
        <x:v>0</x:v>
      </x:c>
      <x:c r="O45" s="2" t="str">
        <x:v>Unreserved inventory snapshot</x:v>
      </x:c>
      <x:c r="P45" s="2"/>
      <x:c r="Q45" s="2" t="str">
        <x:v>https://www.digikey.com/en/products/detail/vishay-dale/CRCW040215K0FKED/1178139</x:v>
      </x:c>
    </x:row>
    <x:row r="46" ht="44" customHeight="1">
      <x:c r="A46" s="17" t="str">
        <x:v>OF0040</x:v>
      </x:c>
      <x:c r="B46" s="17" t="str">
        <x:v>CRCW040218K2FKED</x:v>
      </x:c>
      <x:c r="C46" s="17" t="str">
        <x:v>DigiKey</x:v>
      </x:c>
      <x:c r="D46" s="17" t="str">
        <x:v>Not stated</x:v>
      </x:c>
      <x:c r="E46" s="24" t="d">
        <x:v>2026-10-12T11:28:25.473Z</x:v>
      </x:c>
      <x:c r="F46" s="18" t="n">
        <x:v>1</x:v>
      </x:c>
      <x:c r="G46" s="18" t="n">
        <x:v>1</x:v>
      </x:c>
      <x:c r="H46" s="18" t="n">
        <x:v>140682</x:v>
      </x:c>
      <x:c r="I46" s="18" t="n">
        <x:v>50</x:v>
      </x:c>
      <x:c r="J46" s="25" t="n">
        <x:v>0.0192</x:v>
      </x:c>
      <x:c r="K46" s="25" t="n">
        <x:v>0</x:v>
      </x:c>
      <x:c r="L46" s="26" t="str">
        <x:v>Active</x:v>
      </x:c>
      <x:c r="M46" s="26" t="str">
        <x:v>Not independently stated in this supplement</x:v>
      </x:c>
      <x:c r="N46" s="23" t="b">
        <x:v>0</x:v>
      </x:c>
      <x:c r="O46" s="2" t="str">
        <x:v>Unreserved inventory snapshot</x:v>
      </x:c>
      <x:c r="P46" s="2"/>
      <x:c r="Q46" s="2" t="str">
        <x:v>https://www.digikey.com/en/products/detail/vishay-dale/CRCW040218K2FKED/1183265</x:v>
      </x:c>
    </x:row>
    <x:row r="47" ht="44" customHeight="1">
      <x:c r="A47" s="17" t="str">
        <x:v>OF0041</x:v>
      </x:c>
      <x:c r="B47" s="17" t="str">
        <x:v>CRCW04021K00FKED</x:v>
      </x:c>
      <x:c r="C47" s="17" t="str">
        <x:v>DigiKey</x:v>
      </x:c>
      <x:c r="D47" s="17" t="str">
        <x:v>Not stated</x:v>
      </x:c>
      <x:c r="E47" s="24" t="d">
        <x:v>2026-10-12T11:28:25.477Z</x:v>
      </x:c>
      <x:c r="F47" s="18" t="n">
        <x:v>1</x:v>
      </x:c>
      <x:c r="G47" s="18" t="n">
        <x:v>1</x:v>
      </x:c>
      <x:c r="H47" s="18" t="n">
        <x:v>4776908</x:v>
      </x:c>
      <x:c r="I47" s="18" t="n">
        <x:v>250</x:v>
      </x:c>
      <x:c r="J47" s="25" t="n">
        <x:v>0.01228</x:v>
      </x:c>
      <x:c r="K47" s="25" t="n">
        <x:v>0</x:v>
      </x:c>
      <x:c r="L47" s="26" t="str">
        <x:v>Active</x:v>
      </x:c>
      <x:c r="M47" s="26" t="str">
        <x:v>Not independently stated in this supplement</x:v>
      </x:c>
      <x:c r="N47" s="23" t="b">
        <x:v>0</x:v>
      </x:c>
      <x:c r="O47" s="2" t="str">
        <x:v>Unreserved inventory snapshot</x:v>
      </x:c>
      <x:c r="P47" s="2"/>
      <x:c r="Q47" s="2" t="str">
        <x:v>https://www.digikey.com/en/products/detail/vishay-dale/CRCW04021K00FKED/1178007</x:v>
      </x:c>
    </x:row>
    <x:row r="48" ht="44" customHeight="1">
      <x:c r="A48" s="17" t="str">
        <x:v>OF0042</x:v>
      </x:c>
      <x:c r="B48" s="17" t="str">
        <x:v>CRCW04021M00FKED</x:v>
      </x:c>
      <x:c r="C48" s="17" t="str">
        <x:v>DigiKey</x:v>
      </x:c>
      <x:c r="D48" s="17" t="str">
        <x:v>Not stated</x:v>
      </x:c>
      <x:c r="E48" s="24" t="d">
        <x:v>2026-10-12T11:28:25.477Z</x:v>
      </x:c>
      <x:c r="F48" s="18" t="n">
        <x:v>1</x:v>
      </x:c>
      <x:c r="G48" s="18" t="n">
        <x:v>1</x:v>
      </x:c>
      <x:c r="H48" s="18" t="n">
        <x:v>1403164</x:v>
      </x:c>
      <x:c r="I48" s="18" t="n">
        <x:v>50</x:v>
      </x:c>
      <x:c r="J48" s="25" t="n">
        <x:v>0.0192</x:v>
      </x:c>
      <x:c r="K48" s="25" t="n">
        <x:v>0</x:v>
      </x:c>
      <x:c r="L48" s="26" t="str">
        <x:v>Active</x:v>
      </x:c>
      <x:c r="M48" s="26" t="str">
        <x:v>Not independently stated in this supplement</x:v>
      </x:c>
      <x:c r="N48" s="23" t="b">
        <x:v>0</x:v>
      </x:c>
      <x:c r="O48" s="2" t="str">
        <x:v>Unreserved inventory snapshot</x:v>
      </x:c>
      <x:c r="P48" s="2"/>
      <x:c r="Q48" s="2" t="str">
        <x:v>https://www.digikey.com/en/products/detail/vishay-dale/CRCW04021M00FKED/1183465</x:v>
      </x:c>
    </x:row>
    <x:row r="49" ht="44" customHeight="1">
      <x:c r="A49" s="17" t="str">
        <x:v>OF0043</x:v>
      </x:c>
      <x:c r="B49" s="17" t="str">
        <x:v>CRCW040220K0FKED</x:v>
      </x:c>
      <x:c r="C49" s="17" t="str">
        <x:v>DigiKey</x:v>
      </x:c>
      <x:c r="D49" s="17" t="str">
        <x:v>Not stated</x:v>
      </x:c>
      <x:c r="E49" s="24" t="d">
        <x:v>2026-10-12T11:28:25.477Z</x:v>
      </x:c>
      <x:c r="F49" s="18" t="n">
        <x:v>1</x:v>
      </x:c>
      <x:c r="G49" s="18" t="n">
        <x:v>1</x:v>
      </x:c>
      <x:c r="H49" s="18" t="n">
        <x:v>878975</x:v>
      </x:c>
      <x:c r="I49" s="18" t="n">
        <x:v>50</x:v>
      </x:c>
      <x:c r="J49" s="25" t="n">
        <x:v>0.0192</x:v>
      </x:c>
      <x:c r="K49" s="25" t="n">
        <x:v>0</x:v>
      </x:c>
      <x:c r="L49" s="26" t="str">
        <x:v>Active</x:v>
      </x:c>
      <x:c r="M49" s="26" t="str">
        <x:v>Not independently stated in this supplement</x:v>
      </x:c>
      <x:c r="N49" s="23" t="b">
        <x:v>0</x:v>
      </x:c>
      <x:c r="O49" s="2" t="str">
        <x:v>Unreserved inventory snapshot</x:v>
      </x:c>
      <x:c r="P49" s="2"/>
      <x:c r="Q49" s="2" t="str">
        <x:v>https://www.digikey.com/en/products/detail/vishay-dale/CRCW040220K0FKED/1178153</x:v>
      </x:c>
    </x:row>
    <x:row r="50" ht="44" customHeight="1">
      <x:c r="A50" s="17" t="str">
        <x:v>OF0044</x:v>
      </x:c>
      <x:c r="B50" s="17" t="str">
        <x:v>CRCW040222R0FKED</x:v>
      </x:c>
      <x:c r="C50" s="17" t="str">
        <x:v>DigiKey</x:v>
      </x:c>
      <x:c r="D50" s="17" t="str">
        <x:v>Not stated</x:v>
      </x:c>
      <x:c r="E50" s="24" t="d">
        <x:v>2026-10-12T11:28:25.477Z</x:v>
      </x:c>
      <x:c r="F50" s="18" t="n">
        <x:v>1</x:v>
      </x:c>
      <x:c r="G50" s="18" t="n">
        <x:v>1</x:v>
      </x:c>
      <x:c r="H50" s="18" t="n">
        <x:v>1344218</x:v>
      </x:c>
      <x:c r="I50" s="18" t="n">
        <x:v>250</x:v>
      </x:c>
      <x:c r="J50" s="25" t="n">
        <x:v>0.01228</x:v>
      </x:c>
      <x:c r="K50" s="25" t="n">
        <x:v>0</x:v>
      </x:c>
      <x:c r="L50" s="26" t="str">
        <x:v>Active</x:v>
      </x:c>
      <x:c r="M50" s="26" t="str">
        <x:v>Not independently stated in this supplement</x:v>
      </x:c>
      <x:c r="N50" s="23" t="b">
        <x:v>0</x:v>
      </x:c>
      <x:c r="O50" s="2" t="str">
        <x:v>Unreserved inventory snapshot</x:v>
      </x:c>
      <x:c r="P50" s="2"/>
      <x:c r="Q50" s="2" t="str">
        <x:v>https://www.digikey.com/en/products/detail/vishay-dale/CRCW040222R0FKED/1177815</x:v>
      </x:c>
    </x:row>
    <x:row r="51" ht="44" customHeight="1">
      <x:c r="A51" s="17" t="str">
        <x:v>OF0045</x:v>
      </x:c>
      <x:c r="B51" s="17" t="str">
        <x:v>CRCW04022K49FKED</x:v>
      </x:c>
      <x:c r="C51" s="17" t="str">
        <x:v>DigiKey</x:v>
      </x:c>
      <x:c r="D51" s="17" t="str">
        <x:v>Not stated</x:v>
      </x:c>
      <x:c r="E51" s="24" t="d">
        <x:v>2026-10-12T11:28:25.473Z</x:v>
      </x:c>
      <x:c r="F51" s="18" t="n">
        <x:v>1</x:v>
      </x:c>
      <x:c r="G51" s="18" t="n">
        <x:v>1</x:v>
      </x:c>
      <x:c r="H51" s="18" t="n">
        <x:v>261937</x:v>
      </x:c>
      <x:c r="I51" s="18" t="n">
        <x:v>50</x:v>
      </x:c>
      <x:c r="J51" s="25" t="n">
        <x:v>0.0192</x:v>
      </x:c>
      <x:c r="K51" s="25" t="n">
        <x:v>0</x:v>
      </x:c>
      <x:c r="L51" s="26" t="str">
        <x:v>Active</x:v>
      </x:c>
      <x:c r="M51" s="26" t="str">
        <x:v>Not independently stated in this supplement</x:v>
      </x:c>
      <x:c r="N51" s="23" t="b">
        <x:v>0</x:v>
      </x:c>
      <x:c r="O51" s="2" t="str">
        <x:v>Unreserved inventory snapshot</x:v>
      </x:c>
      <x:c r="P51" s="2"/>
      <x:c r="Q51" s="2" t="str">
        <x:v>https://www.digikey.com/en/products/detail/vishay-dale/CRCW04022K49FKED/1183166</x:v>
      </x:c>
    </x:row>
    <x:row r="52" ht="44" customHeight="1">
      <x:c r="A52" s="17" t="str">
        <x:v>OF0046</x:v>
      </x:c>
      <x:c r="B52" s="17" t="str">
        <x:v>CRCW0402499RFKED</x:v>
      </x:c>
      <x:c r="C52" s="17" t="str">
        <x:v>DigiKey</x:v>
      </x:c>
      <x:c r="D52" s="17" t="str">
        <x:v>Not stated</x:v>
      </x:c>
      <x:c r="E52" s="24" t="d">
        <x:v>2026-10-12T11:28:25.473Z</x:v>
      </x:c>
      <x:c r="F52" s="18" t="n">
        <x:v>1</x:v>
      </x:c>
      <x:c r="G52" s="18" t="n">
        <x:v>1</x:v>
      </x:c>
      <x:c r="H52" s="18" t="n">
        <x:v>538356</x:v>
      </x:c>
      <x:c r="I52" s="18" t="n">
        <x:v>25</x:v>
      </x:c>
      <x:c r="J52" s="25" t="n">
        <x:v>0.0236</x:v>
      </x:c>
      <x:c r="K52" s="25" t="n">
        <x:v>0</x:v>
      </x:c>
      <x:c r="L52" s="26" t="str">
        <x:v>Active</x:v>
      </x:c>
      <x:c r="M52" s="26" t="str">
        <x:v>Not independently stated in this supplement</x:v>
      </x:c>
      <x:c r="N52" s="23" t="b">
        <x:v>0</x:v>
      </x:c>
      <x:c r="O52" s="2" t="str">
        <x:v>Unreserved inventory snapshot</x:v>
      </x:c>
      <x:c r="P52" s="2"/>
      <x:c r="Q52" s="2" t="str">
        <x:v>https://www.digikey.com/en/products/detail/vishay-dale/CRCW0402499RFKED/1183088</x:v>
      </x:c>
    </x:row>
    <x:row r="53" ht="44" customHeight="1">
      <x:c r="A53" s="17" t="str">
        <x:v>OF0047</x:v>
      </x:c>
      <x:c r="B53" s="17" t="str">
        <x:v>CRCW04024K70FKED</x:v>
      </x:c>
      <x:c r="C53" s="17" t="str">
        <x:v>DigiKey</x:v>
      </x:c>
      <x:c r="D53" s="17" t="str">
        <x:v>Not stated</x:v>
      </x:c>
      <x:c r="E53" s="24" t="d">
        <x:v>2026-10-12T11:28:25.474Z</x:v>
      </x:c>
      <x:c r="F53" s="18" t="n">
        <x:v>1</x:v>
      </x:c>
      <x:c r="G53" s="18" t="n">
        <x:v>1</x:v>
      </x:c>
      <x:c r="H53" s="18" t="n">
        <x:v>1653620</x:v>
      </x:c>
      <x:c r="I53" s="18" t="n">
        <x:v>100</x:v>
      </x:c>
      <x:c r="J53" s="25" t="n">
        <x:v>0.0157</x:v>
      </x:c>
      <x:c r="K53" s="25" t="n">
        <x:v>0</x:v>
      </x:c>
      <x:c r="L53" s="26" t="str">
        <x:v>Active</x:v>
      </x:c>
      <x:c r="M53" s="26" t="str">
        <x:v>Not independently stated in this supplement</x:v>
      </x:c>
      <x:c r="N53" s="23" t="b">
        <x:v>0</x:v>
      </x:c>
      <x:c r="O53" s="2" t="str">
        <x:v>Unreserved inventory snapshot</x:v>
      </x:c>
      <x:c r="P53" s="2"/>
      <x:c r="Q53" s="2" t="str">
        <x:v>https://www.digikey.com/en/products/detail/vishay-dale/CRCW04024K70FKED/1178083</x:v>
      </x:c>
    </x:row>
    <x:row r="54" ht="44" customHeight="1">
      <x:c r="A54" s="17" t="str">
        <x:v>OF0048</x:v>
      </x:c>
      <x:c r="B54" s="17" t="str">
        <x:v>CRCW0402510RFKED</x:v>
      </x:c>
      <x:c r="C54" s="17" t="str">
        <x:v>DigiKey</x:v>
      </x:c>
      <x:c r="D54" s="17" t="str">
        <x:v>Not stated</x:v>
      </x:c>
      <x:c r="E54" s="24" t="d">
        <x:v>2026-10-12T11:28:25.474Z</x:v>
      </x:c>
      <x:c r="F54" s="18" t="n">
        <x:v>1</x:v>
      </x:c>
      <x:c r="G54" s="18" t="n">
        <x:v>1</x:v>
      </x:c>
      <x:c r="H54" s="18" t="n">
        <x:v>234547</x:v>
      </x:c>
      <x:c r="I54" s="18" t="n">
        <x:v>50</x:v>
      </x:c>
      <x:c r="J54" s="25" t="n">
        <x:v>0.0202</x:v>
      </x:c>
      <x:c r="K54" s="25" t="n">
        <x:v>0</x:v>
      </x:c>
      <x:c r="L54" s="26" t="str">
        <x:v>Active</x:v>
      </x:c>
      <x:c r="M54" s="26" t="str">
        <x:v>Not independently stated in this supplement</x:v>
      </x:c>
      <x:c r="N54" s="23" t="b">
        <x:v>0</x:v>
      </x:c>
      <x:c r="O54" s="2" t="str">
        <x:v>Unreserved inventory snapshot</x:v>
      </x:c>
      <x:c r="P54" s="2"/>
      <x:c r="Q54" s="2" t="str">
        <x:v>https://www.digikey.com/en/products/detail/vishay-dale/CRCW0402510RFKED/1183089</x:v>
      </x:c>
    </x:row>
    <x:row r="55" ht="44" customHeight="1">
      <x:c r="A55" s="17" t="str">
        <x:v>OF0049</x:v>
      </x:c>
      <x:c r="B55" s="17" t="str">
        <x:v>CRCW04025K10FKED</x:v>
      </x:c>
      <x:c r="C55" s="17" t="str">
        <x:v>DigiKey</x:v>
      </x:c>
      <x:c r="D55" s="17" t="str">
        <x:v>Not stated</x:v>
      </x:c>
      <x:c r="E55" s="24" t="d">
        <x:v>2026-10-12T11:28:25.479Z</x:v>
      </x:c>
      <x:c r="F55" s="18" t="n">
        <x:v>1</x:v>
      </x:c>
      <x:c r="G55" s="18" t="n">
        <x:v>1</x:v>
      </x:c>
      <x:c r="H55" s="18" t="n">
        <x:v>134873</x:v>
      </x:c>
      <x:c r="I55" s="18" t="n">
        <x:v>50</x:v>
      </x:c>
      <x:c r="J55" s="25" t="n">
        <x:v>0.0192</x:v>
      </x:c>
      <x:c r="K55" s="25" t="n">
        <x:v>0</x:v>
      </x:c>
      <x:c r="L55" s="26" t="str">
        <x:v>Active</x:v>
      </x:c>
      <x:c r="M55" s="26" t="str">
        <x:v>Not independently stated in this supplement</x:v>
      </x:c>
      <x:c r="N55" s="23" t="b">
        <x:v>0</x:v>
      </x:c>
      <x:c r="O55" s="2" t="str">
        <x:v>Unreserved inventory snapshot</x:v>
      </x:c>
      <x:c r="P55" s="2"/>
      <x:c r="Q55" s="2" t="str">
        <x:v>https://www.digikey.com/en/products/detail/vishay-dale/CRCW04025K10FKED/1178087</x:v>
      </x:c>
    </x:row>
    <x:row r="56" ht="44" customHeight="1">
      <x:c r="A56" s="17" t="str">
        <x:v>OF0050</x:v>
      </x:c>
      <x:c r="B56" s="17" t="str">
        <x:v>CRCW080575R0FKEA</x:v>
      </x:c>
      <x:c r="C56" s="17" t="str">
        <x:v>DigiKey</x:v>
      </x:c>
      <x:c r="D56" s="17" t="str">
        <x:v>Not stated</x:v>
      </x:c>
      <x:c r="E56" s="24" t="d">
        <x:v>2026-10-12T11:28:25.474Z</x:v>
      </x:c>
      <x:c r="F56" s="18" t="n">
        <x:v>1</x:v>
      </x:c>
      <x:c r="G56" s="18" t="n">
        <x:v>1</x:v>
      </x:c>
      <x:c r="H56" s="18" t="n">
        <x:v>72605</x:v>
      </x:c>
      <x:c r="I56" s="18" t="n">
        <x:v>100</x:v>
      </x:c>
      <x:c r="J56" s="25" t="n">
        <x:v>0.0239</x:v>
      </x:c>
      <x:c r="K56" s="25" t="n">
        <x:v>0</x:v>
      </x:c>
      <x:c r="L56" s="26" t="str">
        <x:v>Active</x:v>
      </x:c>
      <x:c r="M56" s="26" t="str">
        <x:v>Not independently stated in this supplement</x:v>
      </x:c>
      <x:c r="N56" s="23" t="b">
        <x:v>0</x:v>
      </x:c>
      <x:c r="O56" s="2" t="str">
        <x:v>Unreserved inventory snapshot</x:v>
      </x:c>
      <x:c r="P56" s="2"/>
      <x:c r="Q56" s="2" t="str">
        <x:v>https://www.digikey.com/en/products/detail/vishay-dale/CRCW080575R0FKEA/1180655</x:v>
      </x:c>
    </x:row>
    <x:row r="57" ht="44" customHeight="1">
      <x:c r="A57" s="17" t="str">
        <x:v>OF0051</x:v>
      </x:c>
      <x:c r="B57" s="17" t="str">
        <x:v>CRCW12063K30FKEAHP</x:v>
      </x:c>
      <x:c r="C57" s="17" t="str">
        <x:v>DigiKey</x:v>
      </x:c>
      <x:c r="D57" s="17" t="str">
        <x:v>Not stated</x:v>
      </x:c>
      <x:c r="E57" s="24" t="d">
        <x:v>2026-10-12T11:28:25.475Z</x:v>
      </x:c>
      <x:c r="F57" s="18" t="n">
        <x:v>1</x:v>
      </x:c>
      <x:c r="G57" s="18" t="n">
        <x:v>1</x:v>
      </x:c>
      <x:c r="H57" s="18" t="n">
        <x:v>42656</x:v>
      </x:c>
      <x:c r="I57" s="18" t="n">
        <x:v>25</x:v>
      </x:c>
      <x:c r="J57" s="25" t="n">
        <x:v>0.1156</x:v>
      </x:c>
      <x:c r="K57" s="25" t="n">
        <x:v>0</x:v>
      </x:c>
      <x:c r="L57" s="26" t="str">
        <x:v>Active</x:v>
      </x:c>
      <x:c r="M57" s="26" t="str">
        <x:v>Not independently stated in this supplement</x:v>
      </x:c>
      <x:c r="N57" s="23" t="b">
        <x:v>0</x:v>
      </x:c>
      <x:c r="O57" s="2" t="str">
        <x:v>Unreserved inventory snapshot</x:v>
      </x:c>
      <x:c r="P57" s="2"/>
      <x:c r="Q57" s="2" t="str">
        <x:v>https://www.digikey.com/en/products/detail/vishay-dale/CRCW12063K30FKEAHP/2227804</x:v>
      </x:c>
    </x:row>
    <x:row r="58" ht="44" customHeight="1">
      <x:c r="A58" s="17" t="str">
        <x:v>OF0052</x:v>
      </x:c>
      <x:c r="B58" s="17" t="str">
        <x:v>DABS2100-13</x:v>
      </x:c>
      <x:c r="C58" s="17" t="str">
        <x:v>DigiKey</x:v>
      </x:c>
      <x:c r="D58" s="17" t="str">
        <x:v>Not stated</x:v>
      </x:c>
      <x:c r="E58" s="24" t="d">
        <x:v>2026-10-12T11:28:25.474Z</x:v>
      </x:c>
      <x:c r="F58" s="18" t="n">
        <x:v>1</x:v>
      </x:c>
      <x:c r="G58" s="18" t="n">
        <x:v>1</x:v>
      </x:c>
      <x:c r="H58" s="18" t="n">
        <x:v>5560</x:v>
      </x:c>
      <x:c r="I58" s="18" t="n">
        <x:v>50</x:v>
      </x:c>
      <x:c r="J58" s="25" t="n">
        <x:v>0.4338</x:v>
      </x:c>
      <x:c r="K58" s="25" t="n">
        <x:v>7</x:v>
      </x:c>
      <x:c r="L58" s="26" t="str">
        <x:v>Active</x:v>
      </x:c>
      <x:c r="M58" s="26" t="str">
        <x:v>Not independently stated in this supplement</x:v>
      </x:c>
      <x:c r="N58" s="23" t="b">
        <x:v>0</x:v>
      </x:c>
      <x:c r="O58" s="2" t="str">
        <x:v>Unreserved inventory snapshot</x:v>
      </x:c>
      <x:c r="P58" s="2"/>
      <x:c r="Q58" s="2" t="str">
        <x:v>https://www.digikey.com/en/products/detail/diodes-incorporated/DABS2100-13/21823604</x:v>
      </x:c>
    </x:row>
    <x:row r="59" ht="44" customHeight="1">
      <x:c r="A59" s="17" t="str">
        <x:v>OF0053</x:v>
      </x:c>
      <x:c r="B59" s="17" t="str">
        <x:v>DLW5BTM102TQ2L</x:v>
      </x:c>
      <x:c r="C59" s="17" t="str">
        <x:v>DigiKey</x:v>
      </x:c>
      <x:c r="D59" s="17" t="str">
        <x:v>Not stated</x:v>
      </x:c>
      <x:c r="E59" s="24" t="d">
        <x:v>2026-10-12T11:28:25.474Z</x:v>
      </x:c>
      <x:c r="F59" s="18" t="n">
        <x:v>1</x:v>
      </x:c>
      <x:c r="G59" s="18" t="n">
        <x:v>1</x:v>
      </x:c>
      <x:c r="H59" s="18" t="n">
        <x:v>9875</x:v>
      </x:c>
      <x:c r="I59" s="18" t="n">
        <x:v>25</x:v>
      </x:c>
      <x:c r="J59" s="25" t="n">
        <x:v>0.7804</x:v>
      </x:c>
      <x:c r="K59" s="25" t="n">
        <x:v>0</x:v>
      </x:c>
      <x:c r="L59" s="26" t="str">
        <x:v>Active</x:v>
      </x:c>
      <x:c r="M59" s="26" t="str">
        <x:v>Not independently stated in this supplement</x:v>
      </x:c>
      <x:c r="N59" s="23" t="b">
        <x:v>0</x:v>
      </x:c>
      <x:c r="O59" s="2" t="str">
        <x:v>Unreserved inventory snapshot</x:v>
      </x:c>
      <x:c r="P59" s="2"/>
      <x:c r="Q59" s="2" t="str">
        <x:v>https://www.digikey.com/en/products/detail/murata-electronics/DLW5BTM102TQ2L/6606032</x:v>
      </x:c>
    </x:row>
    <x:row r="60" ht="44" customHeight="1">
      <x:c r="A60" s="17" t="str">
        <x:v>OF0054</x:v>
      </x:c>
      <x:c r="B60" s="17" t="str">
        <x:v>DMPH3010LK3-13</x:v>
      </x:c>
      <x:c r="C60" s="17" t="str">
        <x:v>DigiKey</x:v>
      </x:c>
      <x:c r="D60" s="17" t="str">
        <x:v>Not stated</x:v>
      </x:c>
      <x:c r="E60" s="24" t="d">
        <x:v>2026-10-12T11:28:25.469Z</x:v>
      </x:c>
      <x:c r="F60" s="18" t="n">
        <x:v>1</x:v>
      </x:c>
      <x:c r="G60" s="18" t="n">
        <x:v>1</x:v>
      </x:c>
      <x:c r="H60" s="18" t="n">
        <x:v>1530</x:v>
      </x:c>
      <x:c r="I60" s="18" t="n">
        <x:v>25</x:v>
      </x:c>
      <x:c r="J60" s="25" t="n">
        <x:v>0.8444</x:v>
      </x:c>
      <x:c r="K60" s="25" t="n">
        <x:v>0</x:v>
      </x:c>
      <x:c r="L60" s="26" t="str">
        <x:v>Active</x:v>
      </x:c>
      <x:c r="M60" s="26" t="str">
        <x:v>Not independently stated in this supplement</x:v>
      </x:c>
      <x:c r="N60" s="23" t="b">
        <x:v>0</x:v>
      </x:c>
      <x:c r="O60" s="2" t="str">
        <x:v>Unreserved inventory snapshot</x:v>
      </x:c>
      <x:c r="P60" s="2"/>
      <x:c r="Q60" s="2" t="str">
        <x:v>https://www.digikey.com/en/products/detail/diodes-incorporated/DMPH3010LK3-13/7352990</x:v>
      </x:c>
    </x:row>
    <x:row r="61" ht="44" customHeight="1">
      <x:c r="A61" s="17" t="str">
        <x:v>OF0055</x:v>
      </x:c>
      <x:c r="B61" s="17" t="str">
        <x:v>E22-900MM22S</x:v>
      </x:c>
      <x:c r="C61" s="17" t="str">
        <x:v>JLCPCB Parts</x:v>
      </x:c>
      <x:c r="D61" s="17" t="str">
        <x:v>C5333985</x:v>
      </x:c>
      <x:c r="E61" s="24" t="d">
        <x:v>2026-10-12T15:00:30.881Z</x:v>
      </x:c>
      <x:c r="F61" s="18" t="n">
        <x:v>2</x:v>
      </x:c>
      <x:c r="G61" s="18" t="n">
        <x:v>1</x:v>
      </x:c>
      <x:c r="H61" s="18" t="n">
        <x:v>419</x:v>
      </x:c>
      <x:c r="I61" s="18" t="n">
        <x:v>10</x:v>
      </x:c>
      <x:c r="J61" s="25" t="n">
        <x:v>5.6207</x:v>
      </x:c>
      <x:c r="K61" s="25" t="n">
        <x:v>0</x:v>
      </x:c>
      <x:c r="L61" s="26" t="str">
        <x:v>Not stated by captured exact product payload</x:v>
      </x:c>
      <x:c r="M61" s="26" t="str">
        <x:v>Not independently stated in this supplement</x:v>
      </x:c>
      <x:c r="N61" s="23" t="b">
        <x:v>1</x:v>
      </x:c>
      <x:c r="O61" s="2" t="str">
        <x:v>JLC PCBA allocation required</x:v>
      </x:c>
      <x:c r="P61" s="2"/>
      <x:c r="Q61" s="2" t="str">
        <x:v>https://jlcpcb.com/partdetail/E22-900MM22S/C5333985</x:v>
      </x:c>
    </x:row>
    <x:row r="62" ht="44" customHeight="1">
      <x:c r="A62" s="17" t="str">
        <x:v>OF0056</x:v>
      </x:c>
      <x:c r="B62" s="17" t="str">
        <x:v>ESP32-S3FN8</x:v>
      </x:c>
      <x:c r="C62" s="17" t="str">
        <x:v>DigiKey</x:v>
      </x:c>
      <x:c r="D62" s="17" t="str">
        <x:v>Not stated</x:v>
      </x:c>
      <x:c r="E62" s="24" t="d">
        <x:v>2026-10-12T11:28:25.470Z</x:v>
      </x:c>
      <x:c r="F62" s="18" t="n">
        <x:v>1</x:v>
      </x:c>
      <x:c r="G62" s="18" t="n">
        <x:v>1</x:v>
      </x:c>
      <x:c r="H62" s="18" t="n">
        <x:v>4387</x:v>
      </x:c>
      <x:c r="I62" s="18" t="n">
        <x:v>25</x:v>
      </x:c>
      <x:c r="J62" s="25" t="n">
        <x:v>3.4076</x:v>
      </x:c>
      <x:c r="K62" s="25" t="n">
        <x:v>0</x:v>
      </x:c>
      <x:c r="L62" s="26" t="str">
        <x:v>Active</x:v>
      </x:c>
      <x:c r="M62" s="26" t="str">
        <x:v>Not independently stated in this supplement</x:v>
      </x:c>
      <x:c r="N62" s="23" t="b">
        <x:v>0</x:v>
      </x:c>
      <x:c r="O62" s="2" t="str">
        <x:v>Unreserved inventory snapshot</x:v>
      </x:c>
      <x:c r="P62" s="2"/>
      <x:c r="Q62" s="2" t="str">
        <x:v>https://www.digikey.com/en/products/detail/espressif-systems/ESP32-S3FN8/15822446</x:v>
      </x:c>
    </x:row>
    <x:row r="63" ht="44" customHeight="1">
      <x:c r="A63" s="17" t="str">
        <x:v>OF0057</x:v>
      </x:c>
      <x:c r="B63" s="17" t="str">
        <x:v>F1206HI4000V032TM</x:v>
      </x:c>
      <x:c r="C63" s="17" t="str">
        <x:v>LCSC</x:v>
      </x:c>
      <x:c r="D63" s="17" t="str">
        <x:v>C246771</x:v>
      </x:c>
      <x:c r="E63" s="24" t="d">
        <x:v>2026-10-12T10:44:17.296Z</x:v>
      </x:c>
      <x:c r="F63" s="18" t="n">
        <x:v>5</x:v>
      </x:c>
      <x:c r="G63" s="18" t="n">
        <x:v>5</x:v>
      </x:c>
      <x:c r="H63" s="18" t="n">
        <x:v>6270</x:v>
      </x:c>
      <x:c r="I63" s="18" t="n">
        <x:v>5</x:v>
      </x:c>
      <x:c r="J63" s="25" t="n">
        <x:v>0.289</x:v>
      </x:c>
      <x:c r="K63" s="25" t="n">
        <x:v>0</x:v>
      </x:c>
      <x:c r="L63" s="26" t="str">
        <x:v>Not stated by captured product payload</x:v>
      </x:c>
      <x:c r="M63" s="26" t="str">
        <x:v>Active</x:v>
      </x:c>
      <x:c r="N63" s="23" t="b">
        <x:v>0</x:v>
      </x:c>
      <x:c r="O63" s="2" t="str">
        <x:v>Unreserved inventory snapshot</x:v>
      </x:c>
      <x:c r="P63" s="2"/>
      <x:c r="Q63" s="2" t="str">
        <x:v>https://www.lcsc.com/product-detail/C246771.html</x:v>
      </x:c>
    </x:row>
    <x:row r="64" ht="44" customHeight="1">
      <x:c r="A64" s="17" t="str">
        <x:v>OF0058</x:v>
      </x:c>
      <x:c r="B64" s="17" t="str">
        <x:v>FSUSB42UMX</x:v>
      </x:c>
      <x:c r="C64" s="17" t="str">
        <x:v>LCSC</x:v>
      </x:c>
      <x:c r="D64" s="17" t="str">
        <x:v>C11145</x:v>
      </x:c>
      <x:c r="E64" s="24" t="d">
        <x:v>2026-10-12T10:44:17.334Z</x:v>
      </x:c>
      <x:c r="F64" s="18" t="n">
        <x:v>1</x:v>
      </x:c>
      <x:c r="G64" s="18" t="n">
        <x:v>1</x:v>
      </x:c>
      <x:c r="H64" s="18" t="n">
        <x:v>20301</x:v>
      </x:c>
      <x:c r="I64" s="18" t="n">
        <x:v>10</x:v>
      </x:c>
      <x:c r="J64" s="25" t="n">
        <x:v>0.3453</x:v>
      </x:c>
      <x:c r="K64" s="25" t="n">
        <x:v>0</x:v>
      </x:c>
      <x:c r="L64" s="26" t="str">
        <x:v>Not stated by captured product payload</x:v>
      </x:c>
      <x:c r="M64" s="26" t="str">
        <x:v>Active</x:v>
      </x:c>
      <x:c r="N64" s="23" t="b">
        <x:v>0</x:v>
      </x:c>
      <x:c r="O64" s="2" t="str">
        <x:v>Unreserved inventory snapshot</x:v>
      </x:c>
      <x:c r="P64" s="2"/>
      <x:c r="Q64" s="2" t="str">
        <x:v>https://www.lcsc.com/product-detail/C11145.html</x:v>
      </x:c>
    </x:row>
    <x:row r="65" ht="44" customHeight="1">
      <x:c r="A65" s="17" t="str">
        <x:v>OF0059</x:v>
      </x:c>
      <x:c r="B65" s="17" t="str">
        <x:v>GRM1555C1H270JA01D</x:v>
      </x:c>
      <x:c r="C65" s="17" t="str">
        <x:v>DigiKey</x:v>
      </x:c>
      <x:c r="D65" s="17" t="str">
        <x:v>Not stated</x:v>
      </x:c>
      <x:c r="E65" s="24" t="d">
        <x:v>2026-10-12T11:28:25.470Z</x:v>
      </x:c>
      <x:c r="F65" s="18" t="n">
        <x:v>1</x:v>
      </x:c>
      <x:c r="G65" s="18" t="n">
        <x:v>1</x:v>
      </x:c>
      <x:c r="H65" s="18" t="n">
        <x:v>4471424</x:v>
      </x:c>
      <x:c r="I65" s="18" t="n">
        <x:v>50</x:v>
      </x:c>
      <x:c r="J65" s="25" t="n">
        <x:v>0.014</x:v>
      </x:c>
      <x:c r="K65" s="25" t="n">
        <x:v>0</x:v>
      </x:c>
      <x:c r="L65" s="26" t="str">
        <x:v>Active</x:v>
      </x:c>
      <x:c r="M65" s="26" t="str">
        <x:v>Not independently stated in this supplement</x:v>
      </x:c>
      <x:c r="N65" s="23" t="b">
        <x:v>0</x:v>
      </x:c>
      <x:c r="O65" s="2" t="str">
        <x:v>Unreserved inventory snapshot</x:v>
      </x:c>
      <x:c r="P65" s="2"/>
      <x:c r="Q65" s="2" t="str">
        <x:v>https://www.digikey.com/en/products/detail/murata-electronics/GRM1555C1H270JA01D/3175188</x:v>
      </x:c>
    </x:row>
    <x:row r="66" ht="44" customHeight="1">
      <x:c r="A66" s="17" t="str">
        <x:v>OF0060</x:v>
      </x:c>
      <x:c r="B66" s="17" t="str">
        <x:v>GRM155R71C104KA88D</x:v>
      </x:c>
      <x:c r="C66" s="17" t="str">
        <x:v>LCSC</x:v>
      </x:c>
      <x:c r="D66" s="17" t="str">
        <x:v>C71629</x:v>
      </x:c>
      <x:c r="E66" s="24" t="d">
        <x:v>2026-10-12T10:44:17.529Z</x:v>
      </x:c>
      <x:c r="F66" s="18" t="n">
        <x:v>100</x:v>
      </x:c>
      <x:c r="G66" s="18" t="n">
        <x:v>100</x:v>
      </x:c>
      <x:c r="H66" s="18" t="n">
        <x:v>957800</x:v>
      </x:c>
      <x:c r="I66" s="18" t="n">
        <x:v>100</x:v>
      </x:c>
      <x:c r="J66" s="25" t="n">
        <x:v>0.0052</x:v>
      </x:c>
      <x:c r="K66" s="25" t="n">
        <x:v>0</x:v>
      </x:c>
      <x:c r="L66" s="26" t="str">
        <x:v>Not stated by captured product payload</x:v>
      </x:c>
      <x:c r="M66" s="26" t="str">
        <x:v>InProduction</x:v>
      </x:c>
      <x:c r="N66" s="23" t="b">
        <x:v>0</x:v>
      </x:c>
      <x:c r="O66" s="2" t="str">
        <x:v>Unreserved inventory snapshot</x:v>
      </x:c>
      <x:c r="P66" s="2"/>
      <x:c r="Q66" s="2" t="str">
        <x:v>https://www.lcsc.com/product-detail/C71629.html</x:v>
      </x:c>
    </x:row>
    <x:row r="67" ht="44" customHeight="1">
      <x:c r="A67" s="17" t="str">
        <x:v>OF0061</x:v>
      </x:c>
      <x:c r="B67" s="17" t="str">
        <x:v>GRM155R71E222KA01D</x:v>
      </x:c>
      <x:c r="C67" s="17" t="str">
        <x:v>DigiKey</x:v>
      </x:c>
      <x:c r="D67" s="17" t="str">
        <x:v>Not stated</x:v>
      </x:c>
      <x:c r="E67" s="24" t="d">
        <x:v>2026-10-12T11:28:25.470Z</x:v>
      </x:c>
      <x:c r="F67" s="18" t="n">
        <x:v>1</x:v>
      </x:c>
      <x:c r="G67" s="18" t="n">
        <x:v>1</x:v>
      </x:c>
      <x:c r="H67" s="18" t="n">
        <x:v>85441</x:v>
      </x:c>
      <x:c r="I67" s="18" t="n">
        <x:v>50</x:v>
      </x:c>
      <x:c r="J67" s="25" t="n">
        <x:v>0.0134</x:v>
      </x:c>
      <x:c r="K67" s="25" t="n">
        <x:v>0</x:v>
      </x:c>
      <x:c r="L67" s="26" t="str">
        <x:v>Active</x:v>
      </x:c>
      <x:c r="M67" s="26" t="str">
        <x:v>Not independently stated in this supplement</x:v>
      </x:c>
      <x:c r="N67" s="23" t="b">
        <x:v>0</x:v>
      </x:c>
      <x:c r="O67" s="2" t="str">
        <x:v>Unreserved inventory snapshot</x:v>
      </x:c>
      <x:c r="P67" s="2"/>
      <x:c r="Q67" s="2" t="str">
        <x:v>https://www.digikey.com/en/products/detail/murata-electronics/GRM155R71E222KA01D/2175226</x:v>
      </x:c>
    </x:row>
    <x:row r="68" ht="44" customHeight="1">
      <x:c r="A68" s="17" t="str">
        <x:v>OF0062</x:v>
      </x:c>
      <x:c r="B68" s="17" t="str">
        <x:v>GRM188R72A104KA35D</x:v>
      </x:c>
      <x:c r="C68" s="17" t="str">
        <x:v>DigiKey</x:v>
      </x:c>
      <x:c r="D68" s="17" t="str">
        <x:v>Exact GRM188R72A104KA35D Cut Tape</x:v>
      </x:c>
      <x:c r="E68" s="24" t="d">
        <x:v>2026-10-12T17:08:59.064Z</x:v>
      </x:c>
      <x:c r="F68" s="18" t="n">
        <x:v>1</x:v>
      </x:c>
      <x:c r="G68" s="18" t="n">
        <x:v>1</x:v>
      </x:c>
      <x:c r="H68" s="18" t="n">
        <x:v>404101</x:v>
      </x:c>
      <x:c r="I68" s="18" t="n">
        <x:v>50</x:v>
      </x:c>
      <x:c r="J68" s="25" t="n">
        <x:v>0.0612</x:v>
      </x:c>
      <x:c r="K68" s="25" t="n">
        <x:v>0</x:v>
      </x:c>
      <x:c r="L68" s="26" t="str">
        <x:v>Manufacturer primary816 InProduction; distributor Active</x:v>
      </x:c>
      <x:c r="M68" s="26" t="str">
        <x:v>Not independently stated in this supplement</x:v>
      </x:c>
      <x:c r="N68" s="23" t="b">
        <x:v>0</x:v>
      </x:c>
      <x:c r="O68" s="2" t="str">
        <x:v>Unreserved inventory snapshot</x:v>
      </x:c>
      <x:c r="P68" s="2"/>
      <x:c r="Q68" s="2" t="str">
        <x:v>https://www.digikey.com/en/products/detail/murata-electronics/GRM188R72A104KA35D/702826</x:v>
      </x:c>
    </x:row>
    <x:row r="69" ht="44" customHeight="1">
      <x:c r="A69" s="17" t="str">
        <x:v>OF0063</x:v>
      </x:c>
      <x:c r="B69" s="17" t="str">
        <x:v>GRM31C5C1H224JE02L</x:v>
      </x:c>
      <x:c r="C69" s="17" t="str">
        <x:v>LCSC</x:v>
      </x:c>
      <x:c r="D69" s="17" t="str">
        <x:v>C464977</x:v>
      </x:c>
      <x:c r="E69" s="24" t="d">
        <x:v>2026-10-12T14:52:12.198Z</x:v>
      </x:c>
      <x:c r="F69" s="18" t="n">
        <x:v>5</x:v>
      </x:c>
      <x:c r="G69" s="18" t="n">
        <x:v>5</x:v>
      </x:c>
      <x:c r="H69" s="18" t="n">
        <x:v>68865</x:v>
      </x:c>
      <x:c r="I69" s="18" t="n">
        <x:v>5</x:v>
      </x:c>
      <x:c r="J69" s="25" t="n">
        <x:v>0.3493</x:v>
      </x:c>
      <x:c r="K69" s="25" t="n">
        <x:v>0</x:v>
      </x:c>
      <x:c r="L69" s="26" t="str">
        <x:v>Active per Murata/DigiKey primary</x:v>
      </x:c>
      <x:c r="M69" s="26" t="str">
        <x:v>Not independently stated in this supplement</x:v>
      </x:c>
      <x:c r="N69" s="23" t="b">
        <x:v>0</x:v>
      </x:c>
      <x:c r="O69" s="2" t="str">
        <x:v>Unreserved inventory snapshot</x:v>
      </x:c>
      <x:c r="P69" s="2"/>
      <x:c r="Q69" s="2" t="str">
        <x:v>https://www.lcsc.com/product-detail/C464977.html</x:v>
      </x:c>
    </x:row>
    <x:row r="70" ht="44" customHeight="1">
      <x:c r="A70" s="17" t="str">
        <x:v>OF0064</x:v>
      </x:c>
      <x:c r="B70" s="17" t="str">
        <x:v>GRM31C5C2A683JA01L</x:v>
      </x:c>
      <x:c r="C70" s="17" t="str">
        <x:v>DigiKey</x:v>
      </x:c>
      <x:c r="D70" s="17" t="str">
        <x:v>Not stated</x:v>
      </x:c>
      <x:c r="E70" s="24" t="d">
        <x:v>2026-10-12T11:28:25.475Z</x:v>
      </x:c>
      <x:c r="F70" s="18" t="n">
        <x:v>1</x:v>
      </x:c>
      <x:c r="G70" s="18" t="n">
        <x:v>1</x:v>
      </x:c>
      <x:c r="H70" s="18" t="n">
        <x:v>22417</x:v>
      </x:c>
      <x:c r="I70" s="18" t="n">
        <x:v>10</x:v>
      </x:c>
      <x:c r="J70" s="25" t="n">
        <x:v>0.309</x:v>
      </x:c>
      <x:c r="K70" s="25" t="n">
        <x:v>0</x:v>
      </x:c>
      <x:c r="L70" s="26" t="str">
        <x:v>Active</x:v>
      </x:c>
      <x:c r="M70" s="26" t="str">
        <x:v>Not independently stated in this supplement</x:v>
      </x:c>
      <x:c r="N70" s="23" t="b">
        <x:v>0</x:v>
      </x:c>
      <x:c r="O70" s="2" t="str">
        <x:v>Unreserved inventory snapshot</x:v>
      </x:c>
      <x:c r="P70" s="2"/>
      <x:c r="Q70" s="2" t="str">
        <x:v>https://www.digikey.com/en/products/detail/murata-electronics/GRM31C5C2A683JA01L/10704119</x:v>
      </x:c>
    </x:row>
    <x:row r="71" ht="44" customHeight="1">
      <x:c r="A71" s="17" t="str">
        <x:v>OF0065</x:v>
      </x:c>
      <x:c r="B71" s="17" t="str">
        <x:v>H2414QR</x:v>
      </x:c>
      <x:c r="C71" s="17" t="str">
        <x:v>LCSC</x:v>
      </x:c>
      <x:c r="D71" s="17" t="str">
        <x:v>C4155001</x:v>
      </x:c>
      <x:c r="E71" s="24" t="d">
        <x:v>2026-10-12T10:44:18.557Z</x:v>
      </x:c>
      <x:c r="F71" s="18" t="n">
        <x:v>1</x:v>
      </x:c>
      <x:c r="G71" s="18" t="n">
        <x:v>1</x:v>
      </x:c>
      <x:c r="H71" s="18" t="n">
        <x:v>606</x:v>
      </x:c>
      <x:c r="I71" s="18" t="n">
        <x:v>10</x:v>
      </x:c>
      <x:c r="J71" s="25" t="n">
        <x:v>0.7315</x:v>
      </x:c>
      <x:c r="K71" s="25" t="n">
        <x:v>0</x:v>
      </x:c>
      <x:c r="L71" s="26" t="str">
        <x:v>Not stated by captured product payload</x:v>
      </x:c>
      <x:c r="M71" s="26" t="str">
        <x:v>Not independently stated in this supplement</x:v>
      </x:c>
      <x:c r="N71" s="23" t="b">
        <x:v>0</x:v>
      </x:c>
      <x:c r="O71" s="2" t="str">
        <x:v>Unreserved inventory snapshot</x:v>
      </x:c>
      <x:c r="P71" s="2"/>
      <x:c r="Q71" s="2" t="str">
        <x:v>https://www.lcsc.com/product-detail/C4155001.html</x:v>
      </x:c>
    </x:row>
    <x:row r="72" ht="44" customHeight="1">
      <x:c r="A72" s="17" t="str">
        <x:v>OF0066</x:v>
      </x:c>
      <x:c r="B72" s="17" t="str">
        <x:v>KGM05ACG1H150FH</x:v>
      </x:c>
      <x:c r="C72" s="17" t="str">
        <x:v>DigiKey</x:v>
      </x:c>
      <x:c r="D72" s="17" t="str">
        <x:v>Not stated</x:v>
      </x:c>
      <x:c r="E72" s="24" t="d">
        <x:v>2026-10-12T11:28:25.467Z</x:v>
      </x:c>
      <x:c r="F72" s="18" t="n">
        <x:v>1</x:v>
      </x:c>
      <x:c r="G72" s="18" t="n">
        <x:v>1</x:v>
      </x:c>
      <x:c r="H72" s="18" t="n">
        <x:v>36414</x:v>
      </x:c>
      <x:c r="I72" s="18" t="n">
        <x:v>50</x:v>
      </x:c>
      <x:c r="J72" s="25" t="n">
        <x:v>0.3206</x:v>
      </x:c>
      <x:c r="K72" s="25" t="n">
        <x:v>0</x:v>
      </x:c>
      <x:c r="L72" s="26" t="str">
        <x:v>Active</x:v>
      </x:c>
      <x:c r="M72" s="26" t="str">
        <x:v>Not independently stated in this supplement</x:v>
      </x:c>
      <x:c r="N72" s="23" t="b">
        <x:v>0</x:v>
      </x:c>
      <x:c r="O72" s="2" t="str">
        <x:v>Unreserved inventory snapshot</x:v>
      </x:c>
      <x:c r="P72" s="2"/>
      <x:c r="Q72" s="2" t="str">
        <x:v>https://www.digikey.com/en/products/detail/kyocera-avx/KGM05ACG1H150FH/1597388</x:v>
      </x:c>
    </x:row>
    <x:row r="73" ht="44" customHeight="1">
      <x:c r="A73" s="17" t="str">
        <x:v>OF0067</x:v>
      </x:c>
      <x:c r="B73" s="17" t="str">
        <x:v>L4CL1206LR050DNR-A</x:v>
      </x:c>
      <x:c r="C73" s="17" t="str">
        <x:v>DigiKey</x:v>
      </x:c>
      <x:c r="D73" s="17" t="str">
        <x:v>Not stated</x:v>
      </x:c>
      <x:c r="E73" s="24" t="d">
        <x:v>2026-10-12T11:28:25.484Z</x:v>
      </x:c>
      <x:c r="F73" s="18" t="n">
        <x:v>1</x:v>
      </x:c>
      <x:c r="G73" s="18" t="n">
        <x:v>1</x:v>
      </x:c>
      <x:c r="H73" s="18" t="n">
        <x:v>4377</x:v>
      </x:c>
      <x:c r="I73" s="18" t="n">
        <x:v>25</x:v>
      </x:c>
      <x:c r="J73" s="25" t="n">
        <x:v>0.8912</x:v>
      </x:c>
      <x:c r="K73" s="25" t="n">
        <x:v>0</x:v>
      </x:c>
      <x:c r="L73" s="26" t="str">
        <x:v>Active</x:v>
      </x:c>
      <x:c r="M73" s="26" t="str">
        <x:v>Not independently stated in this supplement</x:v>
      </x:c>
      <x:c r="N73" s="23" t="b">
        <x:v>0</x:v>
      </x:c>
      <x:c r="O73" s="2" t="str">
        <x:v>Unreserved inventory snapshot</x:v>
      </x:c>
      <x:c r="P73" s="2"/>
      <x:c r="Q73" s="2" t="str">
        <x:v>https://www.digikey.com/en/products/detail/littelfuse-inc/L4CL1206LR050DNR-A/21737223</x:v>
      </x:c>
    </x:row>
    <x:row r="74" ht="44" customHeight="1">
      <x:c r="A74" s="17" t="str">
        <x:v>OF0068</x:v>
      </x:c>
      <x:c r="B74" s="17" t="str">
        <x:v>LQW15AN24NH00D</x:v>
      </x:c>
      <x:c r="C74" s="17" t="str">
        <x:v>DigiKey</x:v>
      </x:c>
      <x:c r="D74" s="17" t="str">
        <x:v>Not stated</x:v>
      </x:c>
      <x:c r="E74" s="24" t="d">
        <x:v>2026-10-12T11:28:25.467Z</x:v>
      </x:c>
      <x:c r="F74" s="18" t="n">
        <x:v>1</x:v>
      </x:c>
      <x:c r="G74" s="18" t="n">
        <x:v>1</x:v>
      </x:c>
      <x:c r="H74" s="18" t="n">
        <x:v>11410</x:v>
      </x:c>
      <x:c r="I74" s="18" t="n">
        <x:v>10</x:v>
      </x:c>
      <x:c r="J74" s="25" t="n">
        <x:v>0.092</x:v>
      </x:c>
      <x:c r="K74" s="25" t="n">
        <x:v>0</x:v>
      </x:c>
      <x:c r="L74" s="26" t="str">
        <x:v>Active</x:v>
      </x:c>
      <x:c r="M74" s="26" t="str">
        <x:v>Not independently stated in this supplement</x:v>
      </x:c>
      <x:c r="N74" s="23" t="b">
        <x:v>0</x:v>
      </x:c>
      <x:c r="O74" s="2" t="str">
        <x:v>Unreserved inventory snapshot</x:v>
      </x:c>
      <x:c r="P74" s="2"/>
      <x:c r="Q74" s="2" t="str">
        <x:v>https://www.digikey.com/en/products/detail/murata-electronics/LQW15AN24NH00D/700017</x:v>
      </x:c>
    </x:row>
    <x:row r="75" ht="44" customHeight="1">
      <x:c r="A75" s="17" t="str">
        <x:v>OF0069</x:v>
      </x:c>
      <x:c r="B75" s="17" t="str">
        <x:v>LTST-C190KGKT</x:v>
      </x:c>
      <x:c r="C75" s="17" t="str">
        <x:v>LCSC</x:v>
      </x:c>
      <x:c r="D75" s="17" t="str">
        <x:v>C125094</x:v>
      </x:c>
      <x:c r="E75" s="24" t="d">
        <x:v>2026-10-12T10:44:18.873Z</x:v>
      </x:c>
      <x:c r="F75" s="18" t="n">
        <x:v>50</x:v>
      </x:c>
      <x:c r="G75" s="18" t="n">
        <x:v>50</x:v>
      </x:c>
      <x:c r="H75" s="18" t="n">
        <x:v>280550</x:v>
      </x:c>
      <x:c r="I75" s="18" t="n">
        <x:v>50</x:v>
      </x:c>
      <x:c r="J75" s="25" t="n">
        <x:v>0.0168</x:v>
      </x:c>
      <x:c r="K75" s="25" t="n">
        <x:v>0</x:v>
      </x:c>
      <x:c r="L75" s="26" t="str">
        <x:v>Not stated by captured product payload</x:v>
      </x:c>
      <x:c r="M75" s="26" t="str">
        <x:v>Not independently stated in this supplement</x:v>
      </x:c>
      <x:c r="N75" s="23" t="b">
        <x:v>0</x:v>
      </x:c>
      <x:c r="O75" s="2" t="str">
        <x:v>Unreserved inventory snapshot</x:v>
      </x:c>
      <x:c r="P75" s="2"/>
      <x:c r="Q75" s="2" t="str">
        <x:v>https://www.lcsc.com/product-detail/C125094.html</x:v>
      </x:c>
    </x:row>
    <x:row r="76" ht="44" customHeight="1">
      <x:c r="A76" s="17" t="str">
        <x:v>OF0070</x:v>
      </x:c>
      <x:c r="B76" s="17" t="str">
        <x:v>LTST-C190KSKT</x:v>
      </x:c>
      <x:c r="C76" s="17" t="str">
        <x:v>LCSC</x:v>
      </x:c>
      <x:c r="D76" s="17" t="str">
        <x:v>C125095</x:v>
      </x:c>
      <x:c r="E76" s="24" t="d">
        <x:v>2026-10-12T10:44:19.044Z</x:v>
      </x:c>
      <x:c r="F76" s="18" t="n">
        <x:v>20</x:v>
      </x:c>
      <x:c r="G76" s="18" t="n">
        <x:v>20</x:v>
      </x:c>
      <x:c r="H76" s="18" t="n">
        <x:v>100880</x:v>
      </x:c>
      <x:c r="I76" s="18" t="n">
        <x:v>20</x:v>
      </x:c>
      <x:c r="J76" s="25" t="n">
        <x:v>0.0235</x:v>
      </x:c>
      <x:c r="K76" s="25" t="n">
        <x:v>0</x:v>
      </x:c>
      <x:c r="L76" s="26" t="str">
        <x:v>Not stated by captured product payload</x:v>
      </x:c>
      <x:c r="M76" s="26" t="str">
        <x:v>Not independently stated in this supplement</x:v>
      </x:c>
      <x:c r="N76" s="23" t="b">
        <x:v>0</x:v>
      </x:c>
      <x:c r="O76" s="2" t="str">
        <x:v>Unreserved inventory snapshot</x:v>
      </x:c>
      <x:c r="P76" s="2"/>
      <x:c r="Q76" s="2" t="str">
        <x:v>https://www.lcsc.com/product-detail/C125095.html</x:v>
      </x:c>
    </x:row>
    <x:row r="77" ht="44" customHeight="1">
      <x:c r="A77" s="17" t="str">
        <x:v>OF0071</x:v>
      </x:c>
      <x:c r="B77" s="17" t="str">
        <x:v>MMSZ5240B-7-F</x:v>
      </x:c>
      <x:c r="C77" s="17" t="str">
        <x:v>DigiKey</x:v>
      </x:c>
      <x:c r="D77" s="17" t="str">
        <x:v>Not stated</x:v>
      </x:c>
      <x:c r="E77" s="24" t="d">
        <x:v>2026-10-12T11:28:25.478Z</x:v>
      </x:c>
      <x:c r="F77" s="18" t="n">
        <x:v>1</x:v>
      </x:c>
      <x:c r="G77" s="18" t="n">
        <x:v>1</x:v>
      </x:c>
      <x:c r="H77" s="18" t="n">
        <x:v>4023</x:v>
      </x:c>
      <x:c r="I77" s="18" t="n">
        <x:v>25</x:v>
      </x:c>
      <x:c r="J77" s="25" t="n">
        <x:v>0.1048</x:v>
      </x:c>
      <x:c r="K77" s="25" t="n">
        <x:v>0</x:v>
      </x:c>
      <x:c r="L77" s="26" t="str">
        <x:v>Active</x:v>
      </x:c>
      <x:c r="M77" s="26" t="str">
        <x:v>Not independently stated in this supplement</x:v>
      </x:c>
      <x:c r="N77" s="23" t="b">
        <x:v>0</x:v>
      </x:c>
      <x:c r="O77" s="2" t="str">
        <x:v>Unreserved inventory snapshot</x:v>
      </x:c>
      <x:c r="P77" s="2"/>
      <x:c r="Q77" s="2" t="str">
        <x:v>https://www.digikey.com/en/products/detail/diodes-incorporated/MMSZ5240B-7-F/814369</x:v>
      </x:c>
    </x:row>
    <x:row r="78" ht="44" customHeight="1">
      <x:c r="A78" s="17" t="str">
        <x:v>OF0072</x:v>
      </x:c>
      <x:c r="B78" s="17" t="str">
        <x:v>MP2329GG-P</x:v>
      </x:c>
      <x:c r="C78" s="17" t="str">
        <x:v>MPS direct</x:v>
      </x:c>
      <x:c r="D78" s="17" t="str">
        <x:v>MP2329GG-P or primary same-die GG-Z reel alias</x:v>
      </x:c>
      <x:c r="E78" s="24" t="d">
        <x:v>2026-10-12T00:00:00.000Z</x:v>
      </x:c>
      <x:c r="F78" s="18" t="n">
        <x:v>1</x:v>
      </x:c>
      <x:c r="G78" s="18" t="n">
        <x:v>1</x:v>
      </x:c>
      <x:c r="H78" s="18" t="n">
        <x:v>11638</x:v>
      </x:c>
      <x:c r="I78" s="18" t="n">
        <x:v>10</x:v>
      </x:c>
      <x:c r="J78" s="25" t="n">
        <x:v>1.41</x:v>
      </x:c>
      <x:c r="K78" s="25" t="n">
        <x:v>0</x:v>
      </x:c>
      <x:c r="L78" s="26" t="str">
        <x:v>Orderable manufacturer development inventory; no explicit lifecycle label from current order table</x:v>
      </x:c>
      <x:c r="M78" s="26" t="str">
        <x:v>Active</x:v>
      </x:c>
      <x:c r="N78" s="23" t="b">
        <x:v>0</x:v>
      </x:c>
      <x:c r="O78" s="2" t="str">
        <x:v>Scheduled MPS availability / supplier acceptance</x:v>
      </x:c>
      <x:c r="P78" s="2"/>
      <x:c r="Q78" s="2" t="str">
        <x:v>https://www.monolithicpower.com/en/products/power-management/mp2329.html</x:v>
      </x:c>
    </x:row>
    <x:row r="79" ht="44" customHeight="1">
      <x:c r="A79" s="17" t="str">
        <x:v>OF0073</x:v>
      </x:c>
      <x:c r="B79" s="17" t="str">
        <x:v>MP4583GQVE-Z</x:v>
      </x:c>
      <x:c r="C79" s="17" t="str">
        <x:v>MPS direct</x:v>
      </x:c>
      <x:c r="D79" s="17" t="str">
        <x:v>MP4583GQVE-Z</x:v>
      </x:c>
      <x:c r="E79" s="24" t="d">
        <x:v>2026-10-12T11:24:35.631Z</x:v>
      </x:c>
      <x:c r="F79" s="18" t="n">
        <x:v>1</x:v>
      </x:c>
      <x:c r="G79" s="18" t="n">
        <x:v>1</x:v>
      </x:c>
      <x:c r="H79" s="18" t="n">
        <x:v>100</x:v>
      </x:c>
      <x:c r="I79" s="18" t="n">
        <x:v>10</x:v>
      </x:c>
      <x:c r="J79" s="25" t="n">
        <x:v>2.09</x:v>
      </x:c>
      <x:c r="K79" s="25" t="n">
        <x:v>0</x:v>
      </x:c>
      <x:c r="L79" s="26" t="str">
        <x:v>Not stated by current manufacturer order table</x:v>
      </x:c>
      <x:c r="M79" s="26" t="str">
        <x:v>Active</x:v>
      </x:c>
      <x:c r="N79" s="23" t="b">
        <x:v>0</x:v>
      </x:c>
      <x:c r="O79" s="2" t="str">
        <x:v>MPS company inventory/limit must cover lot</x:v>
      </x:c>
      <x:c r="P79" s="2"/>
      <x:c r="Q79" s="2" t="str">
        <x:v>https://www.monolithicpower.com/en/products/mp4583.html</x:v>
      </x:c>
    </x:row>
    <x:row r="80" ht="44" customHeight="1">
      <x:c r="A80" s="17" t="str">
        <x:v>OF0074</x:v>
      </x:c>
      <x:c r="B80" s="17" t="str">
        <x:v>NCA9536DQJ</x:v>
      </x:c>
      <x:c r="C80" s="17" t="str">
        <x:v>DigiKey</x:v>
      </x:c>
      <x:c r="D80" s="17" t="str">
        <x:v>1727-NCA9536DQJCT-ND</x:v>
      </x:c>
      <x:c r="E80" s="24" t="d">
        <x:v>2026-10-12T17:35:50.724Z</x:v>
      </x:c>
      <x:c r="F80" s="18" t="n">
        <x:v>1</x:v>
      </x:c>
      <x:c r="G80" s="18" t="n">
        <x:v>1</x:v>
      </x:c>
      <x:c r="H80" s="18" t="n">
        <x:v>648</x:v>
      </x:c>
      <x:c r="I80" s="18" t="n">
        <x:v>25</x:v>
      </x:c>
      <x:c r="J80" s="25" t="n">
        <x:v>0.5168</x:v>
      </x:c>
      <x:c r="K80" s="25" t="n">
        <x:v>0</x:v>
      </x:c>
      <x:c r="L80" s="26" t="str">
        <x:v>Active</x:v>
      </x:c>
      <x:c r="M80" s="26" t="str">
        <x:v>Not independently stated in this supplement</x:v>
      </x:c>
      <x:c r="N80" s="23" t="b">
        <x:v>0</x:v>
      </x:c>
      <x:c r="O80" s="2" t="str">
        <x:v>Unreserved inventory snapshot</x:v>
      </x:c>
      <x:c r="P80" s="2"/>
      <x:c r="Q80" s="2" t="str">
        <x:v>https://www.digikey.com/en/products/detail/nexperia-usa-inc/NCA9536DQJ/29535394</x:v>
      </x:c>
    </x:row>
    <x:row r="81" ht="44" customHeight="1">
      <x:c r="A81" s="17" t="str">
        <x:v>OF0075</x:v>
      </x:c>
      <x:c r="B81" s="17" t="str">
        <x:v>NX3008NBK,215</x:v>
      </x:c>
      <x:c r="C81" s="17" t="str">
        <x:v>DigiKey</x:v>
      </x:c>
      <x:c r="D81" s="17" t="str">
        <x:v>Not stated</x:v>
      </x:c>
      <x:c r="E81" s="24" t="d">
        <x:v>2026-10-12T11:28:25.479Z</x:v>
      </x:c>
      <x:c r="F81" s="18" t="n">
        <x:v>1</x:v>
      </x:c>
      <x:c r="G81" s="18" t="n">
        <x:v>1</x:v>
      </x:c>
      <x:c r="H81" s="18" t="n">
        <x:v>3387</x:v>
      </x:c>
      <x:c r="I81" s="18" t="n">
        <x:v>50</x:v>
      </x:c>
      <x:c r="J81" s="25" t="n">
        <x:v>0.0916</x:v>
      </x:c>
      <x:c r="K81" s="25" t="n">
        <x:v>0</x:v>
      </x:c>
      <x:c r="L81" s="26" t="str">
        <x:v>Active</x:v>
      </x:c>
      <x:c r="M81" s="26" t="str">
        <x:v>Not independently stated in this supplement</x:v>
      </x:c>
      <x:c r="N81" s="23" t="b">
        <x:v>0</x:v>
      </x:c>
      <x:c r="O81" s="2" t="str">
        <x:v>Unreserved inventory snapshot</x:v>
      </x:c>
      <x:c r="P81" s="2"/>
      <x:c r="Q81" s="2" t="str">
        <x:v>https://www.digikey.com/en/products/detail/nexperia-usa-inc/NX3008NBK-215/2779967</x:v>
      </x:c>
    </x:row>
    <x:row r="82" ht="44" customHeight="1">
      <x:c r="A82" s="17" t="str">
        <x:v>OF0076</x:v>
      </x:c>
      <x:c r="B82" s="17" t="str">
        <x:v>PSMN015-100YLX</x:v>
      </x:c>
      <x:c r="C82" s="17" t="str">
        <x:v>DigiKey</x:v>
      </x:c>
      <x:c r="D82" s="17" t="str">
        <x:v>Not stated</x:v>
      </x:c>
      <x:c r="E82" s="24" t="d">
        <x:v>2026-10-12T11:28:25.468Z</x:v>
      </x:c>
      <x:c r="F82" s="18" t="n">
        <x:v>1</x:v>
      </x:c>
      <x:c r="G82" s="18" t="n">
        <x:v>1</x:v>
      </x:c>
      <x:c r="H82" s="18" t="n">
        <x:v>825</x:v>
      </x:c>
      <x:c r="I82" s="18" t="n">
        <x:v>10</x:v>
      </x:c>
      <x:c r="J82" s="25" t="n">
        <x:v>1.237</x:v>
      </x:c>
      <x:c r="K82" s="25" t="n">
        <x:v>0</x:v>
      </x:c>
      <x:c r="L82" s="26" t="str">
        <x:v>Active</x:v>
      </x:c>
      <x:c r="M82" s="26" t="str">
        <x:v>Not independently stated in this supplement</x:v>
      </x:c>
      <x:c r="N82" s="23" t="b">
        <x:v>0</x:v>
      </x:c>
      <x:c r="O82" s="2" t="str">
        <x:v>Unreserved inventory snapshot</x:v>
      </x:c>
      <x:c r="P82" s="2"/>
      <x:c r="Q82" s="2" t="str">
        <x:v>https://www.digikey.com/en/products/detail/nexperia-usa-inc/PSMN015-100YLX/5981419</x:v>
      </x:c>
    </x:row>
    <x:row r="83" ht="44" customHeight="1">
      <x:c r="A83" s="17" t="str">
        <x:v>OF0077</x:v>
      </x:c>
      <x:c r="B83" s="17" t="str">
        <x:v>RC0402FR-07130KL</x:v>
      </x:c>
      <x:c r="C83" s="17" t="str">
        <x:v>LCSC</x:v>
      </x:c>
      <x:c r="D83" s="17" t="str">
        <x:v>C93946</x:v>
      </x:c>
      <x:c r="E83" s="24" t="d">
        <x:v>2026-10-12T10:44:19.044Z</x:v>
      </x:c>
      <x:c r="F83" s="18" t="n">
        <x:v>100</x:v>
      </x:c>
      <x:c r="G83" s="18" t="n">
        <x:v>100</x:v>
      </x:c>
      <x:c r="H83" s="18" t="n">
        <x:v>902900</x:v>
      </x:c>
      <x:c r="I83" s="18" t="n">
        <x:v>100</x:v>
      </x:c>
      <x:c r="J83" s="25" t="n">
        <x:v>0.0032</x:v>
      </x:c>
      <x:c r="K83" s="25" t="n">
        <x:v>0</x:v>
      </x:c>
      <x:c r="L83" s="26" t="str">
        <x:v>Not stated by captured product payload</x:v>
      </x:c>
      <x:c r="M83" s="26" t="str">
        <x:v>Not independently stated in this supplement</x:v>
      </x:c>
      <x:c r="N83" s="23" t="b">
        <x:v>0</x:v>
      </x:c>
      <x:c r="O83" s="2" t="str">
        <x:v>Unreserved inventory snapshot</x:v>
      </x:c>
      <x:c r="P83" s="2"/>
      <x:c r="Q83" s="2" t="str">
        <x:v>https://www.lcsc.com/product-detail/C93946.html</x:v>
      </x:c>
    </x:row>
    <x:row r="84" ht="44" customHeight="1">
      <x:c r="A84" s="17" t="str">
        <x:v>OF0078</x:v>
      </x:c>
      <x:c r="B84" s="17" t="str">
        <x:v>RC0402FR-071K8L</x:v>
      </x:c>
      <x:c r="C84" s="17" t="str">
        <x:v>LCSC</x:v>
      </x:c>
      <x:c r="D84" s="17" t="str">
        <x:v>C163481</x:v>
      </x:c>
      <x:c r="E84" s="24" t="d">
        <x:v>2026-10-12T10:44:19.317Z</x:v>
      </x:c>
      <x:c r="F84" s="18" t="n">
        <x:v>100</x:v>
      </x:c>
      <x:c r="G84" s="18" t="n">
        <x:v>100</x:v>
      </x:c>
      <x:c r="H84" s="18" t="n">
        <x:v>128100</x:v>
      </x:c>
      <x:c r="I84" s="18" t="n">
        <x:v>100</x:v>
      </x:c>
      <x:c r="J84" s="25" t="n">
        <x:v>0.0034</x:v>
      </x:c>
      <x:c r="K84" s="25" t="n">
        <x:v>0</x:v>
      </x:c>
      <x:c r="L84" s="26" t="str">
        <x:v>Not stated by captured product payload</x:v>
      </x:c>
      <x:c r="M84" s="26" t="str">
        <x:v>Not independently stated in this supplement</x:v>
      </x:c>
      <x:c r="N84" s="23" t="b">
        <x:v>0</x:v>
      </x:c>
      <x:c r="O84" s="2" t="str">
        <x:v>Unreserved inventory snapshot</x:v>
      </x:c>
      <x:c r="P84" s="2"/>
      <x:c r="Q84" s="2" t="str">
        <x:v>https://www.lcsc.com/product-detail/C163481.html</x:v>
      </x:c>
    </x:row>
    <x:row r="85" ht="44" customHeight="1">
      <x:c r="A85" s="17" t="str">
        <x:v>OF0079</x:v>
      </x:c>
      <x:c r="B85" s="17" t="str">
        <x:v>RC0402FR-07240RL</x:v>
      </x:c>
      <x:c r="C85" s="17" t="str">
        <x:v>DigiKey</x:v>
      </x:c>
      <x:c r="D85" s="17" t="str">
        <x:v>Not stated</x:v>
      </x:c>
      <x:c r="E85" s="24" t="d">
        <x:v>2026-10-12T11:28:25.479Z</x:v>
      </x:c>
      <x:c r="F85" s="18" t="n">
        <x:v>1</x:v>
      </x:c>
      <x:c r="G85" s="18" t="n">
        <x:v>1</x:v>
      </x:c>
      <x:c r="H85" s="18" t="n">
        <x:v>880015</x:v>
      </x:c>
      <x:c r="I85" s="18" t="n">
        <x:v>25</x:v>
      </x:c>
      <x:c r="J85" s="25" t="n">
        <x:v>0.0152</x:v>
      </x:c>
      <x:c r="K85" s="25" t="n">
        <x:v>0</x:v>
      </x:c>
      <x:c r="L85" s="26" t="str">
        <x:v>Active</x:v>
      </x:c>
      <x:c r="M85" s="26" t="str">
        <x:v>Not independently stated in this supplement</x:v>
      </x:c>
      <x:c r="N85" s="23" t="b">
        <x:v>0</x:v>
      </x:c>
      <x:c r="O85" s="2" t="str">
        <x:v>Unreserved inventory snapshot</x:v>
      </x:c>
      <x:c r="P85" s="2"/>
      <x:c r="Q85" s="2" t="str">
        <x:v>https://www.digikey.com/en/products/detail/yageo/RC0402FR-07240RL/2827564</x:v>
      </x:c>
    </x:row>
    <x:row r="86" ht="44" customHeight="1">
      <x:c r="A86" s="17" t="str">
        <x:v>OF0080</x:v>
      </x:c>
      <x:c r="B86" s="17" t="str">
        <x:v>RC0402FR-073K6L</x:v>
      </x:c>
      <x:c r="C86" s="17" t="str">
        <x:v>LCSC</x:v>
      </x:c>
      <x:c r="D86" s="17" t="str">
        <x:v>C137990</x:v>
      </x:c>
      <x:c r="E86" s="24" t="d">
        <x:v>2026-10-12T10:44:19.663Z</x:v>
      </x:c>
      <x:c r="F86" s="18" t="n">
        <x:v>100</x:v>
      </x:c>
      <x:c r="G86" s="18" t="n">
        <x:v>100</x:v>
      </x:c>
      <x:c r="H86" s="18" t="n">
        <x:v>556600</x:v>
      </x:c>
      <x:c r="I86" s="18" t="n">
        <x:v>100</x:v>
      </x:c>
      <x:c r="J86" s="25" t="n">
        <x:v>0.002</x:v>
      </x:c>
      <x:c r="K86" s="25" t="n">
        <x:v>0</x:v>
      </x:c>
      <x:c r="L86" s="26" t="str">
        <x:v>Not stated by captured product payload</x:v>
      </x:c>
      <x:c r="M86" s="26" t="str">
        <x:v>Not independently stated in this supplement</x:v>
      </x:c>
      <x:c r="N86" s="23" t="b">
        <x:v>0</x:v>
      </x:c>
      <x:c r="O86" s="2" t="str">
        <x:v>Unreserved inventory snapshot</x:v>
      </x:c>
      <x:c r="P86" s="2"/>
      <x:c r="Q86" s="2" t="str">
        <x:v>https://www.lcsc.com/product-detail/C137990.html</x:v>
      </x:c>
    </x:row>
    <x:row r="87" ht="44" customHeight="1">
      <x:c r="A87" s="17" t="str">
        <x:v>OF0081</x:v>
      </x:c>
      <x:c r="B87" s="17" t="str">
        <x:v>RC0603FR-0710KL</x:v>
      </x:c>
      <x:c r="C87" s="17" t="str">
        <x:v>LCSC</x:v>
      </x:c>
      <x:c r="D87" s="17" t="str">
        <x:v>C98220</x:v>
      </x:c>
      <x:c r="E87" s="24" t="d">
        <x:v>2026-10-12T10:44:19.615Z</x:v>
      </x:c>
      <x:c r="F87" s="18" t="n">
        <x:v>100</x:v>
      </x:c>
      <x:c r="G87" s="18" t="n">
        <x:v>100</x:v>
      </x:c>
      <x:c r="H87" s="18" t="n">
        <x:v>4714200</x:v>
      </x:c>
      <x:c r="I87" s="18" t="n">
        <x:v>100</x:v>
      </x:c>
      <x:c r="J87" s="25" t="n">
        <x:v>0.0034</x:v>
      </x:c>
      <x:c r="K87" s="25" t="n">
        <x:v>0</x:v>
      </x:c>
      <x:c r="L87" s="26" t="str">
        <x:v>Not stated by captured product payload</x:v>
      </x:c>
      <x:c r="M87" s="26" t="str">
        <x:v>Not independently stated in this supplement</x:v>
      </x:c>
      <x:c r="N87" s="23" t="b">
        <x:v>0</x:v>
      </x:c>
      <x:c r="O87" s="2" t="str">
        <x:v>Unreserved inventory snapshot</x:v>
      </x:c>
      <x:c r="P87" s="2"/>
      <x:c r="Q87" s="2" t="str">
        <x:v>https://www.lcsc.com/product-detail/C98220.html</x:v>
      </x:c>
    </x:row>
    <x:row r="88" ht="44" customHeight="1">
      <x:c r="A88" s="17" t="str">
        <x:v>OF0082</x:v>
      </x:c>
      <x:c r="B88" s="17" t="str">
        <x:v>RC0603FR-0710RL</x:v>
      </x:c>
      <x:c r="C88" s="17" t="str">
        <x:v>LCSC</x:v>
      </x:c>
      <x:c r="D88" s="17" t="str">
        <x:v>C109318</x:v>
      </x:c>
      <x:c r="E88" s="24" t="d">
        <x:v>2026-10-12T10:44:19.860Z</x:v>
      </x:c>
      <x:c r="F88" s="18" t="n">
        <x:v>100</x:v>
      </x:c>
      <x:c r="G88" s="18" t="n">
        <x:v>100</x:v>
      </x:c>
      <x:c r="H88" s="18" t="n">
        <x:v>5557100</x:v>
      </x:c>
      <x:c r="I88" s="18" t="n">
        <x:v>100</x:v>
      </x:c>
      <x:c r="J88" s="25" t="n">
        <x:v>0.0065</x:v>
      </x:c>
      <x:c r="K88" s="25" t="n">
        <x:v>0</x:v>
      </x:c>
      <x:c r="L88" s="26" t="str">
        <x:v>Not stated by captured product payload</x:v>
      </x:c>
      <x:c r="M88" s="26" t="str">
        <x:v>Not independently stated in this supplement</x:v>
      </x:c>
      <x:c r="N88" s="23" t="b">
        <x:v>0</x:v>
      </x:c>
      <x:c r="O88" s="2" t="str">
        <x:v>Unreserved inventory snapshot</x:v>
      </x:c>
      <x:c r="P88" s="2"/>
      <x:c r="Q88" s="2" t="str">
        <x:v>https://www.lcsc.com/product-detail/C109318.html</x:v>
      </x:c>
    </x:row>
    <x:row r="89" ht="44" customHeight="1">
      <x:c r="A89" s="17" t="str">
        <x:v>OF0083</x:v>
      </x:c>
      <x:c r="B89" s="17" t="str">
        <x:v>RC0603FR-0716KL</x:v>
      </x:c>
      <x:c r="C89" s="17" t="str">
        <x:v>LCSC</x:v>
      </x:c>
      <x:c r="D89" s="17" t="str">
        <x:v>C137788</x:v>
      </x:c>
      <x:c r="E89" s="24" t="d">
        <x:v>2026-10-12T10:44:20.148Z</x:v>
      </x:c>
      <x:c r="F89" s="18" t="n">
        <x:v>100</x:v>
      </x:c>
      <x:c r="G89" s="18" t="n">
        <x:v>100</x:v>
      </x:c>
      <x:c r="H89" s="18" t="n">
        <x:v>311100</x:v>
      </x:c>
      <x:c r="I89" s="18" t="n">
        <x:v>100</x:v>
      </x:c>
      <x:c r="J89" s="25" t="n">
        <x:v>0.005</x:v>
      </x:c>
      <x:c r="K89" s="25" t="n">
        <x:v>0</x:v>
      </x:c>
      <x:c r="L89" s="26" t="str">
        <x:v>Not stated by captured product payload</x:v>
      </x:c>
      <x:c r="M89" s="26" t="str">
        <x:v>Not independently stated in this supplement</x:v>
      </x:c>
      <x:c r="N89" s="23" t="b">
        <x:v>0</x:v>
      </x:c>
      <x:c r="O89" s="2" t="str">
        <x:v>Unreserved inventory snapshot</x:v>
      </x:c>
      <x:c r="P89" s="2"/>
      <x:c r="Q89" s="2" t="str">
        <x:v>https://www.lcsc.com/product-detail/C137788.html</x:v>
      </x:c>
    </x:row>
    <x:row r="90" ht="44" customHeight="1">
      <x:c r="A90" s="17" t="str">
        <x:v>OF0084</x:v>
      </x:c>
      <x:c r="B90" s="17" t="str">
        <x:v>RC0603FR-0718K2L</x:v>
      </x:c>
      <x:c r="C90" s="17" t="str">
        <x:v>DigiKey</x:v>
      </x:c>
      <x:c r="D90" s="17" t="str">
        <x:v>Not stated</x:v>
      </x:c>
      <x:c r="E90" s="24" t="d">
        <x:v>2026-10-12T11:28:25.466Z</x:v>
      </x:c>
      <x:c r="F90" s="18" t="n">
        <x:v>1</x:v>
      </x:c>
      <x:c r="G90" s="18" t="n">
        <x:v>1</x:v>
      </x:c>
      <x:c r="H90" s="18" t="n">
        <x:v>88477</x:v>
      </x:c>
      <x:c r="I90" s="18" t="n">
        <x:v>25</x:v>
      </x:c>
      <x:c r="J90" s="25" t="n">
        <x:v>0.0188</x:v>
      </x:c>
      <x:c r="K90" s="25" t="n">
        <x:v>0</x:v>
      </x:c>
      <x:c r="L90" s="26" t="str">
        <x:v>Active</x:v>
      </x:c>
      <x:c r="M90" s="26" t="str">
        <x:v>Not independently stated in this supplement</x:v>
      </x:c>
      <x:c r="N90" s="23" t="b">
        <x:v>0</x:v>
      </x:c>
      <x:c r="O90" s="2" t="str">
        <x:v>Unreserved inventory snapshot</x:v>
      </x:c>
      <x:c r="P90" s="2"/>
      <x:c r="Q90" s="2" t="str">
        <x:v>https://www.digikey.com/en/products/detail/yageo/RC0603FR-0718K2L/729938</x:v>
      </x:c>
    </x:row>
    <x:row r="91" ht="44" customHeight="1">
      <x:c r="A91" s="17" t="str">
        <x:v>OF0085</x:v>
      </x:c>
      <x:c r="B91" s="17" t="str">
        <x:v>RC0603FR-071KL</x:v>
      </x:c>
      <x:c r="C91" s="17" t="str">
        <x:v>LCSC</x:v>
      </x:c>
      <x:c r="D91" s="17" t="str">
        <x:v>C22548</x:v>
      </x:c>
      <x:c r="E91" s="24" t="d">
        <x:v>2026-10-12T10:44:20.208Z</x:v>
      </x:c>
      <x:c r="F91" s="18" t="n">
        <x:v>100</x:v>
      </x:c>
      <x:c r="G91" s="18" t="n">
        <x:v>100</x:v>
      </x:c>
      <x:c r="H91" s="18" t="n">
        <x:v>9834600</x:v>
      </x:c>
      <x:c r="I91" s="18" t="n">
        <x:v>100</x:v>
      </x:c>
      <x:c r="J91" s="25" t="n">
        <x:v>0.0037</x:v>
      </x:c>
      <x:c r="K91" s="25" t="n">
        <x:v>0</x:v>
      </x:c>
      <x:c r="L91" s="26" t="str">
        <x:v>Not stated by captured product payload</x:v>
      </x:c>
      <x:c r="M91" s="26" t="str">
        <x:v>Not independently stated in this supplement</x:v>
      </x:c>
      <x:c r="N91" s="23" t="b">
        <x:v>0</x:v>
      </x:c>
      <x:c r="O91" s="2" t="str">
        <x:v>Unreserved inventory snapshot</x:v>
      </x:c>
      <x:c r="P91" s="2"/>
      <x:c r="Q91" s="2" t="str">
        <x:v>https://www.lcsc.com/product-detail/C22548.html</x:v>
      </x:c>
    </x:row>
    <x:row r="92" ht="44" customHeight="1">
      <x:c r="A92" s="17" t="str">
        <x:v>OF0086</x:v>
      </x:c>
      <x:c r="B92" s="17" t="str">
        <x:v>RC1206FR-071ML</x:v>
      </x:c>
      <x:c r="C92" s="17" t="str">
        <x:v>LCSC</x:v>
      </x:c>
      <x:c r="D92" s="17" t="str">
        <x:v>C108083</x:v>
      </x:c>
      <x:c r="E92" s="24" t="d">
        <x:v>2026-10-12T10:44:20.417Z</x:v>
      </x:c>
      <x:c r="F92" s="18" t="n">
        <x:v>50</x:v>
      </x:c>
      <x:c r="G92" s="18" t="n">
        <x:v>50</x:v>
      </x:c>
      <x:c r="H92" s="18" t="n">
        <x:v>645150</x:v>
      </x:c>
      <x:c r="I92" s="18" t="n">
        <x:v>50</x:v>
      </x:c>
      <x:c r="J92" s="25" t="n">
        <x:v>0.0122</x:v>
      </x:c>
      <x:c r="K92" s="25" t="n">
        <x:v>0</x:v>
      </x:c>
      <x:c r="L92" s="26" t="str">
        <x:v>Not stated by captured product payload</x:v>
      </x:c>
      <x:c r="M92" s="26" t="str">
        <x:v>Not independently stated in this supplement</x:v>
      </x:c>
      <x:c r="N92" s="23" t="b">
        <x:v>0</x:v>
      </x:c>
      <x:c r="O92" s="2" t="str">
        <x:v>Unreserved inventory snapshot</x:v>
      </x:c>
      <x:c r="P92" s="2"/>
      <x:c r="Q92" s="2" t="str">
        <x:v>https://www.lcsc.com/product-detail/C108083.html</x:v>
      </x:c>
    </x:row>
    <x:row r="93" ht="44" customHeight="1">
      <x:c r="A93" s="17" t="str">
        <x:v>OF0087</x:v>
      </x:c>
      <x:c r="B93" s="17" t="str">
        <x:v>RG1608N-222-W-T1</x:v>
      </x:c>
      <x:c r="C93" s="17" t="str">
        <x:v>DigiKey</x:v>
      </x:c>
      <x:c r="D93" s="17" t="str">
        <x:v>Not stated</x:v>
      </x:c>
      <x:c r="E93" s="24" t="d">
        <x:v>2026-10-12T11:28:25.466Z</x:v>
      </x:c>
      <x:c r="F93" s="18" t="n">
        <x:v>1</x:v>
      </x:c>
      <x:c r="G93" s="18" t="n">
        <x:v>1</x:v>
      </x:c>
      <x:c r="H93" s="18" t="n">
        <x:v>87579</x:v>
      </x:c>
      <x:c r="I93" s="18" t="n">
        <x:v>50</x:v>
      </x:c>
      <x:c r="J93" s="25" t="n">
        <x:v>0.463</x:v>
      </x:c>
      <x:c r="K93" s="25" t="n">
        <x:v>0</x:v>
      </x:c>
      <x:c r="L93" s="26" t="str">
        <x:v>Active</x:v>
      </x:c>
      <x:c r="M93" s="26" t="str">
        <x:v>Not independently stated in this supplement</x:v>
      </x:c>
      <x:c r="N93" s="23" t="b">
        <x:v>0</x:v>
      </x:c>
      <x:c r="O93" s="2" t="str">
        <x:v>Unreserved inventory snapshot</x:v>
      </x:c>
      <x:c r="P93" s="2"/>
      <x:c r="Q93" s="2" t="str">
        <x:v>https://www.digikey.com/en/products/detail/susumu/RG1608N-222-W-T1/600605</x:v>
      </x:c>
    </x:row>
    <x:row r="94" ht="44" customHeight="1">
      <x:c r="A94" s="17" t="str">
        <x:v>OF0088</x:v>
      </x:c>
      <x:c r="B94" s="17" t="str">
        <x:v>RG1608N-392-W-T1</x:v>
      </x:c>
      <x:c r="C94" s="17" t="str">
        <x:v>DigiKey</x:v>
      </x:c>
      <x:c r="D94" s="17" t="str">
        <x:v>Not stated</x:v>
      </x:c>
      <x:c r="E94" s="24" t="d">
        <x:v>2026-10-12T11:28:25.466Z</x:v>
      </x:c>
      <x:c r="F94" s="18" t="n">
        <x:v>1</x:v>
      </x:c>
      <x:c r="G94" s="18" t="n">
        <x:v>1</x:v>
      </x:c>
      <x:c r="H94" s="18" t="n">
        <x:v>9903</x:v>
      </x:c>
      <x:c r="I94" s="18" t="n">
        <x:v>10</x:v>
      </x:c>
      <x:c r="J94" s="25" t="n">
        <x:v>0.529</x:v>
      </x:c>
      <x:c r="K94" s="25" t="n">
        <x:v>0</x:v>
      </x:c>
      <x:c r="L94" s="26" t="str">
        <x:v>Active</x:v>
      </x:c>
      <x:c r="M94" s="26" t="str">
        <x:v>Not independently stated in this supplement</x:v>
      </x:c>
      <x:c r="N94" s="23" t="b">
        <x:v>0</x:v>
      </x:c>
      <x:c r="O94" s="2" t="str">
        <x:v>Unreserved inventory snapshot</x:v>
      </x:c>
      <x:c r="P94" s="2"/>
      <x:c r="Q94" s="2" t="str">
        <x:v>https://www.digikey.com/en/products/detail/susumu/RG1608N-392-W-T1/600611</x:v>
      </x:c>
    </x:row>
    <x:row r="95" ht="44" customHeight="1">
      <x:c r="A95" s="17" t="str">
        <x:v>OF0089</x:v>
      </x:c>
      <x:c r="B95" s="17" t="str">
        <x:v>RG1608N-682-W-T1</x:v>
      </x:c>
      <x:c r="C95" s="17" t="str">
        <x:v>DigiKey</x:v>
      </x:c>
      <x:c r="D95" s="17" t="str">
        <x:v>Not stated</x:v>
      </x:c>
      <x:c r="E95" s="24" t="d">
        <x:v>2026-10-12T11:28:25.472Z</x:v>
      </x:c>
      <x:c r="F95" s="18" t="n">
        <x:v>1</x:v>
      </x:c>
      <x:c r="G95" s="18" t="n">
        <x:v>1</x:v>
      </x:c>
      <x:c r="H95" s="18" t="n">
        <x:v>3134</x:v>
      </x:c>
      <x:c r="I95" s="18" t="n">
        <x:v>10</x:v>
      </x:c>
      <x:c r="J95" s="25" t="n">
        <x:v>0.499</x:v>
      </x:c>
      <x:c r="K95" s="25" t="n">
        <x:v>0</x:v>
      </x:c>
      <x:c r="L95" s="26" t="str">
        <x:v>Active</x:v>
      </x:c>
      <x:c r="M95" s="26" t="str">
        <x:v>Not independently stated in this supplement</x:v>
      </x:c>
      <x:c r="N95" s="23" t="b">
        <x:v>0</x:v>
      </x:c>
      <x:c r="O95" s="2" t="str">
        <x:v>Unreserved inventory snapshot</x:v>
      </x:c>
      <x:c r="P95" s="2"/>
      <x:c r="Q95" s="2" t="str">
        <x:v>https://www.digikey.com/en/products/detail/susumu/RG1608N-682-W-T1/600805</x:v>
      </x:c>
    </x:row>
    <x:row r="96" ht="44" customHeight="1">
      <x:c r="A96" s="17" t="str">
        <x:v>OF0090</x:v>
      </x:c>
      <x:c r="B96" s="17" t="str">
        <x:v>RHA0J471MCN1GS</x:v>
      </x:c>
      <x:c r="C96" s="17" t="str">
        <x:v>DigiKey</x:v>
      </x:c>
      <x:c r="D96" s="17" t="str">
        <x:v>Not stated</x:v>
      </x:c>
      <x:c r="E96" s="24" t="d">
        <x:v>2026-10-12T11:28:25.471Z</x:v>
      </x:c>
      <x:c r="F96" s="18" t="n">
        <x:v>1</x:v>
      </x:c>
      <x:c r="G96" s="18" t="n">
        <x:v>1</x:v>
      </x:c>
      <x:c r="H96" s="18" t="n">
        <x:v>43782</x:v>
      </x:c>
      <x:c r="I96" s="18" t="n">
        <x:v>10</x:v>
      </x:c>
      <x:c r="J96" s="25" t="n">
        <x:v>0.882</x:v>
      </x:c>
      <x:c r="K96" s="25" t="n">
        <x:v>0</x:v>
      </x:c>
      <x:c r="L96" s="26" t="str">
        <x:v>Active</x:v>
      </x:c>
      <x:c r="M96" s="26" t="str">
        <x:v>Not independently stated in this supplement</x:v>
      </x:c>
      <x:c r="N96" s="23" t="b">
        <x:v>0</x:v>
      </x:c>
      <x:c r="O96" s="2" t="str">
        <x:v>Unreserved inventory snapshot</x:v>
      </x:c>
      <x:c r="P96" s="2"/>
      <x:c r="Q96" s="2" t="str">
        <x:v>https://www.digikey.com/en/products/detail/nichicon/RHA0J471MCN1GS/2209461</x:v>
      </x:c>
    </x:row>
    <x:row r="97" ht="44" customHeight="1">
      <x:c r="A97" s="17" t="str">
        <x:v>OF0091</x:v>
      </x:c>
      <x:c r="B97" s="17" t="str">
        <x:v>RN73R1ETTP9650B25</x:v>
      </x:c>
      <x:c r="C97" s="17" t="str">
        <x:v>DigiKey</x:v>
      </x:c>
      <x:c r="D97" s="17" t="str">
        <x:v>Not stated</x:v>
      </x:c>
      <x:c r="E97" s="24" t="d">
        <x:v>2026-10-12T11:28:25.475Z</x:v>
      </x:c>
      <x:c r="F97" s="18" t="n">
        <x:v>1</x:v>
      </x:c>
      <x:c r="G97" s="18" t="n">
        <x:v>1</x:v>
      </x:c>
      <x:c r="H97" s="18" t="n">
        <x:v>292</x:v>
      </x:c>
      <x:c r="I97" s="18" t="n">
        <x:v>10</x:v>
      </x:c>
      <x:c r="J97" s="25" t="n">
        <x:v>0.108</x:v>
      </x:c>
      <x:c r="K97" s="25" t="n">
        <x:v>0</x:v>
      </x:c>
      <x:c r="L97" s="26" t="str">
        <x:v>Active</x:v>
      </x:c>
      <x:c r="M97" s="26" t="str">
        <x:v>Not independently stated in this supplement</x:v>
      </x:c>
      <x:c r="N97" s="23" t="b">
        <x:v>0</x:v>
      </x:c>
      <x:c r="O97" s="2" t="str">
        <x:v>Unreserved inventory snapshot</x:v>
      </x:c>
      <x:c r="P97" s="2"/>
      <x:c r="Q97" s="2" t="str">
        <x:v>https://www.digikey.com/en/products/detail/koa-speer-electronics-inc/RN73R1ETTP9650B25/10007834</x:v>
      </x:c>
    </x:row>
    <x:row r="98" ht="44" customHeight="1">
      <x:c r="A98" s="17" t="str">
        <x:v>OF0092</x:v>
      </x:c>
      <x:c r="B98" s="17" t="str">
        <x:v>RT0402BRD07107KL</x:v>
      </x:c>
      <x:c r="C98" s="17" t="str">
        <x:v>DigiKey</x:v>
      </x:c>
      <x:c r="D98" s="17" t="str">
        <x:v>Not stated</x:v>
      </x:c>
      <x:c r="E98" s="24" t="d">
        <x:v>2026-10-12T11:28:25.471Z</x:v>
      </x:c>
      <x:c r="F98" s="18" t="n">
        <x:v>1</x:v>
      </x:c>
      <x:c r="G98" s="18" t="n">
        <x:v>1</x:v>
      </x:c>
      <x:c r="H98" s="18" t="n">
        <x:v>1437</x:v>
      </x:c>
      <x:c r="I98" s="18" t="n">
        <x:v>50</x:v>
      </x:c>
      <x:c r="J98" s="25" t="n">
        <x:v>0.0896</x:v>
      </x:c>
      <x:c r="K98" s="25" t="n">
        <x:v>0</x:v>
      </x:c>
      <x:c r="L98" s="26" t="str">
        <x:v>Active</x:v>
      </x:c>
      <x:c r="M98" s="26" t="str">
        <x:v>Not independently stated in this supplement</x:v>
      </x:c>
      <x:c r="N98" s="23" t="b">
        <x:v>0</x:v>
      </x:c>
      <x:c r="O98" s="2" t="str">
        <x:v>Unreserved inventory snapshot</x:v>
      </x:c>
      <x:c r="P98" s="2"/>
      <x:c r="Q98" s="2" t="str">
        <x:v>https://www.digikey.com/en/products/detail/yageo/RT0402BRD07107KL/7708214</x:v>
      </x:c>
    </x:row>
    <x:row r="99" ht="44" customHeight="1">
      <x:c r="A99" s="17" t="str">
        <x:v>OF0093</x:v>
      </x:c>
      <x:c r="B99" s="17" t="str">
        <x:v>RT0402BRD0711K3L</x:v>
      </x:c>
      <x:c r="C99" s="17" t="str">
        <x:v>DigiKey</x:v>
      </x:c>
      <x:c r="D99" s="17" t="str">
        <x:v>Not stated</x:v>
      </x:c>
      <x:c r="E99" s="24" t="d">
        <x:v>2026-10-12T11:28:25.471Z</x:v>
      </x:c>
      <x:c r="F99" s="18" t="n">
        <x:v>1</x:v>
      </x:c>
      <x:c r="G99" s="18" t="n">
        <x:v>1</x:v>
      </x:c>
      <x:c r="H99" s="18" t="n">
        <x:v>37762</x:v>
      </x:c>
      <x:c r="I99" s="18" t="n">
        <x:v>10</x:v>
      </x:c>
      <x:c r="J99" s="25" t="n">
        <x:v>0.089</x:v>
      </x:c>
      <x:c r="K99" s="25" t="n">
        <x:v>0</x:v>
      </x:c>
      <x:c r="L99" s="26" t="str">
        <x:v>Active</x:v>
      </x:c>
      <x:c r="M99" s="26" t="str">
        <x:v>Not independently stated in this supplement</x:v>
      </x:c>
      <x:c r="N99" s="23" t="b">
        <x:v>0</x:v>
      </x:c>
      <x:c r="O99" s="2" t="str">
        <x:v>Unreserved inventory snapshot</x:v>
      </x:c>
      <x:c r="P99" s="2"/>
      <x:c r="Q99" s="2" t="str">
        <x:v>https://www.digikey.com/en/products/detail/yageo/RT0402BRD0711K3L/6616321</x:v>
      </x:c>
    </x:row>
    <x:row r="100" ht="44" customHeight="1">
      <x:c r="A100" s="17" t="str">
        <x:v>OF0094</x:v>
      </x:c>
      <x:c r="B100" s="17" t="str">
        <x:v>RT0402BRD0717K4L</x:v>
      </x:c>
      <x:c r="C100" s="17" t="str">
        <x:v>DigiKey</x:v>
      </x:c>
      <x:c r="D100" s="17" t="str">
        <x:v>Not stated</x:v>
      </x:c>
      <x:c r="E100" s="24" t="d">
        <x:v>2026-10-12T11:28:25.468Z</x:v>
      </x:c>
      <x:c r="F100" s="18" t="n">
        <x:v>1</x:v>
      </x:c>
      <x:c r="G100" s="18" t="n">
        <x:v>1</x:v>
      </x:c>
      <x:c r="H100" s="18" t="n">
        <x:v>1781</x:v>
      </x:c>
      <x:c r="I100" s="18" t="n">
        <x:v>10</x:v>
      </x:c>
      <x:c r="J100" s="25" t="n">
        <x:v>0.084</x:v>
      </x:c>
      <x:c r="K100" s="25" t="n">
        <x:v>0</x:v>
      </x:c>
      <x:c r="L100" s="26" t="str">
        <x:v>Active</x:v>
      </x:c>
      <x:c r="M100" s="26" t="str">
        <x:v>Not independently stated in this supplement</x:v>
      </x:c>
      <x:c r="N100" s="23" t="b">
        <x:v>0</x:v>
      </x:c>
      <x:c r="O100" s="2" t="str">
        <x:v>Unreserved inventory snapshot</x:v>
      </x:c>
      <x:c r="P100" s="2"/>
      <x:c r="Q100" s="2" t="str">
        <x:v>https://www.digikey.com/en/products/detail/yageo/RT0402BRD0717K4L/1069068</x:v>
      </x:c>
    </x:row>
    <x:row r="101" ht="44" customHeight="1">
      <x:c r="A101" s="17" t="str">
        <x:v>OF0095</x:v>
      </x:c>
      <x:c r="B101" s="17" t="str">
        <x:v>RT0402BRD071KL</x:v>
      </x:c>
      <x:c r="C101" s="17" t="str">
        <x:v>DigiKey</x:v>
      </x:c>
      <x:c r="D101" s="17" t="str">
        <x:v>Not stated</x:v>
      </x:c>
      <x:c r="E101" s="24" t="d">
        <x:v>2026-10-12T11:28:25.471Z</x:v>
      </x:c>
      <x:c r="F101" s="18" t="n">
        <x:v>1</x:v>
      </x:c>
      <x:c r="G101" s="18" t="n">
        <x:v>1</x:v>
      </x:c>
      <x:c r="H101" s="18" t="n">
        <x:v>374004</x:v>
      </x:c>
      <x:c r="I101" s="18" t="n">
        <x:v>10</x:v>
      </x:c>
      <x:c r="J101" s="25" t="n">
        <x:v>0.089</x:v>
      </x:c>
      <x:c r="K101" s="25" t="n">
        <x:v>0</x:v>
      </x:c>
      <x:c r="L101" s="26" t="str">
        <x:v>Active</x:v>
      </x:c>
      <x:c r="M101" s="26" t="str">
        <x:v>Not independently stated in this supplement</x:v>
      </x:c>
      <x:c r="N101" s="23" t="b">
        <x:v>0</x:v>
      </x:c>
      <x:c r="O101" s="2" t="str">
        <x:v>Unreserved inventory snapshot</x:v>
      </x:c>
      <x:c r="P101" s="2"/>
      <x:c r="Q101" s="2" t="str">
        <x:v>https://www.digikey.com/en/products/detail/yageo/RT0402BRD071KL/5138834</x:v>
      </x:c>
    </x:row>
    <x:row r="102" ht="44" customHeight="1">
      <x:c r="A102" s="17" t="str">
        <x:v>OF0096</x:v>
      </x:c>
      <x:c r="B102" s="17" t="str">
        <x:v>RT0402BRD07301RL</x:v>
      </x:c>
      <x:c r="C102" s="17" t="str">
        <x:v>DigiKey</x:v>
      </x:c>
      <x:c r="D102" s="17" t="str">
        <x:v>Not stated</x:v>
      </x:c>
      <x:c r="E102" s="24" t="d">
        <x:v>2026-10-12T11:28:25.481Z</x:v>
      </x:c>
      <x:c r="F102" s="18" t="n">
        <x:v>1</x:v>
      </x:c>
      <x:c r="G102" s="18" t="n">
        <x:v>1</x:v>
      </x:c>
      <x:c r="H102" s="18" t="n">
        <x:v>1053</x:v>
      </x:c>
      <x:c r="I102" s="18" t="n">
        <x:v>10</x:v>
      </x:c>
      <x:c r="J102" s="25" t="n">
        <x:v>0.084</x:v>
      </x:c>
      <x:c r="K102" s="25" t="n">
        <x:v>0</x:v>
      </x:c>
      <x:c r="L102" s="26" t="str">
        <x:v>Active</x:v>
      </x:c>
      <x:c r="M102" s="26" t="str">
        <x:v>Not independently stated in this supplement</x:v>
      </x:c>
      <x:c r="N102" s="23" t="b">
        <x:v>0</x:v>
      </x:c>
      <x:c r="O102" s="2" t="str">
        <x:v>Unreserved inventory snapshot</x:v>
      </x:c>
      <x:c r="P102" s="2"/>
      <x:c r="Q102" s="2" t="str">
        <x:v>https://www.digikey.com/en/products/detail/yageo/RT0402BRD07301RL/1069200</x:v>
      </x:c>
    </x:row>
    <x:row r="103" ht="44" customHeight="1">
      <x:c r="A103" s="17" t="str">
        <x:v>OF0097</x:v>
      </x:c>
      <x:c r="B103" s="17" t="str">
        <x:v>RT0402BRD0757K6L</x:v>
      </x:c>
      <x:c r="C103" s="17" t="str">
        <x:v>DigiKey</x:v>
      </x:c>
      <x:c r="D103" s="17" t="str">
        <x:v>Not stated</x:v>
      </x:c>
      <x:c r="E103" s="24" t="d">
        <x:v>2026-10-12T11:28:25.468Z</x:v>
      </x:c>
      <x:c r="F103" s="18" t="n">
        <x:v>1</x:v>
      </x:c>
      <x:c r="G103" s="18" t="n">
        <x:v>1</x:v>
      </x:c>
      <x:c r="H103" s="18" t="n">
        <x:v>19539</x:v>
      </x:c>
      <x:c r="I103" s="18" t="n">
        <x:v>10</x:v>
      </x:c>
      <x:c r="J103" s="25" t="n">
        <x:v>0.089</x:v>
      </x:c>
      <x:c r="K103" s="25" t="n">
        <x:v>0</x:v>
      </x:c>
      <x:c r="L103" s="26" t="str">
        <x:v>Active</x:v>
      </x:c>
      <x:c r="M103" s="26" t="str">
        <x:v>Not independently stated in this supplement</x:v>
      </x:c>
      <x:c r="N103" s="23" t="b">
        <x:v>0</x:v>
      </x:c>
      <x:c r="O103" s="2" t="str">
        <x:v>Unreserved inventory snapshot</x:v>
      </x:c>
      <x:c r="P103" s="2"/>
      <x:c r="Q103" s="2" t="str">
        <x:v>https://www.digikey.com/en/products/detail/yageo/RT0402BRD0757K6L/6616439</x:v>
      </x:c>
    </x:row>
    <x:row r="104" ht="44" customHeight="1">
      <x:c r="A104" s="17" t="str">
        <x:v>OF0098</x:v>
      </x:c>
      <x:c r="B104" s="17" t="str">
        <x:v>RT0402BRD0764K9L</x:v>
      </x:c>
      <x:c r="C104" s="17" t="str">
        <x:v>LCSC</x:v>
      </x:c>
      <x:c r="D104" s="17" t="str">
        <x:v>C852880</x:v>
      </x:c>
      <x:c r="E104" s="24" t="d">
        <x:v>2026-10-12T10:44:20.590Z</x:v>
      </x:c>
      <x:c r="F104" s="18" t="n">
        <x:v>50</x:v>
      </x:c>
      <x:c r="G104" s="18" t="n">
        <x:v>50</x:v>
      </x:c>
      <x:c r="H104" s="18" t="n">
        <x:v>5400</x:v>
      </x:c>
      <x:c r="I104" s="18" t="n">
        <x:v>50</x:v>
      </x:c>
      <x:c r="J104" s="25" t="n">
        <x:v>0.0285</x:v>
      </x:c>
      <x:c r="K104" s="25" t="n">
        <x:v>0</x:v>
      </x:c>
      <x:c r="L104" s="26" t="str">
        <x:v>Not stated by captured product payload</x:v>
      </x:c>
      <x:c r="M104" s="26" t="str">
        <x:v>Not independently stated in this supplement</x:v>
      </x:c>
      <x:c r="N104" s="23" t="b">
        <x:v>0</x:v>
      </x:c>
      <x:c r="O104" s="2" t="str">
        <x:v>Unreserved inventory snapshot</x:v>
      </x:c>
      <x:c r="P104" s="2"/>
      <x:c r="Q104" s="2" t="str">
        <x:v>https://www.lcsc.com/product-detail/C852880.html</x:v>
      </x:c>
    </x:row>
    <x:row r="105" ht="44" customHeight="1">
      <x:c r="A105" s="17" t="str">
        <x:v>OF0099</x:v>
      </x:c>
      <x:c r="B105" s="17" t="str">
        <x:v>RT0402BRD0776K8L</x:v>
      </x:c>
      <x:c r="C105" s="17" t="str">
        <x:v>LCSC</x:v>
      </x:c>
      <x:c r="D105" s="17" t="str">
        <x:v>C852913</x:v>
      </x:c>
      <x:c r="E105" s="24" t="d">
        <x:v>2026-10-12T10:44:20.689Z</x:v>
      </x:c>
      <x:c r="F105" s="18" t="n">
        <x:v>50</x:v>
      </x:c>
      <x:c r="G105" s="18" t="n">
        <x:v>50</x:v>
      </x:c>
      <x:c r="H105" s="18" t="n">
        <x:v>12300</x:v>
      </x:c>
      <x:c r="I105" s="18" t="n">
        <x:v>50</x:v>
      </x:c>
      <x:c r="J105" s="25" t="n">
        <x:v>0.0284</x:v>
      </x:c>
      <x:c r="K105" s="25" t="n">
        <x:v>0</x:v>
      </x:c>
      <x:c r="L105" s="26" t="str">
        <x:v>Not stated by captured product payload</x:v>
      </x:c>
      <x:c r="M105" s="26" t="str">
        <x:v>Not independently stated in this supplement</x:v>
      </x:c>
      <x:c r="N105" s="23" t="b">
        <x:v>0</x:v>
      </x:c>
      <x:c r="O105" s="2" t="str">
        <x:v>Unreserved inventory snapshot</x:v>
      </x:c>
      <x:c r="P105" s="2"/>
      <x:c r="Q105" s="2" t="str">
        <x:v>https://www.lcsc.com/product-detail/C852913.html</x:v>
      </x:c>
    </x:row>
    <x:row r="106" ht="44" customHeight="1">
      <x:c r="A106" s="17" t="str">
        <x:v>OF0100</x:v>
      </x:c>
      <x:c r="B106" s="17" t="str">
        <x:v>RT0402BRD0780K6L</x:v>
      </x:c>
      <x:c r="C106" s="17" t="str">
        <x:v>DigiKey</x:v>
      </x:c>
      <x:c r="D106" s="17" t="str">
        <x:v>Not stated</x:v>
      </x:c>
      <x:c r="E106" s="24" t="d">
        <x:v>2026-10-12T11:28:25.481Z</x:v>
      </x:c>
      <x:c r="F106" s="18" t="n">
        <x:v>1</x:v>
      </x:c>
      <x:c r="G106" s="18" t="n">
        <x:v>1</x:v>
      </x:c>
      <x:c r="H106" s="18" t="n">
        <x:v>6673</x:v>
      </x:c>
      <x:c r="I106" s="18" t="n">
        <x:v>50</x:v>
      </x:c>
      <x:c r="J106" s="25" t="n">
        <x:v>0.0734</x:v>
      </x:c>
      <x:c r="K106" s="25" t="n">
        <x:v>0</x:v>
      </x:c>
      <x:c r="L106" s="26" t="str">
        <x:v>Active</x:v>
      </x:c>
      <x:c r="M106" s="26" t="str">
        <x:v>Not independently stated in this supplement</x:v>
      </x:c>
      <x:c r="N106" s="23" t="b">
        <x:v>0</x:v>
      </x:c>
      <x:c r="O106" s="2" t="str">
        <x:v>Unreserved inventory snapshot</x:v>
      </x:c>
      <x:c r="P106" s="2"/>
      <x:c r="Q106" s="2" t="str">
        <x:v>https://www.digikey.com/en/products/detail/yageo/RT0402BRD0780K6L/1069400</x:v>
      </x:c>
    </x:row>
    <x:row r="107" ht="44" customHeight="1">
      <x:c r="A107" s="17" t="str">
        <x:v>OF0101</x:v>
      </x:c>
      <x:c r="B107" s="17" t="str">
        <x:v>RT0402BRD0782K5L</x:v>
      </x:c>
      <x:c r="C107" s="17" t="str">
        <x:v>DigiKey</x:v>
      </x:c>
      <x:c r="D107" s="17" t="str">
        <x:v>Not stated</x:v>
      </x:c>
      <x:c r="E107" s="24" t="d">
        <x:v>2026-10-12T11:28:25.481Z</x:v>
      </x:c>
      <x:c r="F107" s="18" t="n">
        <x:v>1</x:v>
      </x:c>
      <x:c r="G107" s="18" t="n">
        <x:v>1</x:v>
      </x:c>
      <x:c r="H107" s="18" t="n">
        <x:v>60091</x:v>
      </x:c>
      <x:c r="I107" s="18" t="n">
        <x:v>50</x:v>
      </x:c>
      <x:c r="J107" s="25" t="n">
        <x:v>0.0734</x:v>
      </x:c>
      <x:c r="K107" s="25" t="n">
        <x:v>0</x:v>
      </x:c>
      <x:c r="L107" s="26" t="str">
        <x:v>Active</x:v>
      </x:c>
      <x:c r="M107" s="26" t="str">
        <x:v>Not independently stated in this supplement</x:v>
      </x:c>
      <x:c r="N107" s="23" t="b">
        <x:v>0</x:v>
      </x:c>
      <x:c r="O107" s="2" t="str">
        <x:v>Unreserved inventory snapshot</x:v>
      </x:c>
      <x:c r="P107" s="2"/>
      <x:c r="Q107" s="2" t="str">
        <x:v>https://www.digikey.com/en/products/detail/yageo/RT0402BRD0782K5L/1069404</x:v>
      </x:c>
    </x:row>
    <x:row r="108" ht="44" customHeight="1">
      <x:c r="A108" s="17" t="str">
        <x:v>OF0102</x:v>
      </x:c>
      <x:c r="B108" s="17" t="str">
        <x:v>RT0603BRD0710KL</x:v>
      </x:c>
      <x:c r="C108" s="17" t="str">
        <x:v>DigiKey</x:v>
      </x:c>
      <x:c r="D108" s="17" t="str">
        <x:v>Not stated</x:v>
      </x:c>
      <x:c r="E108" s="24" t="d">
        <x:v>2026-10-12T11:28:25.481Z</x:v>
      </x:c>
      <x:c r="F108" s="18" t="n">
        <x:v>1</x:v>
      </x:c>
      <x:c r="G108" s="18" t="n">
        <x:v>1</x:v>
      </x:c>
      <x:c r="H108" s="18" t="n">
        <x:v>269413</x:v>
      </x:c>
      <x:c r="I108" s="18" t="n">
        <x:v>50</x:v>
      </x:c>
      <x:c r="J108" s="25" t="n">
        <x:v>0.0614</x:v>
      </x:c>
      <x:c r="K108" s="25" t="n">
        <x:v>0</x:v>
      </x:c>
      <x:c r="L108" s="26" t="str">
        <x:v>Active</x:v>
      </x:c>
      <x:c r="M108" s="26" t="str">
        <x:v>Not independently stated in this supplement</x:v>
      </x:c>
      <x:c r="N108" s="23" t="b">
        <x:v>0</x:v>
      </x:c>
      <x:c r="O108" s="2" t="str">
        <x:v>Unreserved inventory snapshot</x:v>
      </x:c>
      <x:c r="P108" s="2"/>
      <x:c r="Q108" s="2" t="str">
        <x:v>https://www.digikey.com/en/products/detail/yageo/RT0603BRD0710KL/4340589</x:v>
      </x:c>
    </x:row>
    <x:row r="109" ht="44" customHeight="1">
      <x:c r="A109" s="17" t="str">
        <x:v>OF0103</x:v>
      </x:c>
      <x:c r="B109" s="17" t="str">
        <x:v>RT0603BRD07140KL</x:v>
      </x:c>
      <x:c r="C109" s="17" t="str">
        <x:v>DigiKey</x:v>
      </x:c>
      <x:c r="D109" s="17" t="str">
        <x:v>Not stated</x:v>
      </x:c>
      <x:c r="E109" s="24" t="d">
        <x:v>2026-10-12T11:28:25.479Z</x:v>
      </x:c>
      <x:c r="F109" s="18" t="n">
        <x:v>1</x:v>
      </x:c>
      <x:c r="G109" s="18" t="n">
        <x:v>1</x:v>
      </x:c>
      <x:c r="H109" s="18" t="n">
        <x:v>9088</x:v>
      </x:c>
      <x:c r="I109" s="18" t="n">
        <x:v>10</x:v>
      </x:c>
      <x:c r="J109" s="25" t="n">
        <x:v>0.07</x:v>
      </x:c>
      <x:c r="K109" s="25" t="n">
        <x:v>0</x:v>
      </x:c>
      <x:c r="L109" s="26" t="str">
        <x:v>Active</x:v>
      </x:c>
      <x:c r="M109" s="26" t="str">
        <x:v>Not independently stated in this supplement</x:v>
      </x:c>
      <x:c r="N109" s="23" t="b">
        <x:v>0</x:v>
      </x:c>
      <x:c r="O109" s="2" t="str">
        <x:v>Unreserved inventory snapshot</x:v>
      </x:c>
      <x:c r="P109" s="2"/>
      <x:c r="Q109" s="2" t="str">
        <x:v>https://www.digikey.com/en/products/detail/yageo/RT0603BRD07140KL/1072246</x:v>
      </x:c>
    </x:row>
    <x:row r="110" ht="44" customHeight="1">
      <x:c r="A110" s="17" t="str">
        <x:v>OF0104</x:v>
      </x:c>
      <x:c r="B110" s="17" t="str">
        <x:v>RT0603BRD0727KL</x:v>
      </x:c>
      <x:c r="C110" s="17" t="str">
        <x:v>DigiKey</x:v>
      </x:c>
      <x:c r="D110" s="17" t="str">
        <x:v>Not stated</x:v>
      </x:c>
      <x:c r="E110" s="24" t="d">
        <x:v>2026-10-12T11:28:25.468Z</x:v>
      </x:c>
      <x:c r="F110" s="18" t="n">
        <x:v>1</x:v>
      </x:c>
      <x:c r="G110" s="18" t="n">
        <x:v>1</x:v>
      </x:c>
      <x:c r="H110" s="18" t="n">
        <x:v>17245</x:v>
      </x:c>
      <x:c r="I110" s="18" t="n">
        <x:v>10</x:v>
      </x:c>
      <x:c r="J110" s="25" t="n">
        <x:v>0.07</x:v>
      </x:c>
      <x:c r="K110" s="25" t="n">
        <x:v>0</x:v>
      </x:c>
      <x:c r="L110" s="26" t="str">
        <x:v>Active</x:v>
      </x:c>
      <x:c r="M110" s="26" t="str">
        <x:v>Not independently stated in this supplement</x:v>
      </x:c>
      <x:c r="N110" s="23" t="b">
        <x:v>0</x:v>
      </x:c>
      <x:c r="O110" s="2" t="str">
        <x:v>Unreserved inventory snapshot</x:v>
      </x:c>
      <x:c r="P110" s="2"/>
      <x:c r="Q110" s="2" t="str">
        <x:v>https://www.digikey.com/en/products/detail/yageo/RT0603BRD0727KL/1072410</x:v>
      </x:c>
    </x:row>
    <x:row r="111" ht="44" customHeight="1">
      <x:c r="A111" s="17" t="str">
        <x:v>OF0105</x:v>
      </x:c>
      <x:c r="B111" s="17" t="str">
        <x:v>RT0603BRD072K26L</x:v>
      </x:c>
      <x:c r="C111" s="17" t="str">
        <x:v>DigiKey</x:v>
      </x:c>
      <x:c r="D111" s="17" t="str">
        <x:v>Not stated</x:v>
      </x:c>
      <x:c r="E111" s="24" t="d">
        <x:v>2026-10-12T11:28:25.479Z</x:v>
      </x:c>
      <x:c r="F111" s="18" t="n">
        <x:v>1</x:v>
      </x:c>
      <x:c r="G111" s="18" t="n">
        <x:v>1</x:v>
      </x:c>
      <x:c r="H111" s="18" t="n">
        <x:v>12101</x:v>
      </x:c>
      <x:c r="I111" s="18" t="n">
        <x:v>10</x:v>
      </x:c>
      <x:c r="J111" s="25" t="n">
        <x:v>0.074</x:v>
      </x:c>
      <x:c r="K111" s="25" t="n">
        <x:v>0</x:v>
      </x:c>
      <x:c r="L111" s="26" t="str">
        <x:v>Active</x:v>
      </x:c>
      <x:c r="M111" s="26" t="str">
        <x:v>Not independently stated in this supplement</x:v>
      </x:c>
      <x:c r="N111" s="23" t="b">
        <x:v>0</x:v>
      </x:c>
      <x:c r="O111" s="2" t="str">
        <x:v>Unreserved inventory snapshot</x:v>
      </x:c>
      <x:c r="P111" s="2"/>
      <x:c r="Q111" s="2" t="str">
        <x:v>https://www.digikey.com/en/products/detail/yageo/RT0603BRD072K26L/5139063</x:v>
      </x:c>
    </x:row>
    <x:row r="112" ht="44" customHeight="1">
      <x:c r="A112" s="17" t="str">
        <x:v>OF0106</x:v>
      </x:c>
      <x:c r="B112" s="17" t="str">
        <x:v>RT0603BRD0732K4L</x:v>
      </x:c>
      <x:c r="C112" s="17" t="str">
        <x:v>LCSC</x:v>
      </x:c>
      <x:c r="D112" s="17" t="str">
        <x:v>C861323</x:v>
      </x:c>
      <x:c r="E112" s="24" t="d">
        <x:v>2026-10-12T10:44:20.869Z</x:v>
      </x:c>
      <x:c r="F112" s="18" t="n">
        <x:v>20</x:v>
      </x:c>
      <x:c r="G112" s="18" t="n">
        <x:v>20</x:v>
      </x:c>
      <x:c r="H112" s="18" t="n">
        <x:v>18400</x:v>
      </x:c>
      <x:c r="I112" s="18" t="n">
        <x:v>20</x:v>
      </x:c>
      <x:c r="J112" s="25" t="n">
        <x:v>0.0421</x:v>
      </x:c>
      <x:c r="K112" s="25" t="n">
        <x:v>0</x:v>
      </x:c>
      <x:c r="L112" s="26" t="str">
        <x:v>Not stated by captured product payload</x:v>
      </x:c>
      <x:c r="M112" s="26" t="str">
        <x:v>Not independently stated in this supplement</x:v>
      </x:c>
      <x:c r="N112" s="23" t="b">
        <x:v>0</x:v>
      </x:c>
      <x:c r="O112" s="2" t="str">
        <x:v>Unreserved inventory snapshot</x:v>
      </x:c>
      <x:c r="P112" s="2"/>
      <x:c r="Q112" s="2" t="str">
        <x:v>https://www.lcsc.com/product-detail/C861323.html</x:v>
      </x:c>
    </x:row>
    <x:row r="113" ht="44" customHeight="1">
      <x:c r="A113" s="17" t="str">
        <x:v>OF0107</x:v>
      </x:c>
      <x:c r="B113" s="17" t="str">
        <x:v>RT0603BRD074K99L</x:v>
      </x:c>
      <x:c r="C113" s="17" t="str">
        <x:v>DigiKey</x:v>
      </x:c>
      <x:c r="D113" s="17" t="str">
        <x:v>Not stated</x:v>
      </x:c>
      <x:c r="E113" s="24" t="d">
        <x:v>2026-10-12T11:28:25.479Z</x:v>
      </x:c>
      <x:c r="F113" s="18" t="n">
        <x:v>1</x:v>
      </x:c>
      <x:c r="G113" s="18" t="n">
        <x:v>1</x:v>
      </x:c>
      <x:c r="H113" s="18" t="n">
        <x:v>42019</x:v>
      </x:c>
      <x:c r="I113" s="18" t="n">
        <x:v>10</x:v>
      </x:c>
      <x:c r="J113" s="25" t="n">
        <x:v>0.07</x:v>
      </x:c>
      <x:c r="K113" s="25" t="n">
        <x:v>0</x:v>
      </x:c>
      <x:c r="L113" s="26" t="str">
        <x:v>Active</x:v>
      </x:c>
      <x:c r="M113" s="26" t="str">
        <x:v>Not independently stated in this supplement</x:v>
      </x:c>
      <x:c r="N113" s="23" t="b">
        <x:v>0</x:v>
      </x:c>
      <x:c r="O113" s="2" t="str">
        <x:v>Unreserved inventory snapshot</x:v>
      </x:c>
      <x:c r="P113" s="2"/>
      <x:c r="Q113" s="2" t="str">
        <x:v>https://www.digikey.com/en/products/detail/yageo/RT0603BRD074K99L/1072563</x:v>
      </x:c>
    </x:row>
    <x:row r="114" ht="44" customHeight="1">
      <x:c r="A114" s="17" t="str">
        <x:v>OF0108</x:v>
      </x:c>
      <x:c r="B114" s="17" t="str">
        <x:v>RT0603BRD0768KL</x:v>
      </x:c>
      <x:c r="C114" s="17" t="str">
        <x:v>DigiKey</x:v>
      </x:c>
      <x:c r="D114" s="17" t="str">
        <x:v>Not stated</x:v>
      </x:c>
      <x:c r="E114" s="24" t="d">
        <x:v>2026-10-12T11:28:25.468Z</x:v>
      </x:c>
      <x:c r="F114" s="18" t="n">
        <x:v>1</x:v>
      </x:c>
      <x:c r="G114" s="18" t="n">
        <x:v>1</x:v>
      </x:c>
      <x:c r="H114" s="18" t="n">
        <x:v>21008</x:v>
      </x:c>
      <x:c r="I114" s="18" t="n">
        <x:v>10</x:v>
      </x:c>
      <x:c r="J114" s="25" t="n">
        <x:v>0.074</x:v>
      </x:c>
      <x:c r="K114" s="25" t="n">
        <x:v>0</x:v>
      </x:c>
      <x:c r="L114" s="26" t="str">
        <x:v>Active</x:v>
      </x:c>
      <x:c r="M114" s="26" t="str">
        <x:v>Not independently stated in this supplement</x:v>
      </x:c>
      <x:c r="N114" s="23" t="b">
        <x:v>0</x:v>
      </x:c>
      <x:c r="O114" s="2" t="str">
        <x:v>Unreserved inventory snapshot</x:v>
      </x:c>
      <x:c r="P114" s="2"/>
      <x:c r="Q114" s="2" t="str">
        <x:v>https://www.digikey.com/en/products/detail/yageo/RT0603BRD0768KL/6616742</x:v>
      </x:c>
    </x:row>
    <x:row r="115" ht="44" customHeight="1">
      <x:c r="A115" s="17" t="str">
        <x:v>OF0109</x:v>
      </x:c>
      <x:c r="B115" s="17" t="str">
        <x:v>RT0603BRD0793K1L</x:v>
      </x:c>
      <x:c r="C115" s="17" t="str">
        <x:v>DigiKey</x:v>
      </x:c>
      <x:c r="D115" s="17" t="str">
        <x:v>Not stated</x:v>
      </x:c>
      <x:c r="E115" s="24" t="d">
        <x:v>2026-10-12T11:28:25.479Z</x:v>
      </x:c>
      <x:c r="F115" s="18" t="n">
        <x:v>1</x:v>
      </x:c>
      <x:c r="G115" s="18" t="n">
        <x:v>1</x:v>
      </x:c>
      <x:c r="H115" s="18" t="n">
        <x:v>66948</x:v>
      </x:c>
      <x:c r="I115" s="18" t="n">
        <x:v>10</x:v>
      </x:c>
      <x:c r="J115" s="25" t="n">
        <x:v>0.074</x:v>
      </x:c>
      <x:c r="K115" s="25" t="n">
        <x:v>0</x:v>
      </x:c>
      <x:c r="L115" s="26" t="str">
        <x:v>Active</x:v>
      </x:c>
      <x:c r="M115" s="26" t="str">
        <x:v>Not independently stated in this supplement</x:v>
      </x:c>
      <x:c r="N115" s="23" t="b">
        <x:v>0</x:v>
      </x:c>
      <x:c r="O115" s="2" t="str">
        <x:v>Unreserved inventory snapshot</x:v>
      </x:c>
      <x:c r="P115" s="2"/>
      <x:c r="Q115" s="2" t="str">
        <x:v>https://www.digikey.com/en/products/detail/yageo/RT0603BRD0793K1L/5139200</x:v>
      </x:c>
    </x:row>
    <x:row r="116" ht="44" customHeight="1">
      <x:c r="A116" s="17" t="str">
        <x:v>OF0110</x:v>
      </x:c>
      <x:c r="B116" s="17" t="str">
        <x:v>RT0603BRD07953RL</x:v>
      </x:c>
      <x:c r="C116" s="17" t="str">
        <x:v>DigiKey</x:v>
      </x:c>
      <x:c r="D116" s="17" t="str">
        <x:v>Not stated</x:v>
      </x:c>
      <x:c r="E116" s="24" t="d">
        <x:v>2026-10-12T11:28:25.470Z</x:v>
      </x:c>
      <x:c r="F116" s="18" t="n">
        <x:v>1</x:v>
      </x:c>
      <x:c r="G116" s="18" t="n">
        <x:v>1</x:v>
      </x:c>
      <x:c r="H116" s="18" t="n">
        <x:v>5255</x:v>
      </x:c>
      <x:c r="I116" s="18" t="n">
        <x:v>50</x:v>
      </x:c>
      <x:c r="J116" s="25" t="n">
        <x:v>0.0614</x:v>
      </x:c>
      <x:c r="K116" s="25" t="n">
        <x:v>0</x:v>
      </x:c>
      <x:c r="L116" s="26" t="str">
        <x:v>Active</x:v>
      </x:c>
      <x:c r="M116" s="26" t="str">
        <x:v>Not independently stated in this supplement</x:v>
      </x:c>
      <x:c r="N116" s="23" t="b">
        <x:v>0</x:v>
      </x:c>
      <x:c r="O116" s="2" t="str">
        <x:v>Unreserved inventory snapshot</x:v>
      </x:c>
      <x:c r="P116" s="2"/>
      <x:c r="Q116" s="2" t="str">
        <x:v>https://www.digikey.com/en/products/detail/yageo/RT0603BRD07953RL/1072685</x:v>
      </x:c>
    </x:row>
    <x:row r="117" ht="44" customHeight="1">
      <x:c r="A117" s="17" t="str">
        <x:v>OF0111</x:v>
      </x:c>
      <x:c r="B117" s="17" t="str">
        <x:v>RTL8125BG-CG</x:v>
      </x:c>
      <x:c r="C117" s="17" t="str">
        <x:v>LCSC</x:v>
      </x:c>
      <x:c r="D117" s="17" t="str">
        <x:v>C3013605</x:v>
      </x:c>
      <x:c r="E117" s="24" t="d">
        <x:v>2026-10-12T10:44:20.995Z</x:v>
      </x:c>
      <x:c r="F117" s="18" t="n">
        <x:v>1</x:v>
      </x:c>
      <x:c r="G117" s="18" t="n">
        <x:v>1</x:v>
      </x:c>
      <x:c r="H117" s="18" t="n">
        <x:v>310</x:v>
      </x:c>
      <x:c r="I117" s="18" t="n">
        <x:v>10</x:v>
      </x:c>
      <x:c r="J117" s="25" t="n">
        <x:v>3.7323</x:v>
      </x:c>
      <x:c r="K117" s="25" t="n">
        <x:v>0</x:v>
      </x:c>
      <x:c r="L117" s="26" t="str">
        <x:v>Not stated by captured product payload</x:v>
      </x:c>
      <x:c r="M117" s="26" t="str">
        <x:v>Not independently stated in this supplement</x:v>
      </x:c>
      <x:c r="N117" s="23" t="b">
        <x:v>0</x:v>
      </x:c>
      <x:c r="O117" s="2" t="str">
        <x:v>Unreserved inventory snapshot</x:v>
      </x:c>
      <x:c r="P117" s="2"/>
      <x:c r="Q117" s="2" t="str">
        <x:v>https://www.lcsc.com/product-detail/C3013605.html</x:v>
      </x:c>
    </x:row>
    <x:row r="118" ht="44" customHeight="1">
      <x:c r="A118" s="17" t="str">
        <x:v>OF0112</x:v>
      </x:c>
      <x:c r="B118" s="17" t="str">
        <x:v>S1B-13-F</x:v>
      </x:c>
      <x:c r="C118" s="17" t="str">
        <x:v>DigiKey</x:v>
      </x:c>
      <x:c r="D118" s="17" t="str">
        <x:v>Not stated</x:v>
      </x:c>
      <x:c r="E118" s="24" t="d">
        <x:v>2026-10-12T11:28:25.470Z</x:v>
      </x:c>
      <x:c r="F118" s="18" t="n">
        <x:v>1</x:v>
      </x:c>
      <x:c r="G118" s="18" t="n">
        <x:v>1</x:v>
      </x:c>
      <x:c r="H118" s="18" t="n">
        <x:v>716497</x:v>
      </x:c>
      <x:c r="I118" s="18" t="n">
        <x:v>25</x:v>
      </x:c>
      <x:c r="J118" s="25" t="n">
        <x:v>0.1336</x:v>
      </x:c>
      <x:c r="K118" s="25" t="n">
        <x:v>0</x:v>
      </x:c>
      <x:c r="L118" s="26" t="str">
        <x:v>Active</x:v>
      </x:c>
      <x:c r="M118" s="26" t="str">
        <x:v>Not independently stated in this supplement</x:v>
      </x:c>
      <x:c r="N118" s="23" t="b">
        <x:v>0</x:v>
      </x:c>
      <x:c r="O118" s="2" t="str">
        <x:v>Unreserved inventory snapshot</x:v>
      </x:c>
      <x:c r="P118" s="2"/>
      <x:c r="Q118" s="2" t="str">
        <x:v>https://www.digikey.com/en/products/detail/diodes-incorporated/S1B-13-F/725026</x:v>
      </x:c>
    </x:row>
    <x:row r="119" ht="44" customHeight="1">
      <x:c r="A119" s="17" t="str">
        <x:v>OF0113</x:v>
      </x:c>
      <x:c r="B119" s="17" t="str">
        <x:v>SIM8066-6-1-14-01-A</x:v>
      </x:c>
      <x:c r="C119" s="17" t="str">
        <x:v>LCSC</x:v>
      </x:c>
      <x:c r="D119" s="17" t="str">
        <x:v>C3032925</x:v>
      </x:c>
      <x:c r="E119" s="24" t="d">
        <x:v>2026-10-12T10:44:21.132Z</x:v>
      </x:c>
      <x:c r="F119" s="18" t="n">
        <x:v>1</x:v>
      </x:c>
      <x:c r="G119" s="18" t="n">
        <x:v>1</x:v>
      </x:c>
      <x:c r="H119" s="18" t="n">
        <x:v>1893</x:v>
      </x:c>
      <x:c r="I119" s="18" t="n">
        <x:v>10</x:v>
      </x:c>
      <x:c r="J119" s="25" t="n">
        <x:v>1.4045</x:v>
      </x:c>
      <x:c r="K119" s="25" t="n">
        <x:v>0</x:v>
      </x:c>
      <x:c r="L119" s="26" t="str">
        <x:v>Not stated by captured product payload</x:v>
      </x:c>
      <x:c r="M119" s="26" t="str">
        <x:v>Active</x:v>
      </x:c>
      <x:c r="N119" s="23" t="b">
        <x:v>0</x:v>
      </x:c>
      <x:c r="O119" s="2" t="str">
        <x:v>Unreserved inventory snapshot</x:v>
      </x:c>
      <x:c r="P119" s="2"/>
      <x:c r="Q119" s="2" t="str">
        <x:v>https://www.lcsc.com/product-detail/C3032925.html</x:v>
      </x:c>
    </x:row>
    <x:row r="120" ht="44" customHeight="1">
      <x:c r="A120" s="17" t="str">
        <x:v>OF0114</x:v>
      </x:c>
      <x:c r="B120" s="17" t="str">
        <x:v>SMBJ13A</x:v>
      </x:c>
      <x:c r="C120" s="17" t="str">
        <x:v>DigiKey</x:v>
      </x:c>
      <x:c r="D120" s="17" t="str">
        <x:v>Not stated</x:v>
      </x:c>
      <x:c r="E120" s="24" t="d">
        <x:v>2026-10-12T11:28:25.470Z</x:v>
      </x:c>
      <x:c r="F120" s="18" t="n">
        <x:v>1</x:v>
      </x:c>
      <x:c r="G120" s="18" t="n">
        <x:v>1</x:v>
      </x:c>
      <x:c r="H120" s="18" t="n">
        <x:v>1346</x:v>
      </x:c>
      <x:c r="I120" s="18" t="n">
        <x:v>10</x:v>
      </x:c>
      <x:c r="J120" s="25" t="n">
        <x:v>0.328</x:v>
      </x:c>
      <x:c r="K120" s="25" t="n">
        <x:v>0</x:v>
      </x:c>
      <x:c r="L120" s="26" t="str">
        <x:v>Active</x:v>
      </x:c>
      <x:c r="M120" s="26" t="str">
        <x:v>Not independently stated in this supplement</x:v>
      </x:c>
      <x:c r="N120" s="23" t="b">
        <x:v>0</x:v>
      </x:c>
      <x:c r="O120" s="2" t="str">
        <x:v>Unreserved inventory snapshot</x:v>
      </x:c>
      <x:c r="P120" s="2"/>
      <x:c r="Q120" s="2" t="str">
        <x:v>https://www.digikey.com/en/products/detail/littelfuse-inc/SMBJ13A/285974</x:v>
      </x:c>
    </x:row>
    <x:row r="121" ht="44" customHeight="1">
      <x:c r="A121" s="17" t="str">
        <x:v>OF0115</x:v>
      </x:c>
      <x:c r="B121" s="17" t="str">
        <x:v>SMCJ51A-E3/57T</x:v>
      </x:c>
      <x:c r="C121" s="17" t="str">
        <x:v>DigiKey</x:v>
      </x:c>
      <x:c r="D121" s="17" t="str">
        <x:v>Not stated</x:v>
      </x:c>
      <x:c r="E121" s="24" t="d">
        <x:v>2026-10-12T11:28:25.471Z</x:v>
      </x:c>
      <x:c r="F121" s="18" t="n">
        <x:v>1</x:v>
      </x:c>
      <x:c r="G121" s="18" t="n">
        <x:v>1</x:v>
      </x:c>
      <x:c r="H121" s="18" t="n">
        <x:v>214</x:v>
      </x:c>
      <x:c r="I121" s="18" t="n">
        <x:v>50</x:v>
      </x:c>
      <x:c r="J121" s="25" t="n">
        <x:v>0.4978</x:v>
      </x:c>
      <x:c r="K121" s="25" t="n">
        <x:v>0</x:v>
      </x:c>
      <x:c r="L121" s="26" t="str">
        <x:v>Active</x:v>
      </x:c>
      <x:c r="M121" s="26" t="str">
        <x:v>Not independently stated in this supplement</x:v>
      </x:c>
      <x:c r="N121" s="23" t="b">
        <x:v>0</x:v>
      </x:c>
      <x:c r="O121" s="2" t="str">
        <x:v>Unreserved inventory snapshot</x:v>
      </x:c>
      <x:c r="P121" s="2"/>
      <x:c r="Q121" s="2" t="str">
        <x:v>https://www.digikey.com/en/products/detail/vishay-general-semiconductor-diodes-division/SMCJ51A-E3-57T/2413463</x:v>
      </x:c>
    </x:row>
    <x:row r="122" ht="44" customHeight="1">
      <x:c r="A122" s="17" t="str">
        <x:v>OF0116</x:v>
      </x:c>
      <x:c r="B122" s="17" t="str">
        <x:v>SN74AUP1G17DBVR</x:v>
      </x:c>
      <x:c r="C122" s="17" t="str">
        <x:v>DigiKey</x:v>
      </x:c>
      <x:c r="D122" s="17" t="str">
        <x:v>Not stated</x:v>
      </x:c>
      <x:c r="E122" s="24" t="d">
        <x:v>2026-10-12T11:28:25.482Z</x:v>
      </x:c>
      <x:c r="F122" s="18" t="n">
        <x:v>1</x:v>
      </x:c>
      <x:c r="G122" s="18" t="n">
        <x:v>1</x:v>
      </x:c>
      <x:c r="H122" s="18" t="n">
        <x:v>7107</x:v>
      </x:c>
      <x:c r="I122" s="18" t="n">
        <x:v>25</x:v>
      </x:c>
      <x:c r="J122" s="25" t="n">
        <x:v>0.2496</x:v>
      </x:c>
      <x:c r="K122" s="25" t="n">
        <x:v>0</x:v>
      </x:c>
      <x:c r="L122" s="26" t="str">
        <x:v>Active</x:v>
      </x:c>
      <x:c r="M122" s="26" t="str">
        <x:v>Not independently stated in this supplement</x:v>
      </x:c>
      <x:c r="N122" s="23" t="b">
        <x:v>0</x:v>
      </x:c>
      <x:c r="O122" s="2" t="str">
        <x:v>Unreserved inventory snapshot</x:v>
      </x:c>
      <x:c r="P122" s="2"/>
      <x:c r="Q122" s="2" t="str">
        <x:v>https://www.digikey.com/en/products/detail/texas-instruments/SN74AUP1G17DBVR/864081</x:v>
      </x:c>
    </x:row>
    <x:row r="123" ht="44" customHeight="1">
      <x:c r="A123" s="17" t="str">
        <x:v>OF0117</x:v>
      </x:c>
      <x:c r="B123" s="17" t="str">
        <x:v>SN74AXC8T245PWR</x:v>
      </x:c>
      <x:c r="C123" s="17" t="str">
        <x:v>LCSC</x:v>
      </x:c>
      <x:c r="D123" s="17" t="str">
        <x:v>C882718</x:v>
      </x:c>
      <x:c r="E123" s="24" t="d">
        <x:v>2026-10-12T10:44:21.375Z</x:v>
      </x:c>
      <x:c r="F123" s="18" t="n">
        <x:v>1</x:v>
      </x:c>
      <x:c r="G123" s="18" t="n">
        <x:v>1</x:v>
      </x:c>
      <x:c r="H123" s="18" t="n">
        <x:v>9132</x:v>
      </x:c>
      <x:c r="I123" s="18" t="n">
        <x:v>10</x:v>
      </x:c>
      <x:c r="J123" s="25" t="n">
        <x:v>0.9272</x:v>
      </x:c>
      <x:c r="K123" s="25" t="n">
        <x:v>0</x:v>
      </x:c>
      <x:c r="L123" s="26" t="str">
        <x:v>Not stated by captured product payload</x:v>
      </x:c>
      <x:c r="M123" s="26" t="str">
        <x:v>ACTIVE</x:v>
      </x:c>
      <x:c r="N123" s="23" t="b">
        <x:v>0</x:v>
      </x:c>
      <x:c r="O123" s="2" t="str">
        <x:v>Unreserved inventory snapshot</x:v>
      </x:c>
      <x:c r="P123" s="2"/>
      <x:c r="Q123" s="2" t="str">
        <x:v>https://www.lcsc.com/product-detail/C882718.html</x:v>
      </x:c>
    </x:row>
    <x:row r="124" ht="44" customHeight="1">
      <x:c r="A124" s="17" t="str">
        <x:v>OF0118</x:v>
      </x:c>
      <x:c r="B124" s="17" t="str">
        <x:v>SN74LVC1G00DBVR</x:v>
      </x:c>
      <x:c r="C124" s="17" t="str">
        <x:v>LCSC</x:v>
      </x:c>
      <x:c r="D124" s="17" t="str">
        <x:v>C7826</x:v>
      </x:c>
      <x:c r="E124" s="24" t="d">
        <x:v>2026-10-12T10:44:21.444Z</x:v>
      </x:c>
      <x:c r="F124" s="18" t="n">
        <x:v>5</x:v>
      </x:c>
      <x:c r="G124" s="18" t="n">
        <x:v>5</x:v>
      </x:c>
      <x:c r="H124" s="18" t="n">
        <x:v>4575</x:v>
      </x:c>
      <x:c r="I124" s="18" t="n">
        <x:v>50</x:v>
      </x:c>
      <x:c r="J124" s="25" t="n">
        <x:v>0.103</x:v>
      </x:c>
      <x:c r="K124" s="25" t="n">
        <x:v>0</x:v>
      </x:c>
      <x:c r="L124" s="26" t="str">
        <x:v>Not stated by captured product payload</x:v>
      </x:c>
      <x:c r="M124" s="26" t="str">
        <x:v>ACTIVE</x:v>
      </x:c>
      <x:c r="N124" s="23" t="b">
        <x:v>0</x:v>
      </x:c>
      <x:c r="O124" s="2" t="str">
        <x:v>Unreserved inventory snapshot</x:v>
      </x:c>
      <x:c r="P124" s="2"/>
      <x:c r="Q124" s="2" t="str">
        <x:v>https://www.lcsc.com/product-detail/C7826.html</x:v>
      </x:c>
    </x:row>
    <x:row r="125" ht="44" customHeight="1">
      <x:c r="A125" s="17" t="str">
        <x:v>OF0119</x:v>
      </x:c>
      <x:c r="B125" s="17" t="str">
        <x:v>SN74LVC1G04DBVR</x:v>
      </x:c>
      <x:c r="C125" s="17" t="str">
        <x:v>DigiKey</x:v>
      </x:c>
      <x:c r="D125" s="17" t="str">
        <x:v>Not stated</x:v>
      </x:c>
      <x:c r="E125" s="24" t="d">
        <x:v>2026-10-12T11:28:25.482Z</x:v>
      </x:c>
      <x:c r="F125" s="18" t="n">
        <x:v>1</x:v>
      </x:c>
      <x:c r="G125" s="18" t="n">
        <x:v>1</x:v>
      </x:c>
      <x:c r="H125" s="18" t="n">
        <x:v>353596</x:v>
      </x:c>
      <x:c r="I125" s="18" t="n">
        <x:v>25</x:v>
      </x:c>
      <x:c r="J125" s="25" t="n">
        <x:v>0.0868</x:v>
      </x:c>
      <x:c r="K125" s="25" t="n">
        <x:v>0</x:v>
      </x:c>
      <x:c r="L125" s="26" t="str">
        <x:v>Active</x:v>
      </x:c>
      <x:c r="M125" s="26" t="str">
        <x:v>Not independently stated in this supplement</x:v>
      </x:c>
      <x:c r="N125" s="23" t="b">
        <x:v>0</x:v>
      </x:c>
      <x:c r="O125" s="2" t="str">
        <x:v>Unreserved inventory snapshot</x:v>
      </x:c>
      <x:c r="P125" s="2"/>
      <x:c r="Q125" s="2" t="str">
        <x:v>https://www.digikey.com/en/products/detail/texas-instruments/SN74LVC1G04DBVR/385716</x:v>
      </x:c>
    </x:row>
    <x:row r="126" ht="44" customHeight="1">
      <x:c r="A126" s="17" t="str">
        <x:v>OF0120</x:v>
      </x:c>
      <x:c r="B126" s="17" t="str">
        <x:v>SN74LVC1G08DBVR</x:v>
      </x:c>
      <x:c r="C126" s="17" t="str">
        <x:v>DigiKey</x:v>
      </x:c>
      <x:c r="D126" s="17" t="str">
        <x:v>Not stated</x:v>
      </x:c>
      <x:c r="E126" s="24" t="d">
        <x:v>2026-10-12T11:28:25.483Z</x:v>
      </x:c>
      <x:c r="F126" s="18" t="n">
        <x:v>1</x:v>
      </x:c>
      <x:c r="G126" s="18" t="n">
        <x:v>1</x:v>
      </x:c>
      <x:c r="H126" s="18" t="n">
        <x:v>112885</x:v>
      </x:c>
      <x:c r="I126" s="18" t="n">
        <x:v>25</x:v>
      </x:c>
      <x:c r="J126" s="25" t="n">
        <x:v>0.0712</x:v>
      </x:c>
      <x:c r="K126" s="25" t="n">
        <x:v>0</x:v>
      </x:c>
      <x:c r="L126" s="26" t="str">
        <x:v>Active</x:v>
      </x:c>
      <x:c r="M126" s="26" t="str">
        <x:v>Not independently stated in this supplement</x:v>
      </x:c>
      <x:c r="N126" s="23" t="b">
        <x:v>0</x:v>
      </x:c>
      <x:c r="O126" s="2" t="str">
        <x:v>Unreserved inventory snapshot</x:v>
      </x:c>
      <x:c r="P126" s="2"/>
      <x:c r="Q126" s="2" t="str">
        <x:v>https://www.digikey.com/en/products/detail/texas-instruments/SN74LVC1G08DBVR/385718</x:v>
      </x:c>
    </x:row>
    <x:row r="127" ht="44" customHeight="1">
      <x:c r="A127" s="17" t="str">
        <x:v>OF0121</x:v>
      </x:c>
      <x:c r="B127" s="17" t="str">
        <x:v>SN74LVC1G11DBVR</x:v>
      </x:c>
      <x:c r="C127" s="17" t="str">
        <x:v>DigiKey</x:v>
      </x:c>
      <x:c r="D127" s="17" t="str">
        <x:v>Not stated</x:v>
      </x:c>
      <x:c r="E127" s="24" t="d">
        <x:v>2026-10-12T11:28:25.482Z</x:v>
      </x:c>
      <x:c r="F127" s="18" t="n">
        <x:v>1</x:v>
      </x:c>
      <x:c r="G127" s="18" t="n">
        <x:v>1</x:v>
      </x:c>
      <x:c r="H127" s="18" t="n">
        <x:v>90366</x:v>
      </x:c>
      <x:c r="I127" s="18" t="n">
        <x:v>25</x:v>
      </x:c>
      <x:c r="J127" s="25" t="n">
        <x:v>0.234</x:v>
      </x:c>
      <x:c r="K127" s="25" t="n">
        <x:v>0</x:v>
      </x:c>
      <x:c r="L127" s="26" t="str">
        <x:v>Active</x:v>
      </x:c>
      <x:c r="M127" s="26" t="str">
        <x:v>Not independently stated in this supplement</x:v>
      </x:c>
      <x:c r="N127" s="23" t="b">
        <x:v>0</x:v>
      </x:c>
      <x:c r="O127" s="2" t="str">
        <x:v>Unreserved inventory snapshot</x:v>
      </x:c>
      <x:c r="P127" s="2"/>
      <x:c r="Q127" s="2" t="str">
        <x:v>https://www.digikey.com/en/products/detail/texas-instruments/SN74LVC1G11DBVR/637182</x:v>
      </x:c>
    </x:row>
    <x:row r="128" ht="44" customHeight="1">
      <x:c r="A128" s="17" t="str">
        <x:v>OF0122</x:v>
      </x:c>
      <x:c r="B128" s="17" t="str">
        <x:v>SN74LVC1G32DBVR</x:v>
      </x:c>
      <x:c r="C128" s="17" t="str">
        <x:v>LCSC</x:v>
      </x:c>
      <x:c r="D128" s="17" t="str">
        <x:v>C10096</x:v>
      </x:c>
      <x:c r="E128" s="24" t="d">
        <x:v>2026-10-12T10:44:21.583Z</x:v>
      </x:c>
      <x:c r="F128" s="18" t="n">
        <x:v>10</x:v>
      </x:c>
      <x:c r="G128" s="18" t="n">
        <x:v>10</x:v>
      </x:c>
      <x:c r="H128" s="18" t="n">
        <x:v>108990</x:v>
      </x:c>
      <x:c r="I128" s="18" t="n">
        <x:v>10</x:v>
      </x:c>
      <x:c r="J128" s="25" t="n">
        <x:v>0.0715</x:v>
      </x:c>
      <x:c r="K128" s="25" t="n">
        <x:v>0</x:v>
      </x:c>
      <x:c r="L128" s="26" t="str">
        <x:v>Not stated by captured product payload</x:v>
      </x:c>
      <x:c r="M128" s="26" t="str">
        <x:v>ACTIVE</x:v>
      </x:c>
      <x:c r="N128" s="23" t="b">
        <x:v>0</x:v>
      </x:c>
      <x:c r="O128" s="2" t="str">
        <x:v>Unreserved inventory snapshot</x:v>
      </x:c>
      <x:c r="P128" s="2"/>
      <x:c r="Q128" s="2" t="str">
        <x:v>https://www.lcsc.com/product-detail/C10096.html</x:v>
      </x:c>
    </x:row>
    <x:row r="129" ht="44" customHeight="1">
      <x:c r="A129" s="17" t="str">
        <x:v>OF0123</x:v>
      </x:c>
      <x:c r="B129" s="17" t="str">
        <x:v>SN74LVC1G97DBVR</x:v>
      </x:c>
      <x:c r="C129" s="17" t="str">
        <x:v>DigiKey</x:v>
      </x:c>
      <x:c r="D129" s="17" t="str">
        <x:v>Not stated</x:v>
      </x:c>
      <x:c r="E129" s="24" t="d">
        <x:v>2026-10-12T11:28:25.479Z</x:v>
      </x:c>
      <x:c r="F129" s="18" t="n">
        <x:v>1</x:v>
      </x:c>
      <x:c r="G129" s="18" t="n">
        <x:v>1</x:v>
      </x:c>
      <x:c r="H129" s="18" t="n">
        <x:v>24044</x:v>
      </x:c>
      <x:c r="I129" s="18" t="n">
        <x:v>25</x:v>
      </x:c>
      <x:c r="J129" s="25" t="n">
        <x:v>0.142</x:v>
      </x:c>
      <x:c r="K129" s="25" t="n">
        <x:v>0</x:v>
      </x:c>
      <x:c r="L129" s="26" t="str">
        <x:v>Active</x:v>
      </x:c>
      <x:c r="M129" s="26" t="str">
        <x:v>Not independently stated in this supplement</x:v>
      </x:c>
      <x:c r="N129" s="23" t="b">
        <x:v>0</x:v>
      </x:c>
      <x:c r="O129" s="2" t="str">
        <x:v>Unreserved inventory snapshot</x:v>
      </x:c>
      <x:c r="P129" s="2"/>
      <x:c r="Q129" s="2" t="str">
        <x:v>https://www.digikey.com/en/products/detail/texas-instruments/SN74LVC1G97DBVR/571196</x:v>
      </x:c>
    </x:row>
    <x:row r="130" ht="44" customHeight="1">
      <x:c r="A130" s="17" t="str">
        <x:v>OF0124</x:v>
      </x:c>
      <x:c r="B130" s="17" t="str">
        <x:v>SN74LVC2G125DCUR</x:v>
      </x:c>
      <x:c r="C130" s="17" t="str">
        <x:v>LCSC</x:v>
      </x:c>
      <x:c r="D130" s="17" t="str">
        <x:v>C21404</x:v>
      </x:c>
      <x:c r="E130" s="24" t="d">
        <x:v>2026-10-12T10:44:22.182Z</x:v>
      </x:c>
      <x:c r="F130" s="18" t="n">
        <x:v>5</x:v>
      </x:c>
      <x:c r="G130" s="18" t="n">
        <x:v>5</x:v>
      </x:c>
      <x:c r="H130" s="18" t="n">
        <x:v>255</x:v>
      </x:c>
      <x:c r="I130" s="18" t="n">
        <x:v>5</x:v>
      </x:c>
      <x:c r="J130" s="25" t="n">
        <x:v>0.2091</x:v>
      </x:c>
      <x:c r="K130" s="25" t="n">
        <x:v>0</x:v>
      </x:c>
      <x:c r="L130" s="26" t="str">
        <x:v>Not stated by captured product payload</x:v>
      </x:c>
      <x:c r="M130" s="26" t="str">
        <x:v>ACTIVE</x:v>
      </x:c>
      <x:c r="N130" s="23" t="b">
        <x:v>0</x:v>
      </x:c>
      <x:c r="O130" s="2" t="str">
        <x:v>Unreserved inventory snapshot</x:v>
      </x:c>
      <x:c r="P130" s="2"/>
      <x:c r="Q130" s="2" t="str">
        <x:v>https://www.lcsc.com/product-detail/C21404.html</x:v>
      </x:c>
    </x:row>
    <x:row r="131" ht="44" customHeight="1">
      <x:c r="A131" s="17" t="str">
        <x:v>OF0125</x:v>
      </x:c>
      <x:c r="B131" s="17" t="str">
        <x:v>SN74LVC3G17DCUR</x:v>
      </x:c>
      <x:c r="C131" s="17" t="str">
        <x:v>DigiKey</x:v>
      </x:c>
      <x:c r="D131" s="17" t="str">
        <x:v>Not stated</x:v>
      </x:c>
      <x:c r="E131" s="24" t="d">
        <x:v>2026-10-12T11:28:25.479Z</x:v>
      </x:c>
      <x:c r="F131" s="18" t="n">
        <x:v>1</x:v>
      </x:c>
      <x:c r="G131" s="18" t="n">
        <x:v>1</x:v>
      </x:c>
      <x:c r="H131" s="18" t="n">
        <x:v>7399</x:v>
      </x:c>
      <x:c r="I131" s="18" t="n">
        <x:v>25</x:v>
      </x:c>
      <x:c r="J131" s="25" t="n">
        <x:v>0.286</x:v>
      </x:c>
      <x:c r="K131" s="25" t="n">
        <x:v>0</x:v>
      </x:c>
      <x:c r="L131" s="26" t="str">
        <x:v>Active</x:v>
      </x:c>
      <x:c r="M131" s="26" t="str">
        <x:v>Not independently stated in this supplement</x:v>
      </x:c>
      <x:c r="N131" s="23" t="b">
        <x:v>0</x:v>
      </x:c>
      <x:c r="O131" s="2" t="str">
        <x:v>Unreserved inventory snapshot</x:v>
      </x:c>
      <x:c r="P131" s="2"/>
      <x:c r="Q131" s="2" t="str">
        <x:v>https://www.digikey.com/en/products/detail/texas-instruments/SN74LVC3G17DCUR/863652</x:v>
      </x:c>
    </x:row>
    <x:row r="132" ht="44" customHeight="1">
      <x:c r="A132" s="17" t="str">
        <x:v>OF0126</x:v>
      </x:c>
      <x:c r="B132" s="17" t="str">
        <x:v>SRP1265A-220M</x:v>
      </x:c>
      <x:c r="C132" s="17" t="str">
        <x:v>DigiKey</x:v>
      </x:c>
      <x:c r="D132" s="17" t="str">
        <x:v>Not stated</x:v>
      </x:c>
      <x:c r="E132" s="24" t="d">
        <x:v>2026-10-12T11:28:25.478Z</x:v>
      </x:c>
      <x:c r="F132" s="18" t="n">
        <x:v>1</x:v>
      </x:c>
      <x:c r="G132" s="18" t="n">
        <x:v>1</x:v>
      </x:c>
      <x:c r="H132" s="18" t="n">
        <x:v>5520</x:v>
      </x:c>
      <x:c r="I132" s="18" t="n">
        <x:v>25</x:v>
      </x:c>
      <x:c r="J132" s="25" t="n">
        <x:v>1.27</x:v>
      </x:c>
      <x:c r="K132" s="25" t="n">
        <x:v>0</x:v>
      </x:c>
      <x:c r="L132" s="26" t="str">
        <x:v>Active</x:v>
      </x:c>
      <x:c r="M132" s="26" t="str">
        <x:v>Not independently stated in this supplement</x:v>
      </x:c>
      <x:c r="N132" s="23" t="b">
        <x:v>0</x:v>
      </x:c>
      <x:c r="O132" s="2" t="str">
        <x:v>Unreserved inventory snapshot</x:v>
      </x:c>
      <x:c r="P132" s="2"/>
      <x:c r="Q132" s="2" t="str">
        <x:v>https://www.digikey.com/en/products/detail/bourns-inc/SRP1265A-220M/4876624</x:v>
      </x:c>
    </x:row>
    <x:row r="133" ht="44" customHeight="1">
      <x:c r="A133" s="17" t="str">
        <x:v>OF0127</x:v>
      </x:c>
      <x:c r="B133" s="17" t="str">
        <x:v>SRP5030TA-2R2M</x:v>
      </x:c>
      <x:c r="C133" s="17" t="str">
        <x:v>DigiKey</x:v>
      </x:c>
      <x:c r="D133" s="17" t="str">
        <x:v>Not stated</x:v>
      </x:c>
      <x:c r="E133" s="24" t="d">
        <x:v>2026-10-12T11:28:25.478Z</x:v>
      </x:c>
      <x:c r="F133" s="18" t="n">
        <x:v>1</x:v>
      </x:c>
      <x:c r="G133" s="18" t="n">
        <x:v>1</x:v>
      </x:c>
      <x:c r="H133" s="18" t="n">
        <x:v>7030</x:v>
      </x:c>
      <x:c r="I133" s="18" t="n">
        <x:v>100</x:v>
      </x:c>
      <x:c r="J133" s="25" t="n">
        <x:v>0.7012</x:v>
      </x:c>
      <x:c r="K133" s="25" t="n">
        <x:v>0</x:v>
      </x:c>
      <x:c r="L133" s="26" t="str">
        <x:v>Active</x:v>
      </x:c>
      <x:c r="M133" s="26" t="str">
        <x:v>Not independently stated in this supplement</x:v>
      </x:c>
      <x:c r="N133" s="23" t="b">
        <x:v>0</x:v>
      </x:c>
      <x:c r="O133" s="2" t="str">
        <x:v>Unreserved inventory snapshot</x:v>
      </x:c>
      <x:c r="P133" s="2"/>
      <x:c r="Q133" s="2" t="str">
        <x:v>https://www.digikey.com/en/products/detail/bourns-inc/SRP5030TA-2R2M/5429671</x:v>
      </x:c>
    </x:row>
    <x:row r="134" ht="44" customHeight="1">
      <x:c r="A134" s="17" t="str">
        <x:v>OF0128</x:v>
      </x:c>
      <x:c r="B134" s="17" t="str">
        <x:v>SRP6030CA-2R2M</x:v>
      </x:c>
      <x:c r="C134" s="17" t="str">
        <x:v>DigiKey</x:v>
      </x:c>
      <x:c r="D134" s="17" t="str">
        <x:v>Not stated</x:v>
      </x:c>
      <x:c r="E134" s="24" t="d">
        <x:v>2026-10-12T11:28:25.469Z</x:v>
      </x:c>
      <x:c r="F134" s="18" t="n">
        <x:v>1</x:v>
      </x:c>
      <x:c r="G134" s="18" t="n">
        <x:v>1</x:v>
      </x:c>
      <x:c r="H134" s="18" t="n">
        <x:v>5195</x:v>
      </x:c>
      <x:c r="I134" s="18" t="n">
        <x:v>25</x:v>
      </x:c>
      <x:c r="J134" s="25" t="n">
        <x:v>1.204</x:v>
      </x:c>
      <x:c r="K134" s="25" t="n">
        <x:v>0</x:v>
      </x:c>
      <x:c r="L134" s="26" t="str">
        <x:v>Active</x:v>
      </x:c>
      <x:c r="M134" s="26" t="str">
        <x:v>Not independently stated in this supplement</x:v>
      </x:c>
      <x:c r="N134" s="23" t="b">
        <x:v>0</x:v>
      </x:c>
      <x:c r="O134" s="2" t="str">
        <x:v>Unreserved inventory snapshot</x:v>
      </x:c>
      <x:c r="P134" s="2"/>
      <x:c r="Q134" s="2" t="str">
        <x:v>https://www.digikey.com/en/products/detail/bourns-inc/SRP6030CA-2R2M/9351038</x:v>
      </x:c>
    </x:row>
    <x:row r="135" ht="44" customHeight="1">
      <x:c r="A135" s="17" t="str">
        <x:v>OF0129</x:v>
      </x:c>
      <x:c r="B135" s="17" t="str">
        <x:v>SS-7188S-A-NF</x:v>
      </x:c>
      <x:c r="C135" s="17" t="str">
        <x:v>DigiKey</x:v>
      </x:c>
      <x:c r="D135" s="17" t="str">
        <x:v>Not stated</x:v>
      </x:c>
      <x:c r="E135" s="24" t="d">
        <x:v>2026-10-12T11:28:25.472Z</x:v>
      </x:c>
      <x:c r="F135" s="18" t="n">
        <x:v>1</x:v>
      </x:c>
      <x:c r="G135" s="18" t="n">
        <x:v>1</x:v>
      </x:c>
      <x:c r="H135" s="18" t="n">
        <x:v>5038</x:v>
      </x:c>
      <x:c r="I135" s="18" t="n">
        <x:v>10</x:v>
      </x:c>
      <x:c r="J135" s="25" t="n">
        <x:v>2.36</x:v>
      </x:c>
      <x:c r="K135" s="25" t="n">
        <x:v>0</x:v>
      </x:c>
      <x:c r="L135" s="26" t="str">
        <x:v>Active</x:v>
      </x:c>
      <x:c r="M135" s="26" t="str">
        <x:v>Not independently stated in this supplement</x:v>
      </x:c>
      <x:c r="N135" s="23" t="b">
        <x:v>0</x:v>
      </x:c>
      <x:c r="O135" s="2" t="str">
        <x:v>Unreserved inventory snapshot</x:v>
      </x:c>
      <x:c r="P135" s="2"/>
      <x:c r="Q135" s="2" t="str">
        <x:v>https://www.digikey.com/en/products/detail/stewart-connector/SS-7188S-A-NF/388309</x:v>
      </x:c>
    </x:row>
    <x:row r="136" ht="44" customHeight="1">
      <x:c r="A136" s="17" t="str">
        <x:v>OF0130</x:v>
      </x:c>
      <x:c r="B136" s="17" t="str">
        <x:v>ST4SI3M004600HFW</x:v>
      </x:c>
      <x:c r="C136" s="17" t="str">
        <x:v>DigiKey</x:v>
      </x:c>
      <x:c r="D136" s="17" t="str">
        <x:v>Not stated</x:v>
      </x:c>
      <x:c r="E136" s="24" t="d">
        <x:v>2026-10-12T11:28:25.472Z</x:v>
      </x:c>
      <x:c r="F136" s="18" t="n">
        <x:v>1</x:v>
      </x:c>
      <x:c r="G136" s="18" t="n">
        <x:v>1</x:v>
      </x:c>
      <x:c r="H136" s="18" t="n">
        <x:v>978</x:v>
      </x:c>
      <x:c r="I136" s="18" t="n">
        <x:v>25</x:v>
      </x:c>
      <x:c r="J136" s="25" t="n">
        <x:v>3.2436</x:v>
      </x:c>
      <x:c r="K136" s="25" t="n">
        <x:v>0</x:v>
      </x:c>
      <x:c r="L136" s="26" t="str">
        <x:v>Active</x:v>
      </x:c>
      <x:c r="M136" s="26" t="str">
        <x:v>Not independently stated in this supplement</x:v>
      </x:c>
      <x:c r="N136" s="23" t="b">
        <x:v>0</x:v>
      </x:c>
      <x:c r="O136" s="2" t="str">
        <x:v>Unreserved inventory snapshot</x:v>
      </x:c>
      <x:c r="P136" s="2"/>
      <x:c r="Q136" s="2" t="str">
        <x:v>https://www.digikey.com/en/products/detail/stmicroelectronics/ST4SI3M004600HFW/27684322</x:v>
      </x:c>
    </x:row>
    <x:row r="137" ht="44" customHeight="1">
      <x:c r="A137" s="17" t="str">
        <x:v>OF0131</x:v>
      </x:c>
      <x:c r="B137" s="17" t="str">
        <x:v>TLV7011DBVR</x:v>
      </x:c>
      <x:c r="C137" s="17" t="str">
        <x:v>LCSC</x:v>
      </x:c>
      <x:c r="D137" s="17" t="str">
        <x:v>C702117</x:v>
      </x:c>
      <x:c r="E137" s="24" t="d">
        <x:v>2026-10-12T10:44:21.887Z</x:v>
      </x:c>
      <x:c r="F137" s="18" t="n">
        <x:v>1</x:v>
      </x:c>
      <x:c r="G137" s="18" t="n">
        <x:v>1</x:v>
      </x:c>
      <x:c r="H137" s="18" t="n">
        <x:v>7083</x:v>
      </x:c>
      <x:c r="I137" s="18" t="n">
        <x:v>10</x:v>
      </x:c>
      <x:c r="J137" s="25" t="n">
        <x:v>0.4402</x:v>
      </x:c>
      <x:c r="K137" s="25" t="n">
        <x:v>0</x:v>
      </x:c>
      <x:c r="L137" s="26" t="str">
        <x:v>Not stated by captured product payload</x:v>
      </x:c>
      <x:c r="M137" s="26" t="str">
        <x:v>ACTIVE</x:v>
      </x:c>
      <x:c r="N137" s="23" t="b">
        <x:v>0</x:v>
      </x:c>
      <x:c r="O137" s="2" t="str">
        <x:v>Unreserved inventory snapshot</x:v>
      </x:c>
      <x:c r="P137" s="2"/>
      <x:c r="Q137" s="2" t="str">
        <x:v>https://www.lcsc.com/product-detail/C702117.html</x:v>
      </x:c>
    </x:row>
    <x:row r="138" ht="44" customHeight="1">
      <x:c r="A138" s="17" t="str">
        <x:v>OF0132</x:v>
      </x:c>
      <x:c r="B138" s="17" t="str">
        <x:v>TMP102AIDRLR</x:v>
      </x:c>
      <x:c r="C138" s="17" t="str">
        <x:v>LCSC</x:v>
      </x:c>
      <x:c r="D138" s="17" t="str">
        <x:v>C99269</x:v>
      </x:c>
      <x:c r="E138" s="24" t="d">
        <x:v>2026-10-12T10:44:22.025Z</x:v>
      </x:c>
      <x:c r="F138" s="18" t="n">
        <x:v>1</x:v>
      </x:c>
      <x:c r="G138" s="18" t="n">
        <x:v>1</x:v>
      </x:c>
      <x:c r="H138" s="18" t="n">
        <x:v>37099</x:v>
      </x:c>
      <x:c r="I138" s="18" t="n">
        <x:v>10</x:v>
      </x:c>
      <x:c r="J138" s="25" t="n">
        <x:v>0.6314</x:v>
      </x:c>
      <x:c r="K138" s="25" t="n">
        <x:v>0</x:v>
      </x:c>
      <x:c r="L138" s="26" t="str">
        <x:v>Not stated by captured product payload</x:v>
      </x:c>
      <x:c r="M138" s="26" t="str">
        <x:v>ACTIVE</x:v>
      </x:c>
      <x:c r="N138" s="23" t="b">
        <x:v>0</x:v>
      </x:c>
      <x:c r="O138" s="2" t="str">
        <x:v>Unreserved inventory snapshot</x:v>
      </x:c>
      <x:c r="P138" s="2"/>
      <x:c r="Q138" s="2" t="str">
        <x:v>https://www.lcsc.com/product-detail/C99269.html</x:v>
      </x:c>
    </x:row>
    <x:row r="139" ht="44" customHeight="1">
      <x:c r="A139" s="17" t="str">
        <x:v>OF0133</x:v>
      </x:c>
      <x:c r="B139" s="17" t="str">
        <x:v>TMUX1511PWR</x:v>
      </x:c>
      <x:c r="C139" s="17" t="str">
        <x:v>LCSC</x:v>
      </x:c>
      <x:c r="D139" s="17" t="str">
        <x:v>C2866750</x:v>
      </x:c>
      <x:c r="E139" s="24" t="d">
        <x:v>2026-10-12T10:44:22.322Z</x:v>
      </x:c>
      <x:c r="F139" s="18" t="n">
        <x:v>1</x:v>
      </x:c>
      <x:c r="G139" s="18" t="n">
        <x:v>1</x:v>
      </x:c>
      <x:c r="H139" s="18" t="n">
        <x:v>8282</x:v>
      </x:c>
      <x:c r="I139" s="18" t="n">
        <x:v>30</x:v>
      </x:c>
      <x:c r="J139" s="25" t="n">
        <x:v>0.3305</x:v>
      </x:c>
      <x:c r="K139" s="25" t="n">
        <x:v>0</x:v>
      </x:c>
      <x:c r="L139" s="26" t="str">
        <x:v>Not stated by captured product payload</x:v>
      </x:c>
      <x:c r="M139" s="26" t="str">
        <x:v>ACTIVE</x:v>
      </x:c>
      <x:c r="N139" s="23" t="b">
        <x:v>0</x:v>
      </x:c>
      <x:c r="O139" s="2" t="str">
        <x:v>Unreserved inventory snapshot</x:v>
      </x:c>
      <x:c r="P139" s="2"/>
      <x:c r="Q139" s="2" t="str">
        <x:v>https://www.lcsc.com/product-detail/C2866750.html</x:v>
      </x:c>
    </x:row>
    <x:row r="140" ht="44" customHeight="1">
      <x:c r="A140" s="17" t="str">
        <x:v>OF0134</x:v>
      </x:c>
      <x:c r="B140" s="17" t="str">
        <x:v>TNPW0402100KBEED</x:v>
      </x:c>
      <x:c r="C140" s="17" t="str">
        <x:v>DigiKey</x:v>
      </x:c>
      <x:c r="D140" s="17" t="str">
        <x:v>Not stated</x:v>
      </x:c>
      <x:c r="E140" s="24" t="d">
        <x:v>2026-10-12T11:28:25.472Z</x:v>
      </x:c>
      <x:c r="F140" s="18" t="n">
        <x:v>1</x:v>
      </x:c>
      <x:c r="G140" s="18" t="n">
        <x:v>1</x:v>
      </x:c>
      <x:c r="H140" s="18" t="n">
        <x:v>244638</x:v>
      </x:c>
      <x:c r="I140" s="18" t="n">
        <x:v>50</x:v>
      </x:c>
      <x:c r="J140" s="25" t="n">
        <x:v>0.1918</x:v>
      </x:c>
      <x:c r="K140" s="25" t="n">
        <x:v>0</x:v>
      </x:c>
      <x:c r="L140" s="26" t="str">
        <x:v>Active</x:v>
      </x:c>
      <x:c r="M140" s="26" t="str">
        <x:v>Not independently stated in this supplement</x:v>
      </x:c>
      <x:c r="N140" s="23" t="b">
        <x:v>0</x:v>
      </x:c>
      <x:c r="O140" s="2" t="str">
        <x:v>Unreserved inventory snapshot</x:v>
      </x:c>
      <x:c r="P140" s="2"/>
      <x:c r="Q140" s="2" t="str">
        <x:v>https://www.digikey.com/en/products/detail/vishay-dale/TNPW0402100KBEED/1857037</x:v>
      </x:c>
    </x:row>
    <x:row r="141" ht="44" customHeight="1">
      <x:c r="A141" s="17" t="str">
        <x:v>OF0135</x:v>
      </x:c>
      <x:c r="B141" s="17" t="str">
        <x:v>TNPW040210K0BEED</x:v>
      </x:c>
      <x:c r="C141" s="17" t="str">
        <x:v>LCSC</x:v>
      </x:c>
      <x:c r="D141" s="17" t="str">
        <x:v>C844452</x:v>
      </x:c>
      <x:c r="E141" s="24" t="d">
        <x:v>2026-10-12T10:44:22.524Z</x:v>
      </x:c>
      <x:c r="F141" s="18" t="n">
        <x:v>10</x:v>
      </x:c>
      <x:c r="G141" s="18" t="n">
        <x:v>10</x:v>
      </x:c>
      <x:c r="H141" s="18" t="n">
        <x:v>44520</x:v>
      </x:c>
      <x:c r="I141" s="18" t="n">
        <x:v>300</x:v>
      </x:c>
      <x:c r="J141" s="25" t="n">
        <x:v>0.0538</x:v>
      </x:c>
      <x:c r="K141" s="25" t="n">
        <x:v>0</x:v>
      </x:c>
      <x:c r="L141" s="26" t="str">
        <x:v>Not stated by captured product payload</x:v>
      </x:c>
      <x:c r="M141" s="26" t="str">
        <x:v>Not independently stated in this supplement</x:v>
      </x:c>
      <x:c r="N141" s="23" t="b">
        <x:v>0</x:v>
      </x:c>
      <x:c r="O141" s="2" t="str">
        <x:v>Unreserved inventory snapshot</x:v>
      </x:c>
      <x:c r="P141" s="2"/>
      <x:c r="Q141" s="2" t="str">
        <x:v>https://www.lcsc.com/product-detail/C844452.html</x:v>
      </x:c>
    </x:row>
    <x:row r="142" ht="44" customHeight="1">
      <x:c r="A142" s="17" t="str">
        <x:v>OF0136</x:v>
      </x:c>
      <x:c r="B142" s="17" t="str">
        <x:v>TNPW04021K24BEED</x:v>
      </x:c>
      <x:c r="C142" s="17" t="str">
        <x:v>DigiKey</x:v>
      </x:c>
      <x:c r="D142" s="17" t="str">
        <x:v>Not stated</x:v>
      </x:c>
      <x:c r="E142" s="24" t="d">
        <x:v>2026-10-12T11:28:25.464Z</x:v>
      </x:c>
      <x:c r="F142" s="18" t="n">
        <x:v>1</x:v>
      </x:c>
      <x:c r="G142" s="18" t="n">
        <x:v>1</x:v>
      </x:c>
      <x:c r="H142" s="18" t="n">
        <x:v>9768</x:v>
      </x:c>
      <x:c r="I142" s="18" t="n">
        <x:v>10</x:v>
      </x:c>
      <x:c r="J142" s="25" t="n">
        <x:v>0.219</x:v>
      </x:c>
      <x:c r="K142" s="25" t="n">
        <x:v>0</x:v>
      </x:c>
      <x:c r="L142" s="26" t="str">
        <x:v>Active</x:v>
      </x:c>
      <x:c r="M142" s="26" t="str">
        <x:v>Not independently stated in this supplement</x:v>
      </x:c>
      <x:c r="N142" s="23" t="b">
        <x:v>0</x:v>
      </x:c>
      <x:c r="O142" s="2" t="str">
        <x:v>Unreserved inventory snapshot</x:v>
      </x:c>
      <x:c r="P142" s="2"/>
      <x:c r="Q142" s="2" t="str">
        <x:v>https://www.digikey.com/en/products/detail/vishay-dale/TNPW04021K24BEED/4876054</x:v>
      </x:c>
    </x:row>
    <x:row r="143" ht="44" customHeight="1">
      <x:c r="A143" s="17" t="str">
        <x:v>OF0137</x:v>
      </x:c>
      <x:c r="B143" s="17" t="str">
        <x:v>TNPW04024K87BEED</x:v>
      </x:c>
      <x:c r="C143" s="17" t="str">
        <x:v>DigiKey</x:v>
      </x:c>
      <x:c r="D143" s="17" t="str">
        <x:v>Not stated</x:v>
      </x:c>
      <x:c r="E143" s="24" t="d">
        <x:v>2026-10-12T11:28:25.464Z</x:v>
      </x:c>
      <x:c r="F143" s="18" t="n">
        <x:v>1</x:v>
      </x:c>
      <x:c r="G143" s="18" t="n">
        <x:v>1</x:v>
      </x:c>
      <x:c r="H143" s="18" t="n">
        <x:v>8176</x:v>
      </x:c>
      <x:c r="I143" s="18" t="n">
        <x:v>10</x:v>
      </x:c>
      <x:c r="J143" s="25" t="n">
        <x:v>0.219</x:v>
      </x:c>
      <x:c r="K143" s="25" t="n">
        <x:v>0</x:v>
      </x:c>
      <x:c r="L143" s="26" t="str">
        <x:v>Active</x:v>
      </x:c>
      <x:c r="M143" s="26" t="str">
        <x:v>Not independently stated in this supplement</x:v>
      </x:c>
      <x:c r="N143" s="23" t="b">
        <x:v>0</x:v>
      </x:c>
      <x:c r="O143" s="2" t="str">
        <x:v>Unreserved inventory snapshot</x:v>
      </x:c>
      <x:c r="P143" s="2"/>
      <x:c r="Q143" s="2" t="str">
        <x:v>https://www.digikey.com/en/products/detail/vishay-dale/TNPW04024K87BEED/2217770</x:v>
      </x:c>
    </x:row>
    <x:row r="144" ht="44" customHeight="1">
      <x:c r="A144" s="17" t="str">
        <x:v>OF0138</x:v>
      </x:c>
      <x:c r="B144" s="17" t="str">
        <x:v>TNPW0603100KBEEA</x:v>
      </x:c>
      <x:c r="C144" s="17" t="str">
        <x:v>DigiKey</x:v>
      </x:c>
      <x:c r="D144" s="17" t="str">
        <x:v>Not stated</x:v>
      </x:c>
      <x:c r="E144" s="24" t="d">
        <x:v>2026-10-12T11:28:25.464Z</x:v>
      </x:c>
      <x:c r="F144" s="18" t="n">
        <x:v>1</x:v>
      </x:c>
      <x:c r="G144" s="18" t="n">
        <x:v>1</x:v>
      </x:c>
      <x:c r="H144" s="18" t="n">
        <x:v>88719</x:v>
      </x:c>
      <x:c r="I144" s="18" t="n">
        <x:v>10</x:v>
      </x:c>
      <x:c r="J144" s="25" t="n">
        <x:v>0.219</x:v>
      </x:c>
      <x:c r="K144" s="25" t="n">
        <x:v>0</x:v>
      </x:c>
      <x:c r="L144" s="26" t="str">
        <x:v>Active</x:v>
      </x:c>
      <x:c r="M144" s="26" t="str">
        <x:v>Not independently stated in this supplement</x:v>
      </x:c>
      <x:c r="N144" s="23" t="b">
        <x:v>0</x:v>
      </x:c>
      <x:c r="O144" s="2" t="str">
        <x:v>Unreserved inventory snapshot</x:v>
      </x:c>
      <x:c r="P144" s="2"/>
      <x:c r="Q144" s="2" t="str">
        <x:v>https://www.digikey.com/en/products/detail/vishay-dale/TNPW0603100KBEEA/1857055</x:v>
      </x:c>
    </x:row>
    <x:row r="145" ht="44" customHeight="1">
      <x:c r="A145" s="17" t="str">
        <x:v>OF0139</x:v>
      </x:c>
      <x:c r="B145" s="17" t="str">
        <x:v>TPD1E05U06DPYR</x:v>
      </x:c>
      <x:c r="C145" s="17" t="str">
        <x:v>DigiKey</x:v>
      </x:c>
      <x:c r="D145" s="17" t="str">
        <x:v>Not stated</x:v>
      </x:c>
      <x:c r="E145" s="24" t="d">
        <x:v>2026-10-12T11:28:25.464Z</x:v>
      </x:c>
      <x:c r="F145" s="18" t="n">
        <x:v>1</x:v>
      </x:c>
      <x:c r="G145" s="18" t="n">
        <x:v>1</x:v>
      </x:c>
      <x:c r="H145" s="18" t="n">
        <x:v>590494</x:v>
      </x:c>
      <x:c r="I145" s="18" t="n">
        <x:v>50</x:v>
      </x:c>
      <x:c r="J145" s="25" t="n">
        <x:v>0.1928</x:v>
      </x:c>
      <x:c r="K145" s="25" t="n">
        <x:v>0</x:v>
      </x:c>
      <x:c r="L145" s="26" t="str">
        <x:v>Active</x:v>
      </x:c>
      <x:c r="M145" s="26" t="str">
        <x:v>Not independently stated in this supplement</x:v>
      </x:c>
      <x:c r="N145" s="23" t="b">
        <x:v>0</x:v>
      </x:c>
      <x:c r="O145" s="2" t="str">
        <x:v>Unreserved inventory snapshot</x:v>
      </x:c>
      <x:c r="P145" s="2"/>
      <x:c r="Q145" s="2" t="str">
        <x:v>https://www.digikey.com/en/products/detail/texas-instruments/TPD1E05U06DPYR/3844805</x:v>
      </x:c>
    </x:row>
    <x:row r="146" ht="44" customHeight="1">
      <x:c r="A146" s="17" t="str">
        <x:v>OF0140</x:v>
      </x:c>
      <x:c r="B146" s="17" t="str">
        <x:v>TPD4E1U06DBVR</x:v>
      </x:c>
      <x:c r="C146" s="17" t="str">
        <x:v>DigiKey</x:v>
      </x:c>
      <x:c r="D146" s="17" t="str">
        <x:v>Not stated</x:v>
      </x:c>
      <x:c r="E146" s="24" t="d">
        <x:v>2026-10-12T11:28:25.469Z</x:v>
      </x:c>
      <x:c r="F146" s="18" t="n">
        <x:v>1</x:v>
      </x:c>
      <x:c r="G146" s="18" t="n">
        <x:v>1</x:v>
      </x:c>
      <x:c r="H146" s="18" t="n">
        <x:v>28706</x:v>
      </x:c>
      <x:c r="I146" s="18" t="n">
        <x:v>10</x:v>
      </x:c>
      <x:c r="J146" s="25" t="n">
        <x:v>0.587</x:v>
      </x:c>
      <x:c r="K146" s="25" t="n">
        <x:v>0</x:v>
      </x:c>
      <x:c r="L146" s="26" t="str">
        <x:v>Active</x:v>
      </x:c>
      <x:c r="M146" s="26" t="str">
        <x:v>Not independently stated in this supplement</x:v>
      </x:c>
      <x:c r="N146" s="23" t="b">
        <x:v>0</x:v>
      </x:c>
      <x:c r="O146" s="2" t="str">
        <x:v>Unreserved inventory snapshot</x:v>
      </x:c>
      <x:c r="P146" s="2"/>
      <x:c r="Q146" s="2" t="str">
        <x:v>https://www.digikey.com/en/products/detail/texas-instruments/TPD4E1U06DBVR/3929533</x:v>
      </x:c>
    </x:row>
    <x:row r="147" ht="44" customHeight="1">
      <x:c r="A147" s="17" t="str">
        <x:v>OF0141</x:v>
      </x:c>
      <x:c r="B147" s="17" t="str">
        <x:v>TPS2490DGSR</x:v>
      </x:c>
      <x:c r="C147" s="17" t="str">
        <x:v>LCSC</x:v>
      </x:c>
      <x:c r="D147" s="17" t="str">
        <x:v>C139631</x:v>
      </x:c>
      <x:c r="E147" s="24" t="d">
        <x:v>2026-10-12T10:44:22.631Z</x:v>
      </x:c>
      <x:c r="F147" s="18" t="n">
        <x:v>1</x:v>
      </x:c>
      <x:c r="G147" s="18" t="n">
        <x:v>1</x:v>
      </x:c>
      <x:c r="H147" s="18" t="n">
        <x:v>3000</x:v>
      </x:c>
      <x:c r="I147" s="18" t="n">
        <x:v>10</x:v>
      </x:c>
      <x:c r="J147" s="25" t="n">
        <x:v>2.9487</x:v>
      </x:c>
      <x:c r="K147" s="25" t="n">
        <x:v>0</x:v>
      </x:c>
      <x:c r="L147" s="26" t="str">
        <x:v>Not stated by captured product payload</x:v>
      </x:c>
      <x:c r="M147" s="26" t="str">
        <x:v>ACTIVE</x:v>
      </x:c>
      <x:c r="N147" s="23" t="b">
        <x:v>0</x:v>
      </x:c>
      <x:c r="O147" s="2" t="str">
        <x:v>Unreserved inventory snapshot</x:v>
      </x:c>
      <x:c r="P147" s="2"/>
      <x:c r="Q147" s="2" t="str">
        <x:v>https://www.lcsc.com/product-detail/C139631.html</x:v>
      </x:c>
    </x:row>
    <x:row r="148" ht="44" customHeight="1">
      <x:c r="A148" s="17" t="str">
        <x:v>OF0142</x:v>
      </x:c>
      <x:c r="B148" s="17" t="str">
        <x:v>TPS2553DBVR-1</x:v>
      </x:c>
      <x:c r="C148" s="17" t="str">
        <x:v>LCSC</x:v>
      </x:c>
      <x:c r="D148" s="17" t="str">
        <x:v>C111738</x:v>
      </x:c>
      <x:c r="E148" s="24" t="d">
        <x:v>2026-10-12T10:44:22.778Z</x:v>
      </x:c>
      <x:c r="F148" s="18" t="n">
        <x:v>5</x:v>
      </x:c>
      <x:c r="G148" s="18" t="n">
        <x:v>5</x:v>
      </x:c>
      <x:c r="H148" s="18" t="n">
        <x:v>12040</x:v>
      </x:c>
      <x:c r="I148" s="18" t="n">
        <x:v>5</x:v>
      </x:c>
      <x:c r="J148" s="25" t="n">
        <x:v>0.2955</x:v>
      </x:c>
      <x:c r="K148" s="25" t="n">
        <x:v>0</x:v>
      </x:c>
      <x:c r="L148" s="26" t="str">
        <x:v>Not stated by captured product payload</x:v>
      </x:c>
      <x:c r="M148" s="26" t="str">
        <x:v>ACTIVE</x:v>
      </x:c>
      <x:c r="N148" s="23" t="b">
        <x:v>0</x:v>
      </x:c>
      <x:c r="O148" s="2" t="str">
        <x:v>Unreserved inventory snapshot</x:v>
      </x:c>
      <x:c r="P148" s="2"/>
      <x:c r="Q148" s="2" t="str">
        <x:v>https://www.lcsc.com/product-detail/C111738.html</x:v>
      </x:c>
    </x:row>
    <x:row r="149" ht="44" customHeight="1">
      <x:c r="A149" s="17" t="str">
        <x:v>OF0143</x:v>
      </x:c>
      <x:c r="B149" s="17" t="str">
        <x:v>TPS259474ARPWR</x:v>
      </x:c>
      <x:c r="C149" s="17" t="str">
        <x:v>LCSC</x:v>
      </x:c>
      <x:c r="D149" s="17" t="str">
        <x:v>C3662807</x:v>
      </x:c>
      <x:c r="E149" s="24" t="d">
        <x:v>2026-10-12T10:44:22.992Z</x:v>
      </x:c>
      <x:c r="F149" s="18" t="n">
        <x:v>1</x:v>
      </x:c>
      <x:c r="G149" s="18" t="n">
        <x:v>1</x:v>
      </x:c>
      <x:c r="H149" s="18" t="n">
        <x:v>208</x:v>
      </x:c>
      <x:c r="I149" s="18" t="n">
        <x:v>10</x:v>
      </x:c>
      <x:c r="J149" s="25" t="n">
        <x:v>2.2666</x:v>
      </x:c>
      <x:c r="K149" s="25" t="n">
        <x:v>0</x:v>
      </x:c>
      <x:c r="L149" s="26" t="str">
        <x:v>Not stated by captured product payload</x:v>
      </x:c>
      <x:c r="M149" s="26" t="str">
        <x:v>ACTIVE</x:v>
      </x:c>
      <x:c r="N149" s="23" t="b">
        <x:v>0</x:v>
      </x:c>
      <x:c r="O149" s="2" t="str">
        <x:v>Unreserved inventory snapshot</x:v>
      </x:c>
      <x:c r="P149" s="2"/>
      <x:c r="Q149" s="2" t="str">
        <x:v>https://www.lcsc.com/product-detail/C3662807.html</x:v>
      </x:c>
    </x:row>
    <x:row r="150" ht="44" customHeight="1">
      <x:c r="A150" s="17" t="str">
        <x:v>OF0144</x:v>
      </x:c>
      <x:c r="B150" s="17" t="str">
        <x:v>TPS259474LRPWR</x:v>
      </x:c>
      <x:c r="C150" s="17" t="str">
        <x:v>DigiKey</x:v>
      </x:c>
      <x:c r="D150" s="17" t="str">
        <x:v>Not stated</x:v>
      </x:c>
      <x:c r="E150" s="24" t="d">
        <x:v>2026-10-12T11:28:25.467Z</x:v>
      </x:c>
      <x:c r="F150" s="18" t="n">
        <x:v>1</x:v>
      </x:c>
      <x:c r="G150" s="18" t="n">
        <x:v>1</x:v>
      </x:c>
      <x:c r="H150" s="18" t="n">
        <x:v>39724</x:v>
      </x:c>
      <x:c r="I150" s="18" t="n">
        <x:v>25</x:v>
      </x:c>
      <x:c r="J150" s="25" t="n">
        <x:v>1.3056</x:v>
      </x:c>
      <x:c r="K150" s="25" t="n">
        <x:v>0</x:v>
      </x:c>
      <x:c r="L150" s="26" t="str">
        <x:v>Active</x:v>
      </x:c>
      <x:c r="M150" s="26" t="str">
        <x:v>Not independently stated in this supplement</x:v>
      </x:c>
      <x:c r="N150" s="23" t="b">
        <x:v>0</x:v>
      </x:c>
      <x:c r="O150" s="2" t="str">
        <x:v>Unreserved inventory snapshot</x:v>
      </x:c>
      <x:c r="P150" s="2"/>
      <x:c r="Q150" s="2" t="str">
        <x:v>https://www.digikey.com/en/products/detail/texas-instruments/TPS259474LRPWR/14123976</x:v>
      </x:c>
    </x:row>
    <x:row r="151" ht="44" customHeight="1">
      <x:c r="A151" s="17" t="str">
        <x:v>OF0145</x:v>
      </x:c>
      <x:c r="B151" s="17" t="str">
        <x:v>TPS3435CAKAGDDFR</x:v>
      </x:c>
      <x:c r="C151" s="17" t="str">
        <x:v>DigiKey</x:v>
      </x:c>
      <x:c r="D151" s="17" t="str">
        <x:v>Not stated</x:v>
      </x:c>
      <x:c r="E151" s="24" t="d">
        <x:v>2026-10-12T11:28:25.484Z</x:v>
      </x:c>
      <x:c r="F151" s="18" t="n">
        <x:v>1</x:v>
      </x:c>
      <x:c r="G151" s="18" t="n">
        <x:v>1</x:v>
      </x:c>
      <x:c r="H151" s="18" t="n">
        <x:v>5443</x:v>
      </x:c>
      <x:c r="I151" s="18" t="n">
        <x:v>25</x:v>
      </x:c>
      <x:c r="J151" s="25" t="n">
        <x:v>1.6488</x:v>
      </x:c>
      <x:c r="K151" s="25" t="n">
        <x:v>0</x:v>
      </x:c>
      <x:c r="L151" s="26" t="str">
        <x:v>Active</x:v>
      </x:c>
      <x:c r="M151" s="26" t="str">
        <x:v>Not independently stated in this supplement</x:v>
      </x:c>
      <x:c r="N151" s="23" t="b">
        <x:v>0</x:v>
      </x:c>
      <x:c r="O151" s="2" t="str">
        <x:v>Unreserved inventory snapshot</x:v>
      </x:c>
      <x:c r="P151" s="2"/>
      <x:c r="Q151" s="2" t="str">
        <x:v>https://www.digikey.com/en/products/detail/texas-instruments/TPS3435CAKAGDDFR/17748491</x:v>
      </x:c>
    </x:row>
    <x:row r="152" ht="44" customHeight="1">
      <x:c r="A152" s="17" t="str">
        <x:v>OF0146</x:v>
      </x:c>
      <x:c r="B152" s="17" t="str">
        <x:v>TPS3700DDCR</x:v>
      </x:c>
      <x:c r="C152" s="17" t="str">
        <x:v>LCSC</x:v>
      </x:c>
      <x:c r="D152" s="17" t="str">
        <x:v>C33002</x:v>
      </x:c>
      <x:c r="E152" s="24" t="d">
        <x:v>2026-10-12T10:44:23.256Z</x:v>
      </x:c>
      <x:c r="F152" s="18" t="n">
        <x:v>1</x:v>
      </x:c>
      <x:c r="G152" s="18" t="n">
        <x:v>1</x:v>
      </x:c>
      <x:c r="H152" s="18" t="n">
        <x:v>13826</x:v>
      </x:c>
      <x:c r="I152" s="18" t="n">
        <x:v>10</x:v>
      </x:c>
      <x:c r="J152" s="25" t="n">
        <x:v>1.1833</x:v>
      </x:c>
      <x:c r="K152" s="25" t="n">
        <x:v>0</x:v>
      </x:c>
      <x:c r="L152" s="26" t="str">
        <x:v>Not stated by captured product payload</x:v>
      </x:c>
      <x:c r="M152" s="26" t="str">
        <x:v>ACTIVE</x:v>
      </x:c>
      <x:c r="N152" s="23" t="b">
        <x:v>0</x:v>
      </x:c>
      <x:c r="O152" s="2" t="str">
        <x:v>Unreserved inventory snapshot</x:v>
      </x:c>
      <x:c r="P152" s="2"/>
      <x:c r="Q152" s="2" t="str">
        <x:v>https://www.lcsc.com/product-detail/C33002.html</x:v>
      </x:c>
    </x:row>
    <x:row r="153" ht="44" customHeight="1">
      <x:c r="A153" s="17" t="str">
        <x:v>OF0147</x:v>
      </x:c>
      <x:c r="B153" s="17" t="str">
        <x:v>TPS3808G01DBVR</x:v>
      </x:c>
      <x:c r="C153" s="17" t="str">
        <x:v>LCSC</x:v>
      </x:c>
      <x:c r="D153" s="17" t="str">
        <x:v>C19653</x:v>
      </x:c>
      <x:c r="E153" s="24" t="d">
        <x:v>2026-10-12T10:44:23.424Z</x:v>
      </x:c>
      <x:c r="F153" s="18" t="n">
        <x:v>5</x:v>
      </x:c>
      <x:c r="G153" s="18" t="n">
        <x:v>5</x:v>
      </x:c>
      <x:c r="H153" s="18" t="n">
        <x:v>15495</x:v>
      </x:c>
      <x:c r="I153" s="18" t="n">
        <x:v>50</x:v>
      </x:c>
      <x:c r="J153" s="25" t="n">
        <x:v>0.3427</x:v>
      </x:c>
      <x:c r="K153" s="25" t="n">
        <x:v>0</x:v>
      </x:c>
      <x:c r="L153" s="26" t="str">
        <x:v>Not stated by captured product payload</x:v>
      </x:c>
      <x:c r="M153" s="26" t="str">
        <x:v>ACTIVE</x:v>
      </x:c>
      <x:c r="N153" s="23" t="b">
        <x:v>0</x:v>
      </x:c>
      <x:c r="O153" s="2" t="str">
        <x:v>Unreserved inventory snapshot</x:v>
      </x:c>
      <x:c r="P153" s="2"/>
      <x:c r="Q153" s="2" t="str">
        <x:v>https://www.lcsc.com/product-detail/C19653.html</x:v>
      </x:c>
    </x:row>
    <x:row r="154" ht="44" customHeight="1">
      <x:c r="A154" s="17" t="str">
        <x:v>OF0148</x:v>
      </x:c>
      <x:c r="B154" s="17" t="str">
        <x:v>TPS3808G33DBVR</x:v>
      </x:c>
      <x:c r="C154" s="17" t="str">
        <x:v>LCSC</x:v>
      </x:c>
      <x:c r="D154" s="17" t="str">
        <x:v>C43698</x:v>
      </x:c>
      <x:c r="E154" s="24" t="d">
        <x:v>2026-10-12T10:44:23.612Z</x:v>
      </x:c>
      <x:c r="F154" s="18" t="n">
        <x:v>1</x:v>
      </x:c>
      <x:c r="G154" s="18" t="n">
        <x:v>1</x:v>
      </x:c>
      <x:c r="H154" s="18" t="n">
        <x:v>23019</x:v>
      </x:c>
      <x:c r="I154" s="18" t="n">
        <x:v>10</x:v>
      </x:c>
      <x:c r="J154" s="25" t="n">
        <x:v>0.3387</x:v>
      </x:c>
      <x:c r="K154" s="25" t="n">
        <x:v>0</x:v>
      </x:c>
      <x:c r="L154" s="26" t="str">
        <x:v>Not stated by captured product payload</x:v>
      </x:c>
      <x:c r="M154" s="26" t="str">
        <x:v>ACTIVE</x:v>
      </x:c>
      <x:c r="N154" s="23" t="b">
        <x:v>0</x:v>
      </x:c>
      <x:c r="O154" s="2" t="str">
        <x:v>Unreserved inventory snapshot</x:v>
      </x:c>
      <x:c r="P154" s="2"/>
      <x:c r="Q154" s="2" t="str">
        <x:v>https://www.lcsc.com/product-detail/C43698.html</x:v>
      </x:c>
    </x:row>
    <x:row r="155" ht="44" customHeight="1">
      <x:c r="A155" s="17" t="str">
        <x:v>OF0149</x:v>
      </x:c>
      <x:c r="B155" s="17" t="str">
        <x:v>TPS389001DSER</x:v>
      </x:c>
      <x:c r="C155" s="17" t="str">
        <x:v>DigiKey</x:v>
      </x:c>
      <x:c r="D155" s="17" t="str">
        <x:v>Not stated</x:v>
      </x:c>
      <x:c r="E155" s="24" t="d">
        <x:v>2026-10-12T11:28:25.467Z</x:v>
      </x:c>
      <x:c r="F155" s="18" t="n">
        <x:v>1</x:v>
      </x:c>
      <x:c r="G155" s="18" t="n">
        <x:v>1</x:v>
      </x:c>
      <x:c r="H155" s="18" t="n">
        <x:v>26260</x:v>
      </x:c>
      <x:c r="I155" s="18" t="n">
        <x:v>25</x:v>
      </x:c>
      <x:c r="J155" s="25" t="n">
        <x:v>1.2648</x:v>
      </x:c>
      <x:c r="K155" s="25" t="n">
        <x:v>0</x:v>
      </x:c>
      <x:c r="L155" s="26" t="str">
        <x:v>Active</x:v>
      </x:c>
      <x:c r="M155" s="26" t="str">
        <x:v>Not independently stated in this supplement</x:v>
      </x:c>
      <x:c r="N155" s="23" t="b">
        <x:v>0</x:v>
      </x:c>
      <x:c r="O155" s="2" t="str">
        <x:v>Unreserved inventory snapshot</x:v>
      </x:c>
      <x:c r="P155" s="2"/>
      <x:c r="Q155" s="2" t="str">
        <x:v>https://www.digikey.com/en/products/detail/texas-instruments/TPS389001DSER/6123505</x:v>
      </x:c>
    </x:row>
    <x:row r="156" ht="44" customHeight="1">
      <x:c r="A156" s="17" t="str">
        <x:v>OF0150</x:v>
      </x:c>
      <x:c r="B156" s="17" t="str">
        <x:v>TPS62912RPUR</x:v>
      </x:c>
      <x:c r="C156" s="17" t="str">
        <x:v>LCSC</x:v>
      </x:c>
      <x:c r="D156" s="17" t="str">
        <x:v>C3198056</x:v>
      </x:c>
      <x:c r="E156" s="24" t="d">
        <x:v>2026-10-12T10:44:23.717Z</x:v>
      </x:c>
      <x:c r="F156" s="18" t="n">
        <x:v>1</x:v>
      </x:c>
      <x:c r="G156" s="18" t="n">
        <x:v>1</x:v>
      </x:c>
      <x:c r="H156" s="18" t="n">
        <x:v>902</x:v>
      </x:c>
      <x:c r="I156" s="18" t="n">
        <x:v>30</x:v>
      </x:c>
      <x:c r="J156" s="25" t="n">
        <x:v>3.116</x:v>
      </x:c>
      <x:c r="K156" s="25" t="n">
        <x:v>0</x:v>
      </x:c>
      <x:c r="L156" s="26" t="str">
        <x:v>Not stated by captured product payload</x:v>
      </x:c>
      <x:c r="M156" s="26" t="str">
        <x:v>ACTIVE</x:v>
      </x:c>
      <x:c r="N156" s="23" t="b">
        <x:v>0</x:v>
      </x:c>
      <x:c r="O156" s="2" t="str">
        <x:v>Unreserved inventory snapshot</x:v>
      </x:c>
      <x:c r="P156" s="2"/>
      <x:c r="Q156" s="2" t="str">
        <x:v>https://www.lcsc.com/product-detail/C3198056.html</x:v>
      </x:c>
    </x:row>
    <x:row r="157" ht="44" customHeight="1">
      <x:c r="A157" s="17" t="str">
        <x:v>OF0151</x:v>
      </x:c>
      <x:c r="B157" s="17" t="str">
        <x:v>TPS7A2033PDBVR</x:v>
      </x:c>
      <x:c r="C157" s="17" t="str">
        <x:v>LCSC</x:v>
      </x:c>
      <x:c r="D157" s="17" t="str">
        <x:v>C2862740</x:v>
      </x:c>
      <x:c r="E157" s="24" t="d">
        <x:v>2026-10-12T10:44:23.862Z</x:v>
      </x:c>
      <x:c r="F157" s="18" t="n">
        <x:v>5</x:v>
      </x:c>
      <x:c r="G157" s="18" t="n">
        <x:v>5</x:v>
      </x:c>
      <x:c r="H157" s="18" t="n">
        <x:v>179995</x:v>
      </x:c>
      <x:c r="I157" s="18" t="n">
        <x:v>5</x:v>
      </x:c>
      <x:c r="J157" s="25" t="n">
        <x:v>0.2175</x:v>
      </x:c>
      <x:c r="K157" s="25" t="n">
        <x:v>0</x:v>
      </x:c>
      <x:c r="L157" s="26" t="str">
        <x:v>Not stated by captured product payload</x:v>
      </x:c>
      <x:c r="M157" s="26" t="str">
        <x:v>ACTIVE</x:v>
      </x:c>
      <x:c r="N157" s="23" t="b">
        <x:v>0</x:v>
      </x:c>
      <x:c r="O157" s="2" t="str">
        <x:v>Unreserved inventory snapshot</x:v>
      </x:c>
      <x:c r="P157" s="2"/>
      <x:c r="Q157" s="2" t="str">
        <x:v>https://www.lcsc.com/product-detail/C2862740.html</x:v>
      </x:c>
    </x:row>
    <x:row r="158" ht="44" customHeight="1">
      <x:c r="A158" s="17" t="str">
        <x:v>OF0152</x:v>
      </x:c>
      <x:c r="B158" s="17" t="str">
        <x:v>TVS0500DRVR</x:v>
      </x:c>
      <x:c r="C158" s="17" t="str">
        <x:v>DigiKey</x:v>
      </x:c>
      <x:c r="D158" s="17" t="str">
        <x:v>Not stated</x:v>
      </x:c>
      <x:c r="E158" s="24" t="d">
        <x:v>2026-10-12T11:28:25.468Z</x:v>
      </x:c>
      <x:c r="F158" s="18" t="n">
        <x:v>1</x:v>
      </x:c>
      <x:c r="G158" s="18" t="n">
        <x:v>1</x:v>
      </x:c>
      <x:c r="H158" s="18" t="n">
        <x:v>37002</x:v>
      </x:c>
      <x:c r="I158" s="18" t="n">
        <x:v>10</x:v>
      </x:c>
      <x:c r="J158" s="25" t="n">
        <x:v>0.688</x:v>
      </x:c>
      <x:c r="K158" s="25" t="n">
        <x:v>0</x:v>
      </x:c>
      <x:c r="L158" s="26" t="str">
        <x:v>Active</x:v>
      </x:c>
      <x:c r="M158" s="26" t="str">
        <x:v>Not independently stated in this supplement</x:v>
      </x:c>
      <x:c r="N158" s="23" t="b">
        <x:v>0</x:v>
      </x:c>
      <x:c r="O158" s="2" t="str">
        <x:v>Unreserved inventory snapshot</x:v>
      </x:c>
      <x:c r="P158" s="2"/>
      <x:c r="Q158" s="2" t="str">
        <x:v>https://www.digikey.com/en/products/detail/texas-instruments/TVS0500DRVR/8538263</x:v>
      </x:c>
    </x:row>
    <x:row r="159" ht="44" customHeight="1">
      <x:c r="A159" s="17" t="str">
        <x:v>OF0153</x:v>
      </x:c>
      <x:c r="B159" s="17" t="str">
        <x:v>TYPE-C-31-M-12</x:v>
      </x:c>
      <x:c r="C159" s="17" t="str">
        <x:v>LCSC</x:v>
      </x:c>
      <x:c r="D159" s="17" t="str">
        <x:v>C165948</x:v>
      </x:c>
      <x:c r="E159" s="24" t="d">
        <x:v>2026-10-12T10:44:24.103Z</x:v>
      </x:c>
      <x:c r="F159" s="18" t="n">
        <x:v>5</x:v>
      </x:c>
      <x:c r="G159" s="18" t="n">
        <x:v>5</x:v>
      </x:c>
      <x:c r="H159" s="18" t="n">
        <x:v>380675</x:v>
      </x:c>
      <x:c r="I159" s="18" t="n">
        <x:v>5</x:v>
      </x:c>
      <x:c r="J159" s="25" t="n">
        <x:v>0.1879</x:v>
      </x:c>
      <x:c r="K159" s="25" t="n">
        <x:v>0</x:v>
      </x:c>
      <x:c r="L159" s="26" t="str">
        <x:v>Not stated by captured product payload</x:v>
      </x:c>
      <x:c r="M159" s="26" t="str">
        <x:v>Not independently stated in this supplement</x:v>
      </x:c>
      <x:c r="N159" s="23" t="b">
        <x:v>0</x:v>
      </x:c>
      <x:c r="O159" s="2" t="str">
        <x:v>Unreserved inventory snapshot</x:v>
      </x:c>
      <x:c r="P159" s="2"/>
      <x:c r="Q159" s="2" t="str">
        <x:v>https://www.lcsc.com/product-detail/C165948.html</x:v>
      </x:c>
    </x:row>
    <x:row r="160" ht="44" customHeight="1">
      <x:c r="A160" s="17" t="str">
        <x:v>OF0154</x:v>
      </x:c>
      <x:c r="B160" s="17" t="str">
        <x:v>U.FL-R-SMT-1(80)</x:v>
      </x:c>
      <x:c r="C160" s="17" t="str">
        <x:v>LCSC</x:v>
      </x:c>
      <x:c r="D160" s="17" t="str">
        <x:v>C88374</x:v>
      </x:c>
      <x:c r="E160" s="24" t="d">
        <x:v>2026-10-12T10:44:24.257Z</x:v>
      </x:c>
      <x:c r="F160" s="18" t="n">
        <x:v>5</x:v>
      </x:c>
      <x:c r="G160" s="18" t="n">
        <x:v>5</x:v>
      </x:c>
      <x:c r="H160" s="18" t="n">
        <x:v>92510</x:v>
      </x:c>
      <x:c r="I160" s="18" t="n">
        <x:v>5</x:v>
      </x:c>
      <x:c r="J160" s="25" t="n">
        <x:v>0.1149</x:v>
      </x:c>
      <x:c r="K160" s="25" t="n">
        <x:v>0</x:v>
      </x:c>
      <x:c r="L160" s="26" t="str">
        <x:v>Not stated by captured product payload</x:v>
      </x:c>
      <x:c r="M160" s="26" t="str">
        <x:v>Sales Products</x:v>
      </x:c>
      <x:c r="N160" s="23" t="b">
        <x:v>0</x:v>
      </x:c>
      <x:c r="O160" s="2" t="str">
        <x:v>Unreserved inventory snapshot</x:v>
      </x:c>
      <x:c r="P160" s="2"/>
      <x:c r="Q160" s="2" t="str">
        <x:v>https://www.lcsc.com/product-detail/C88374.html</x:v>
      </x:c>
    </x:row>
    <x:row r="161" ht="44" customHeight="1">
      <x:c r="A161" s="17" t="str">
        <x:v>OF0155</x:v>
      </x:c>
      <x:c r="B161" s="17" t="str">
        <x:v>UHW2A330MPD</x:v>
      </x:c>
      <x:c r="C161" s="17" t="str">
        <x:v>DigiKey</x:v>
      </x:c>
      <x:c r="D161" s="17" t="str">
        <x:v>Not stated</x:v>
      </x:c>
      <x:c r="E161" s="24" t="d">
        <x:v>2026-10-12T11:28:25.468Z</x:v>
      </x:c>
      <x:c r="F161" s="18" t="n">
        <x:v>1</x:v>
      </x:c>
      <x:c r="G161" s="18" t="n">
        <x:v>1</x:v>
      </x:c>
      <x:c r="H161" s="18" t="n">
        <x:v>1506</x:v>
      </x:c>
      <x:c r="I161" s="18" t="n">
        <x:v>10</x:v>
      </x:c>
      <x:c r="J161" s="25" t="n">
        <x:v>0.751</x:v>
      </x:c>
      <x:c r="K161" s="25" t="n">
        <x:v>0</x:v>
      </x:c>
      <x:c r="L161" s="26" t="str">
        <x:v>Active</x:v>
      </x:c>
      <x:c r="M161" s="26" t="str">
        <x:v>Not independently stated in this supplement</x:v>
      </x:c>
      <x:c r="N161" s="23" t="b">
        <x:v>0</x:v>
      </x:c>
      <x:c r="O161" s="2" t="str">
        <x:v>Unreserved inventory snapshot</x:v>
      </x:c>
      <x:c r="P161" s="2"/>
      <x:c r="Q161" s="2" t="str">
        <x:v>https://www.digikey.com/en/products/detail/nichicon/UHW2A330MPD/21317756</x:v>
      </x:c>
    </x:row>
    <x:row r="162" ht="44" customHeight="1">
      <x:c r="A162" s="17" t="str">
        <x:v>OF0156</x:v>
      </x:c>
      <x:c r="B162" s="17" t="str">
        <x:v>USBLC6-2P6</x:v>
      </x:c>
      <x:c r="C162" s="17" t="str">
        <x:v>DigiKey</x:v>
      </x:c>
      <x:c r="D162" s="17" t="str">
        <x:v>Not stated</x:v>
      </x:c>
      <x:c r="E162" s="24" t="d">
        <x:v>2026-10-12T11:28:25.484Z</x:v>
      </x:c>
      <x:c r="F162" s="18" t="n">
        <x:v>1</x:v>
      </x:c>
      <x:c r="G162" s="18" t="n">
        <x:v>1</x:v>
      </x:c>
      <x:c r="H162" s="18" t="n">
        <x:v>86297</x:v>
      </x:c>
      <x:c r="I162" s="18" t="n">
        <x:v>10</x:v>
      </x:c>
      <x:c r="J162" s="25" t="n">
        <x:v>0.4</x:v>
      </x:c>
      <x:c r="K162" s="25" t="n">
        <x:v>0</x:v>
      </x:c>
      <x:c r="L162" s="26" t="str">
        <x:v>Active</x:v>
      </x:c>
      <x:c r="M162" s="26" t="str">
        <x:v>Not independently stated in this supplement</x:v>
      </x:c>
      <x:c r="N162" s="23" t="b">
        <x:v>0</x:v>
      </x:c>
      <x:c r="O162" s="2" t="str">
        <x:v>Unreserved inventory snapshot</x:v>
      </x:c>
      <x:c r="P162" s="2"/>
      <x:c r="Q162" s="2" t="str">
        <x:v>https://www.digikey.com/en/products/detail/stmicroelectronics/USBLC6-2P6/1007464</x:v>
      </x:c>
    </x:row>
    <x:row r="163" ht="44" customHeight="1">
      <x:c r="A163" s="17" t="str">
        <x:v>OF0157</x:v>
      </x:c>
      <x:c r="B163" s="17" t="str">
        <x:v>E22-900MM22S</x:v>
      </x:c>
      <x:c r="C163" s="17" t="str">
        <x:v>JLCPCB Parts</x:v>
      </x:c>
      <x:c r="D163" s="17" t="str">
        <x:v>C5333985</x:v>
      </x:c>
      <x:c r="E163" s="24" t="d">
        <x:v>2026-10-12T15:00:30.881Z</x:v>
      </x:c>
      <x:c r="F163" s="18" t="n">
        <x:v>2</x:v>
      </x:c>
      <x:c r="G163" s="18" t="n">
        <x:v>1</x:v>
      </x:c>
      <x:c r="H163" s="18" t="n">
        <x:v>419</x:v>
      </x:c>
      <x:c r="I163" s="18" t="n">
        <x:v>30</x:v>
      </x:c>
      <x:c r="J163" s="25" t="n">
        <x:v>4.8535</x:v>
      </x:c>
      <x:c r="K163" s="25" t="n">
        <x:v>0</x:v>
      </x:c>
      <x:c r="L163" s="26" t="str">
        <x:v>Not stated by captured exact product payload</x:v>
      </x:c>
      <x:c r="M163" s="26" t="str">
        <x:v>Not independently stated in this supplement</x:v>
      </x:c>
      <x:c r="N163" s="23" t="b">
        <x:v>1</x:v>
      </x:c>
      <x:c r="O163" s="2" t="str">
        <x:v>JLC PCBA allocation required</x:v>
      </x:c>
      <x:c r="P163" s="2"/>
      <x:c r="Q163" s="2" t="str">
        <x:v>https://jlcpcb.com/partdetail/E22-900MM22S/C5333985</x:v>
      </x:c>
    </x:row>
    <x:row r="164" ht="44" customHeight="1">
      <x:c r="A164" s="17" t="str">
        <x:v>OF0158</x:v>
      </x:c>
      <x:c r="B164" s="17" t="str">
        <x:v>TMP102AIDRLR</x:v>
      </x:c>
      <x:c r="C164" s="17" t="str">
        <x:v>LCSC</x:v>
      </x:c>
      <x:c r="D164" s="17" t="str">
        <x:v>C99269</x:v>
      </x:c>
      <x:c r="E164" s="24" t="d">
        <x:v>2026-10-12T10:44:22.025Z</x:v>
      </x:c>
      <x:c r="F164" s="18" t="n">
        <x:v>1</x:v>
      </x:c>
      <x:c r="G164" s="18" t="n">
        <x:v>1</x:v>
      </x:c>
      <x:c r="H164" s="18" t="n">
        <x:v>37099</x:v>
      </x:c>
      <x:c r="I164" s="18" t="n">
        <x:v>30</x:v>
      </x:c>
      <x:c r="J164" s="25" t="n">
        <x:v>0.541</x:v>
      </x:c>
      <x:c r="K164" s="25" t="n">
        <x:v>0</x:v>
      </x:c>
      <x:c r="L164" s="26" t="str">
        <x:v>Not stated by captured product payload</x:v>
      </x:c>
      <x:c r="M164" s="26" t="str">
        <x:v>ACTIVE</x:v>
      </x:c>
      <x:c r="N164" s="23" t="b">
        <x:v>0</x:v>
      </x:c>
      <x:c r="O164" s="2" t="str">
        <x:v>Unreserved inventory snapshot</x:v>
      </x:c>
      <x:c r="P164" s="2"/>
      <x:c r="Q164" s="2" t="str">
        <x:v>https://www.lcsc.com/product-detail/C99269.html</x:v>
      </x:c>
    </x:row>
    <x:row r="165" ht="44" customHeight="1">
      <x:c r="A165" s="17" t="str">
        <x:v>OF0159</x:v>
      </x:c>
      <x:c r="B165" s="17" t="str">
        <x:v>0451002.MRL</x:v>
      </x:c>
      <x:c r="C165" s="17" t="str">
        <x:v>LCSC</x:v>
      </x:c>
      <x:c r="D165" s="17" t="str">
        <x:v>C99547</x:v>
      </x:c>
      <x:c r="E165" s="24" t="d">
        <x:v>2026-10-12T10:44:14.670Z</x:v>
      </x:c>
      <x:c r="F165" s="18" t="n">
        <x:v>5</x:v>
      </x:c>
      <x:c r="G165" s="18" t="n">
        <x:v>5</x:v>
      </x:c>
      <x:c r="H165" s="18" t="n">
        <x:v>24355</x:v>
      </x:c>
      <x:c r="I165" s="18" t="n">
        <x:v>50</x:v>
      </x:c>
      <x:c r="J165" s="25" t="n">
        <x:v>0.2717</x:v>
      </x:c>
      <x:c r="K165" s="25" t="n">
        <x:v>0</x:v>
      </x:c>
      <x:c r="L165" s="26" t="str">
        <x:v>Not stated by captured product payload</x:v>
      </x:c>
      <x:c r="M165" s="26" t="str">
        <x:v>Not independently stated in this supplement</x:v>
      </x:c>
      <x:c r="N165" s="23" t="b">
        <x:v>0</x:v>
      </x:c>
      <x:c r="O165" s="2" t="str">
        <x:v>Unreserved inventory snapshot</x:v>
      </x:c>
      <x:c r="P165" s="2"/>
      <x:c r="Q165" s="2" t="str">
        <x:v>https://www.lcsc.com/product-detail/C99547.html</x:v>
      </x:c>
    </x:row>
    <x:row r="166" ht="44" customHeight="1">
      <x:c r="A166" s="17" t="str">
        <x:v>OF0160</x:v>
      </x:c>
      <x:c r="B166" s="17" t="str">
        <x:v>123A-42B02</x:v>
      </x:c>
      <x:c r="C166" s="17" t="str">
        <x:v>DigiKey</x:v>
      </x:c>
      <x:c r="D166" s="17" t="str">
        <x:v>Not stated</x:v>
      </x:c>
      <x:c r="E166" s="24" t="d">
        <x:v>2026-10-12T11:28:25.464Z</x:v>
      </x:c>
      <x:c r="F166" s="18" t="n">
        <x:v>1</x:v>
      </x:c>
      <x:c r="G166" s="18" t="n">
        <x:v>1</x:v>
      </x:c>
      <x:c r="H166" s="18" t="n">
        <x:v>244</x:v>
      </x:c>
      <x:c r="I166" s="18" t="n">
        <x:v>100</x:v>
      </x:c>
      <x:c r="J166" s="25" t="n">
        <x:v>3.717</x:v>
      </x:c>
      <x:c r="K166" s="25" t="n">
        <x:v>0</x:v>
      </x:c>
      <x:c r="L166" s="26" t="str">
        <x:v>Active</x:v>
      </x:c>
      <x:c r="M166" s="26" t="str">
        <x:v>Not independently stated in this supplement</x:v>
      </x:c>
      <x:c r="N166" s="23" t="b">
        <x:v>0</x:v>
      </x:c>
      <x:c r="O166" s="2" t="str">
        <x:v>Unreserved inventory snapshot</x:v>
      </x:c>
      <x:c r="P166" s="2"/>
      <x:c r="Q166" s="2" t="str">
        <x:v>https://www.digikey.com/en/products/detail/attend-technology/123A-42B02/26236331</x:v>
      </x:c>
    </x:row>
    <x:row r="167" ht="44" customHeight="1">
      <x:c r="A167" s="17" t="str">
        <x:v>OF0161</x:v>
      </x:c>
      <x:c r="B167" s="17" t="str">
        <x:v>25SVPK82M</x:v>
      </x:c>
      <x:c r="C167" s="17" t="str">
        <x:v>DigiKey</x:v>
      </x:c>
      <x:c r="D167" s="17" t="str">
        <x:v>Not stated</x:v>
      </x:c>
      <x:c r="E167" s="24" t="d">
        <x:v>2026-10-12T11:28:25.483Z</x:v>
      </x:c>
      <x:c r="F167" s="18" t="n">
        <x:v>1</x:v>
      </x:c>
      <x:c r="G167" s="18" t="n">
        <x:v>1</x:v>
      </x:c>
      <x:c r="H167" s="18" t="n">
        <x:v>581</x:v>
      </x:c>
      <x:c r="I167" s="18" t="n">
        <x:v>100</x:v>
      </x:c>
      <x:c r="J167" s="25" t="n">
        <x:v>0.8876</x:v>
      </x:c>
      <x:c r="K167" s="25" t="n">
        <x:v>0</x:v>
      </x:c>
      <x:c r="L167" s="26" t="str">
        <x:v>Active</x:v>
      </x:c>
      <x:c r="M167" s="26" t="str">
        <x:v>Not independently stated in this supplement</x:v>
      </x:c>
      <x:c r="N167" s="23" t="b">
        <x:v>0</x:v>
      </x:c>
      <x:c r="O167" s="2" t="str">
        <x:v>Unreserved inventory snapshot</x:v>
      </x:c>
      <x:c r="P167" s="2"/>
      <x:c r="Q167" s="2" t="str">
        <x:v>https://www.digikey.com/en/products/detail/panasonic-industry/25SVPK82M/7564851</x:v>
      </x:c>
    </x:row>
    <x:row r="168" ht="44" customHeight="1">
      <x:c r="A168" s="17" t="str">
        <x:v>OF0162</x:v>
      </x:c>
      <x:c r="B168" s="21" t="str">
        <x:v>885012206026</x:v>
      </x:c>
      <x:c r="C168" s="17" t="str">
        <x:v>DigiKey</x:v>
      </x:c>
      <x:c r="D168" s="17" t="str">
        <x:v>Not stated</x:v>
      </x:c>
      <x:c r="E168" s="24" t="d">
        <x:v>2026-10-12T11:28:25.466Z</x:v>
      </x:c>
      <x:c r="F168" s="18" t="n">
        <x:v>1</x:v>
      </x:c>
      <x:c r="G168" s="18" t="n">
        <x:v>1</x:v>
      </x:c>
      <x:c r="H168" s="18" t="n">
        <x:v>34767</x:v>
      </x:c>
      <x:c r="I168" s="18" t="n">
        <x:v>100</x:v>
      </x:c>
      <x:c r="J168" s="25" t="n">
        <x:v>0.0501</x:v>
      </x:c>
      <x:c r="K168" s="25" t="n">
        <x:v>0</x:v>
      </x:c>
      <x:c r="L168" s="26" t="str">
        <x:v>Active</x:v>
      </x:c>
      <x:c r="M168" s="26" t="str">
        <x:v>Not independently stated in this supplement</x:v>
      </x:c>
      <x:c r="N168" s="23" t="b">
        <x:v>0</x:v>
      </x:c>
      <x:c r="O168" s="2" t="str">
        <x:v>Unreserved inventory snapshot</x:v>
      </x:c>
      <x:c r="P168" s="2"/>
      <x:c r="Q168" s="2" t="str">
        <x:v>https://www.digikey.com/en/products/detail/w%C3%BCrth-elektronik/885012206026/5453800</x:v>
      </x:c>
    </x:row>
    <x:row r="169" ht="44" customHeight="1">
      <x:c r="A169" s="17" t="str">
        <x:v>OF0163</x:v>
      </x:c>
      <x:c r="B169" s="21" t="str">
        <x:v>885012207026</x:v>
      </x:c>
      <x:c r="C169" s="17" t="str">
        <x:v>DigiKey</x:v>
      </x:c>
      <x:c r="D169" s="17" t="str">
        <x:v>Exact 885012207026 Cut Tape</x:v>
      </x:c>
      <x:c r="E169" s="24" t="d">
        <x:v>2026-10-12T17:08:59.064Z</x:v>
      </x:c>
      <x:c r="F169" s="18" t="n">
        <x:v>1</x:v>
      </x:c>
      <x:c r="G169" s="18" t="n">
        <x:v>1</x:v>
      </x:c>
      <x:c r="H169" s="18" t="n">
        <x:v>3676</x:v>
      </x:c>
      <x:c r="I169" s="18" t="n">
        <x:v>100</x:v>
      </x:c>
      <x:c r="J169" s="25" t="n">
        <x:v>0.1482</x:v>
      </x:c>
      <x:c r="K169" s="25" t="n">
        <x:v>0</x:v>
      </x:c>
      <x:c r="L169" s="26" t="str">
        <x:v>DigiKey Active; manufacturer catalog Active; datasheet002.000 Valid</x:v>
      </x:c>
      <x:c r="M169" s="26" t="str">
        <x:v>Not independently stated in this supplement</x:v>
      </x:c>
      <x:c r="N169" s="23" t="b">
        <x:v>0</x:v>
      </x:c>
      <x:c r="O169" s="2" t="str">
        <x:v>Unreserved inventory snapshot</x:v>
      </x:c>
      <x:c r="P169" s="2"/>
      <x:c r="Q169" s="2" t="str">
        <x:v>https://www.digikey.com/en/products/detail/w%C3%BCrth-elektronik/885012207026/5454285</x:v>
      </x:c>
    </x:row>
    <x:row r="170" ht="44" customHeight="1">
      <x:c r="A170" s="17" t="str">
        <x:v>OF0164</x:v>
      </x:c>
      <x:c r="B170" s="17" t="str">
        <x:v>9774025243R</x:v>
      </x:c>
      <x:c r="C170" s="17" t="str">
        <x:v>DigiKey</x:v>
      </x:c>
      <x:c r="D170" s="17" t="str">
        <x:v>Not stated</x:v>
      </x:c>
      <x:c r="E170" s="24" t="d">
        <x:v>2026-10-12T11:28:25.471Z</x:v>
      </x:c>
      <x:c r="F170" s="18" t="n">
        <x:v>1</x:v>
      </x:c>
      <x:c r="G170" s="18" t="n">
        <x:v>1</x:v>
      </x:c>
      <x:c r="H170" s="18" t="n">
        <x:v>106480</x:v>
      </x:c>
      <x:c r="I170" s="18" t="n">
        <x:v>100</x:v>
      </x:c>
      <x:c r="J170" s="25" t="n">
        <x:v>0.895</x:v>
      </x:c>
      <x:c r="K170" s="25" t="n">
        <x:v>0</x:v>
      </x:c>
      <x:c r="L170" s="26" t="str">
        <x:v>Active</x:v>
      </x:c>
      <x:c r="M170" s="26" t="str">
        <x:v>Not independently stated in this supplement</x:v>
      </x:c>
      <x:c r="N170" s="23" t="b">
        <x:v>0</x:v>
      </x:c>
      <x:c r="O170" s="2" t="str">
        <x:v>Unreserved inventory snapshot</x:v>
      </x:c>
      <x:c r="P170" s="2"/>
      <x:c r="Q170" s="2" t="str">
        <x:v>https://www.digikey.com/en/products/detail/w%C3%BCrth-elektronik/9774025243R/5320622</x:v>
      </x:c>
    </x:row>
    <x:row r="171" ht="44" customHeight="1">
      <x:c r="A171" s="17" t="str">
        <x:v>OF0165</x:v>
      </x:c>
      <x:c r="B171" s="17" t="str">
        <x:v>ABM8-25.000MHZ-D1X-T</x:v>
      </x:c>
      <x:c r="C171" s="17" t="str">
        <x:v>DigiKey</x:v>
      </x:c>
      <x:c r="D171" s="17" t="str">
        <x:v>Not stated</x:v>
      </x:c>
      <x:c r="E171" s="24" t="d">
        <x:v>2026-10-12T11:28:25.472Z</x:v>
      </x:c>
      <x:c r="F171" s="18" t="n">
        <x:v>1</x:v>
      </x:c>
      <x:c r="G171" s="18" t="n">
        <x:v>1</x:v>
      </x:c>
      <x:c r="H171" s="18" t="n">
        <x:v>338</x:v>
      </x:c>
      <x:c r="I171" s="18" t="n">
        <x:v>100</x:v>
      </x:c>
      <x:c r="J171" s="25" t="n">
        <x:v>0.348</x:v>
      </x:c>
      <x:c r="K171" s="25" t="n">
        <x:v>0</x:v>
      </x:c>
      <x:c r="L171" s="26" t="str">
        <x:v>Active</x:v>
      </x:c>
      <x:c r="M171" s="26" t="str">
        <x:v>Not independently stated in this supplement</x:v>
      </x:c>
      <x:c r="N171" s="23" t="b">
        <x:v>0</x:v>
      </x:c>
      <x:c r="O171" s="2" t="str">
        <x:v>Unreserved inventory snapshot</x:v>
      </x:c>
      <x:c r="P171" s="2"/>
      <x:c r="Q171" s="2" t="str">
        <x:v>https://www.digikey.com/en/products/detail/abracon-llc/ABM8-25-000MHZ-D1X-T/9997887</x:v>
      </x:c>
    </x:row>
    <x:row r="172" ht="44" customHeight="1">
      <x:c r="A172" s="17" t="str">
        <x:v>OF0166</x:v>
      </x:c>
      <x:c r="B172" s="17" t="str">
        <x:v>ABM8-40.000MHZ-10-D1G-T</x:v>
      </x:c>
      <x:c r="C172" s="17" t="str">
        <x:v>DigiKey</x:v>
      </x:c>
      <x:c r="D172" s="17" t="str">
        <x:v>Not stated</x:v>
      </x:c>
      <x:c r="E172" s="24" t="d">
        <x:v>2026-10-12T11:28:25.472Z</x:v>
      </x:c>
      <x:c r="F172" s="18" t="n">
        <x:v>1</x:v>
      </x:c>
      <x:c r="G172" s="18" t="n">
        <x:v>1</x:v>
      </x:c>
      <x:c r="H172" s="18" t="n">
        <x:v>1001</x:v>
      </x:c>
      <x:c r="I172" s="18" t="n">
        <x:v>100</x:v>
      </x:c>
      <x:c r="J172" s="25" t="n">
        <x:v>0.372</x:v>
      </x:c>
      <x:c r="K172" s="25" t="n">
        <x:v>0</x:v>
      </x:c>
      <x:c r="L172" s="26" t="str">
        <x:v>Active</x:v>
      </x:c>
      <x:c r="M172" s="26" t="str">
        <x:v>Not independently stated in this supplement</x:v>
      </x:c>
      <x:c r="N172" s="23" t="b">
        <x:v>0</x:v>
      </x:c>
      <x:c r="O172" s="2" t="str">
        <x:v>Unreserved inventory snapshot</x:v>
      </x:c>
      <x:c r="P172" s="2"/>
      <x:c r="Q172" s="2" t="str">
        <x:v>https://www.digikey.com/en/products/detail/abracon-llc/ABM8-40-000MHZ-10-D1G-T/9997905</x:v>
      </x:c>
    </x:row>
    <x:row r="173" ht="44" customHeight="1">
      <x:c r="A173" s="17" t="str">
        <x:v>OF0167</x:v>
      </x:c>
      <x:c r="B173" s="17" t="str">
        <x:v>AC01000004708JA100</x:v>
      </x:c>
      <x:c r="C173" s="17" t="str">
        <x:v>DigiKey</x:v>
      </x:c>
      <x:c r="D173" s="17" t="str">
        <x:v>Not stated</x:v>
      </x:c>
      <x:c r="E173" s="24" t="d">
        <x:v>2026-10-12T11:28:25.469Z</x:v>
      </x:c>
      <x:c r="F173" s="18" t="n">
        <x:v>1</x:v>
      </x:c>
      <x:c r="G173" s="18" t="n">
        <x:v>1</x:v>
      </x:c>
      <x:c r="H173" s="18" t="n">
        <x:v>384</x:v>
      </x:c>
      <x:c r="I173" s="18" t="n">
        <x:v>100</x:v>
      </x:c>
      <x:c r="J173" s="25" t="n">
        <x:v>0.4531</x:v>
      </x:c>
      <x:c r="K173" s="25" t="n">
        <x:v>0</x:v>
      </x:c>
      <x:c r="L173" s="26" t="str">
        <x:v>Active</x:v>
      </x:c>
      <x:c r="M173" s="26" t="str">
        <x:v>Not independently stated in this supplement</x:v>
      </x:c>
      <x:c r="N173" s="23" t="b">
        <x:v>0</x:v>
      </x:c>
      <x:c r="O173" s="2" t="str">
        <x:v>Unreserved inventory snapshot</x:v>
      </x:c>
      <x:c r="P173" s="2"/>
      <x:c r="Q173" s="2" t="str">
        <x:v>https://www.digikey.com/en/products/detail/vishay/AC01000004708JA100/596586</x:v>
      </x:c>
    </x:row>
    <x:row r="174" ht="44" customHeight="1">
      <x:c r="A174" s="17" t="str">
        <x:v>OF0168</x:v>
      </x:c>
      <x:c r="B174" s="17" t="str">
        <x:v>B3U-1000P</x:v>
      </x:c>
      <x:c r="C174" s="17" t="str">
        <x:v>LCSC</x:v>
      </x:c>
      <x:c r="D174" s="17" t="str">
        <x:v>C231329</x:v>
      </x:c>
      <x:c r="E174" s="24" t="d">
        <x:v>2026-10-12T10:44:14.972Z</x:v>
      </x:c>
      <x:c r="F174" s="18" t="n">
        <x:v>5</x:v>
      </x:c>
      <x:c r="G174" s="18" t="n">
        <x:v>5</x:v>
      </x:c>
      <x:c r="H174" s="18" t="n">
        <x:v>120135</x:v>
      </x:c>
      <x:c r="I174" s="18" t="n">
        <x:v>150</x:v>
      </x:c>
      <x:c r="J174" s="25" t="n">
        <x:v>0.1282</x:v>
      </x:c>
      <x:c r="K174" s="25" t="n">
        <x:v>0</x:v>
      </x:c>
      <x:c r="L174" s="26" t="str">
        <x:v>Not stated by captured product payload</x:v>
      </x:c>
      <x:c r="M174" s="26" t="str">
        <x:v>In production</x:v>
      </x:c>
      <x:c r="N174" s="23" t="b">
        <x:v>0</x:v>
      </x:c>
      <x:c r="O174" s="2" t="str">
        <x:v>Unreserved inventory snapshot</x:v>
      </x:c>
      <x:c r="P174" s="2"/>
      <x:c r="Q174" s="2" t="str">
        <x:v>https://www.lcsc.com/product-detail/C231329.html</x:v>
      </x:c>
    </x:row>
    <x:row r="175" ht="44" customHeight="1">
      <x:c r="A175" s="17" t="str">
        <x:v>OF0169</x:v>
      </x:c>
      <x:c r="B175" s="17" t="str">
        <x:v>BLM18PG330SN1D</x:v>
      </x:c>
      <x:c r="C175" s="17" t="str">
        <x:v>DigiKey</x:v>
      </x:c>
      <x:c r="D175" s="17" t="str">
        <x:v>Not stated</x:v>
      </x:c>
      <x:c r="E175" s="24" t="d">
        <x:v>2026-10-12T11:28:25.478Z</x:v>
      </x:c>
      <x:c r="F175" s="18" t="n">
        <x:v>1</x:v>
      </x:c>
      <x:c r="G175" s="18" t="n">
        <x:v>1</x:v>
      </x:c>
      <x:c r="H175" s="18" t="n">
        <x:v>329009</x:v>
      </x:c>
      <x:c r="I175" s="18" t="n">
        <x:v>100</x:v>
      </x:c>
      <x:c r="J175" s="25" t="n">
        <x:v>0.0457</x:v>
      </x:c>
      <x:c r="K175" s="25" t="n">
        <x:v>0</x:v>
      </x:c>
      <x:c r="L175" s="26" t="str">
        <x:v>Active</x:v>
      </x:c>
      <x:c r="M175" s="26" t="str">
        <x:v>Not independently stated in this supplement</x:v>
      </x:c>
      <x:c r="N175" s="23" t="b">
        <x:v>0</x:v>
      </x:c>
      <x:c r="O175" s="2" t="str">
        <x:v>Unreserved inventory snapshot</x:v>
      </x:c>
      <x:c r="P175" s="2"/>
      <x:c r="Q175" s="2" t="str">
        <x:v>https://www.digikey.com/en/products/detail/murata-electronics/BLM18PG330SN1D/1948325</x:v>
      </x:c>
    </x:row>
    <x:row r="176" ht="44" customHeight="1">
      <x:c r="A176" s="17" t="str">
        <x:v>OF0170</x:v>
      </x:c>
      <x:c r="B176" s="17" t="str">
        <x:v>BZT52C6V2-7-F</x:v>
      </x:c>
      <x:c r="C176" s="17" t="str">
        <x:v>LCSC</x:v>
      </x:c>
      <x:c r="D176" s="17" t="str">
        <x:v>C397931</x:v>
      </x:c>
      <x:c r="E176" s="24" t="d">
        <x:v>2026-10-12T10:44:15.477Z</x:v>
      </x:c>
      <x:c r="F176" s="18" t="n">
        <x:v>10</x:v>
      </x:c>
      <x:c r="G176" s="18" t="n">
        <x:v>10</x:v>
      </x:c>
      <x:c r="H176" s="18" t="n">
        <x:v>18480</x:v>
      </x:c>
      <x:c r="I176" s="18" t="n">
        <x:v>100</x:v>
      </x:c>
      <x:c r="J176" s="25" t="n">
        <x:v>0.038</x:v>
      </x:c>
      <x:c r="K176" s="25" t="n">
        <x:v>0</x:v>
      </x:c>
      <x:c r="L176" s="26" t="str">
        <x:v>Not stated by captured product payload</x:v>
      </x:c>
      <x:c r="M176" s="26" t="str">
        <x:v>Active</x:v>
      </x:c>
      <x:c r="N176" s="23" t="b">
        <x:v>0</x:v>
      </x:c>
      <x:c r="O176" s="2" t="str">
        <x:v>Unreserved inventory snapshot</x:v>
      </x:c>
      <x:c r="P176" s="2"/>
      <x:c r="Q176" s="2" t="str">
        <x:v>https://www.lcsc.com/product-detail/C397931.html</x:v>
      </x:c>
    </x:row>
    <x:row r="177" ht="44" customHeight="1">
      <x:c r="A177" s="17" t="str">
        <x:v>OF0171</x:v>
      </x:c>
      <x:c r="B177" s="17" t="str">
        <x:v>C0402C102K5RACTU</x:v>
      </x:c>
      <x:c r="C177" s="17" t="str">
        <x:v>DigiKey</x:v>
      </x:c>
      <x:c r="D177" s="17" t="str">
        <x:v>Not stated</x:v>
      </x:c>
      <x:c r="E177" s="24" t="d">
        <x:v>2026-10-12T11:28:25.481Z</x:v>
      </x:c>
      <x:c r="F177" s="18" t="n">
        <x:v>1</x:v>
      </x:c>
      <x:c r="G177" s="18" t="n">
        <x:v>1</x:v>
      </x:c>
      <x:c r="H177" s="18" t="n">
        <x:v>1816650</x:v>
      </x:c>
      <x:c r="I177" s="18" t="n">
        <x:v>100</x:v>
      </x:c>
      <x:c r="J177" s="25" t="n">
        <x:v>0.0202</x:v>
      </x:c>
      <x:c r="K177" s="25" t="n">
        <x:v>0</x:v>
      </x:c>
      <x:c r="L177" s="26" t="str">
        <x:v>Active</x:v>
      </x:c>
      <x:c r="M177" s="26" t="str">
        <x:v>Not independently stated in this supplement</x:v>
      </x:c>
      <x:c r="N177" s="23" t="b">
        <x:v>0</x:v>
      </x:c>
      <x:c r="O177" s="2" t="str">
        <x:v>Unreserved inventory snapshot</x:v>
      </x:c>
      <x:c r="P177" s="2"/>
      <x:c r="Q177" s="2" t="str">
        <x:v>https://www.digikey.com/en/products/detail/kemet/C0402C102K5RACTU/411034</x:v>
      </x:c>
    </x:row>
    <x:row r="178" ht="44" customHeight="1">
      <x:c r="A178" s="17" t="str">
        <x:v>OF0172</x:v>
      </x:c>
      <x:c r="B178" s="17" t="str">
        <x:v>C0402C220J5GACTU</x:v>
      </x:c>
      <x:c r="C178" s="17" t="str">
        <x:v>DigiKey</x:v>
      </x:c>
      <x:c r="D178" s="17" t="str">
        <x:v>Not stated</x:v>
      </x:c>
      <x:c r="E178" s="24" t="d">
        <x:v>2026-10-12T11:28:25.478Z</x:v>
      </x:c>
      <x:c r="F178" s="18" t="n">
        <x:v>1</x:v>
      </x:c>
      <x:c r="G178" s="18" t="n">
        <x:v>1</x:v>
      </x:c>
      <x:c r="H178" s="18" t="n">
        <x:v>489655</x:v>
      </x:c>
      <x:c r="I178" s="18" t="n">
        <x:v>100</x:v>
      </x:c>
      <x:c r="J178" s="25" t="n">
        <x:v>0.0234</x:v>
      </x:c>
      <x:c r="K178" s="25" t="n">
        <x:v>0</x:v>
      </x:c>
      <x:c r="L178" s="26" t="str">
        <x:v>Active</x:v>
      </x:c>
      <x:c r="M178" s="26" t="str">
        <x:v>Not independently stated in this supplement</x:v>
      </x:c>
      <x:c r="N178" s="23" t="b">
        <x:v>0</x:v>
      </x:c>
      <x:c r="O178" s="2" t="str">
        <x:v>Unreserved inventory snapshot</x:v>
      </x:c>
      <x:c r="P178" s="2"/>
      <x:c r="Q178" s="2" t="str">
        <x:v>https://www.digikey.com/en/products/detail/kemet/C0402C220J5GACTU/411017</x:v>
      </x:c>
    </x:row>
    <x:row r="179" ht="44" customHeight="1">
      <x:c r="A179" s="17" t="str">
        <x:v>OF0173</x:v>
      </x:c>
      <x:c r="B179" s="17" t="str">
        <x:v>C0402C222K5RACTU</x:v>
      </x:c>
      <x:c r="C179" s="17" t="str">
        <x:v>DigiKey</x:v>
      </x:c>
      <x:c r="D179" s="17" t="str">
        <x:v>Not stated</x:v>
      </x:c>
      <x:c r="E179" s="24" t="d">
        <x:v>2026-10-12T11:28:25.475Z</x:v>
      </x:c>
      <x:c r="F179" s="18" t="n">
        <x:v>1</x:v>
      </x:c>
      <x:c r="G179" s="18" t="n">
        <x:v>1</x:v>
      </x:c>
      <x:c r="H179" s="18" t="n">
        <x:v>100284</x:v>
      </x:c>
      <x:c r="I179" s="18" t="n">
        <x:v>100</x:v>
      </x:c>
      <x:c r="J179" s="25" t="n">
        <x:v>0.0223</x:v>
      </x:c>
      <x:c r="K179" s="25" t="n">
        <x:v>0</x:v>
      </x:c>
      <x:c r="L179" s="26" t="str">
        <x:v>Active</x:v>
      </x:c>
      <x:c r="M179" s="26" t="str">
        <x:v>Not independently stated in this supplement</x:v>
      </x:c>
      <x:c r="N179" s="23" t="b">
        <x:v>0</x:v>
      </x:c>
      <x:c r="O179" s="2" t="str">
        <x:v>Unreserved inventory snapshot</x:v>
      </x:c>
      <x:c r="P179" s="2"/>
      <x:c r="Q179" s="2" t="str">
        <x:v>https://www.digikey.com/en/products/detail/kemet/C0402C222K5RACTU/501970</x:v>
      </x:c>
    </x:row>
    <x:row r="180" ht="44" customHeight="1">
      <x:c r="A180" s="17" t="str">
        <x:v>OF0174</x:v>
      </x:c>
      <x:c r="B180" s="17" t="str">
        <x:v>C0402C330J5GACTU</x:v>
      </x:c>
      <x:c r="C180" s="17" t="str">
        <x:v>DigiKey</x:v>
      </x:c>
      <x:c r="D180" s="17" t="str">
        <x:v>Not stated</x:v>
      </x:c>
      <x:c r="E180" s="24" t="d">
        <x:v>2026-10-12T11:28:25.475Z</x:v>
      </x:c>
      <x:c r="F180" s="18" t="n">
        <x:v>1</x:v>
      </x:c>
      <x:c r="G180" s="18" t="n">
        <x:v>1</x:v>
      </x:c>
      <x:c r="H180" s="18" t="n">
        <x:v>277240</x:v>
      </x:c>
      <x:c r="I180" s="18" t="n">
        <x:v>100</x:v>
      </x:c>
      <x:c r="J180" s="25" t="n">
        <x:v>0.0234</x:v>
      </x:c>
      <x:c r="K180" s="25" t="n">
        <x:v>0</x:v>
      </x:c>
      <x:c r="L180" s="26" t="str">
        <x:v>Active</x:v>
      </x:c>
      <x:c r="M180" s="26" t="str">
        <x:v>Not independently stated in this supplement</x:v>
      </x:c>
      <x:c r="N180" s="23" t="b">
        <x:v>0</x:v>
      </x:c>
      <x:c r="O180" s="2" t="str">
        <x:v>Unreserved inventory snapshot</x:v>
      </x:c>
      <x:c r="P180" s="2"/>
      <x:c r="Q180" s="2" t="str">
        <x:v>https://www.digikey.com/en/products/detail/kemet/C0402C330J5GACTU/411019</x:v>
      </x:c>
    </x:row>
    <x:row r="181" ht="44" customHeight="1">
      <x:c r="A181" s="17" t="str">
        <x:v>OF0175</x:v>
      </x:c>
      <x:c r="B181" s="17" t="str">
        <x:v>C0402C332K5RACTU</x:v>
      </x:c>
      <x:c r="C181" s="17" t="str">
        <x:v>DigiKey</x:v>
      </x:c>
      <x:c r="D181" s="17" t="str">
        <x:v>Not stated</x:v>
      </x:c>
      <x:c r="E181" s="24" t="d">
        <x:v>2026-10-12T11:28:25.475Z</x:v>
      </x:c>
      <x:c r="F181" s="18" t="n">
        <x:v>1</x:v>
      </x:c>
      <x:c r="G181" s="18" t="n">
        <x:v>1</x:v>
      </x:c>
      <x:c r="H181" s="18" t="n">
        <x:v>225921</x:v>
      </x:c>
      <x:c r="I181" s="18" t="n">
        <x:v>100</x:v>
      </x:c>
      <x:c r="J181" s="25" t="n">
        <x:v>0.0275</x:v>
      </x:c>
      <x:c r="K181" s="25" t="n">
        <x:v>0</x:v>
      </x:c>
      <x:c r="L181" s="26" t="str">
        <x:v>Active</x:v>
      </x:c>
      <x:c r="M181" s="26" t="str">
        <x:v>Not independently stated in this supplement</x:v>
      </x:c>
      <x:c r="N181" s="23" t="b">
        <x:v>0</x:v>
      </x:c>
      <x:c r="O181" s="2" t="str">
        <x:v>Unreserved inventory snapshot</x:v>
      </x:c>
      <x:c r="P181" s="2"/>
      <x:c r="Q181" s="2" t="str">
        <x:v>https://www.digikey.com/en/products/detail/kemet/C0402C332K5RACTU/501999</x:v>
      </x:c>
    </x:row>
    <x:row r="182" ht="44" customHeight="1">
      <x:c r="A182" s="17" t="str">
        <x:v>OF0176</x:v>
      </x:c>
      <x:c r="B182" s="17" t="str">
        <x:v>C0402C391J5GACTU</x:v>
      </x:c>
      <x:c r="C182" s="17" t="str">
        <x:v>DigiKey</x:v>
      </x:c>
      <x:c r="D182" s="17" t="str">
        <x:v>Not stated</x:v>
      </x:c>
      <x:c r="E182" s="24" t="d">
        <x:v>2026-10-12T11:28:25.475Z</x:v>
      </x:c>
      <x:c r="F182" s="18" t="n">
        <x:v>1</x:v>
      </x:c>
      <x:c r="G182" s="18" t="n">
        <x:v>1</x:v>
      </x:c>
      <x:c r="H182" s="18" t="n">
        <x:v>32647</x:v>
      </x:c>
      <x:c r="I182" s="18" t="n">
        <x:v>100</x:v>
      </x:c>
      <x:c r="J182" s="25" t="n">
        <x:v>0.2202</x:v>
      </x:c>
      <x:c r="K182" s="25" t="n">
        <x:v>0</x:v>
      </x:c>
      <x:c r="L182" s="26" t="str">
        <x:v>Active</x:v>
      </x:c>
      <x:c r="M182" s="26" t="str">
        <x:v>Not independently stated in this supplement</x:v>
      </x:c>
      <x:c r="N182" s="23" t="b">
        <x:v>0</x:v>
      </x:c>
      <x:c r="O182" s="2" t="str">
        <x:v>Unreserved inventory snapshot</x:v>
      </x:c>
      <x:c r="P182" s="2"/>
      <x:c r="Q182" s="2" t="str">
        <x:v>https://www.digikey.com/en/products/detail/kemet/C0402C391J5GACTU/2196662</x:v>
      </x:c>
    </x:row>
    <x:row r="183" ht="44" customHeight="1">
      <x:c r="A183" s="17" t="str">
        <x:v>OF0177</x:v>
      </x:c>
      <x:c r="B183" s="17" t="str">
        <x:v>C0603C224K4RACTU</x:v>
      </x:c>
      <x:c r="C183" s="17" t="str">
        <x:v>DigiKey</x:v>
      </x:c>
      <x:c r="D183" s="17" t="str">
        <x:v>Not stated</x:v>
      </x:c>
      <x:c r="E183" s="24" t="d">
        <x:v>2026-10-12T11:28:25.475Z</x:v>
      </x:c>
      <x:c r="F183" s="18" t="n">
        <x:v>1</x:v>
      </x:c>
      <x:c r="G183" s="18" t="n">
        <x:v>1</x:v>
      </x:c>
      <x:c r="H183" s="18" t="n">
        <x:v>823</x:v>
      </x:c>
      <x:c r="I183" s="18" t="n">
        <x:v>100</x:v>
      </x:c>
      <x:c r="J183" s="25" t="n">
        <x:v>0.2288</x:v>
      </x:c>
      <x:c r="K183" s="25" t="n">
        <x:v>0</x:v>
      </x:c>
      <x:c r="L183" s="26" t="str">
        <x:v>Active</x:v>
      </x:c>
      <x:c r="M183" s="26" t="str">
        <x:v>Not independently stated in this supplement</x:v>
      </x:c>
      <x:c r="N183" s="23" t="b">
        <x:v>0</x:v>
      </x:c>
      <x:c r="O183" s="2" t="str">
        <x:v>Unreserved inventory snapshot</x:v>
      </x:c>
      <x:c r="P183" s="2"/>
      <x:c r="Q183" s="2" t="str">
        <x:v>https://www.digikey.com/en/products/detail/kemet/C0603C224K4RACTU/2057822</x:v>
      </x:c>
    </x:row>
    <x:row r="184" ht="44" customHeight="1">
      <x:c r="A184" s="17" t="str">
        <x:v>OF0178</x:v>
      </x:c>
      <x:c r="B184" s="17" t="str">
        <x:v>C0805C102JAGACTU</x:v>
      </x:c>
      <x:c r="C184" s="17" t="str">
        <x:v>DigiKey</x:v>
      </x:c>
      <x:c r="D184" s="17" t="str">
        <x:v>Not stated</x:v>
      </x:c>
      <x:c r="E184" s="24" t="d">
        <x:v>2026-10-12T11:28:25.475Z</x:v>
      </x:c>
      <x:c r="F184" s="18" t="n">
        <x:v>1</x:v>
      </x:c>
      <x:c r="G184" s="18" t="n">
        <x:v>1</x:v>
      </x:c>
      <x:c r="H184" s="18" t="n">
        <x:v>6914</x:v>
      </x:c>
      <x:c r="I184" s="18" t="n">
        <x:v>100</x:v>
      </x:c>
      <x:c r="J184" s="25" t="n">
        <x:v>0.2705</x:v>
      </x:c>
      <x:c r="K184" s="25" t="n">
        <x:v>0</x:v>
      </x:c>
      <x:c r="L184" s="26" t="str">
        <x:v>Active</x:v>
      </x:c>
      <x:c r="M184" s="26" t="str">
        <x:v>Not independently stated in this supplement</x:v>
      </x:c>
      <x:c r="N184" s="23" t="b">
        <x:v>0</x:v>
      </x:c>
      <x:c r="O184" s="2" t="str">
        <x:v>Unreserved inventory snapshot</x:v>
      </x:c>
      <x:c r="P184" s="2"/>
      <x:c r="Q184" s="2" t="str">
        <x:v>https://www.digikey.com/en/products/detail/kemet/C0805C102JAGACTU/7382555</x:v>
      </x:c>
    </x:row>
    <x:row r="185" ht="44" customHeight="1">
      <x:c r="A185" s="17" t="str">
        <x:v>OF0179</x:v>
      </x:c>
      <x:c r="B185" s="17" t="str">
        <x:v>C0805C103K1RACTU</x:v>
      </x:c>
      <x:c r="C185" s="17" t="str">
        <x:v>DigiKey</x:v>
      </x:c>
      <x:c r="D185" s="17" t="str">
        <x:v>Not stated</x:v>
      </x:c>
      <x:c r="E185" s="24" t="d">
        <x:v>2026-10-12T11:28:25.475Z</x:v>
      </x:c>
      <x:c r="F185" s="18" t="n">
        <x:v>1</x:v>
      </x:c>
      <x:c r="G185" s="18" t="n">
        <x:v>1</x:v>
      </x:c>
      <x:c r="H185" s="18" t="n">
        <x:v>329236</x:v>
      </x:c>
      <x:c r="I185" s="18" t="n">
        <x:v>100</x:v>
      </x:c>
      <x:c r="J185" s="25" t="n">
        <x:v>0.035</x:v>
      </x:c>
      <x:c r="K185" s="25" t="n">
        <x:v>0</x:v>
      </x:c>
      <x:c r="L185" s="26" t="str">
        <x:v>Active</x:v>
      </x:c>
      <x:c r="M185" s="26" t="str">
        <x:v>Not independently stated in this supplement</x:v>
      </x:c>
      <x:c r="N185" s="23" t="b">
        <x:v>0</x:v>
      </x:c>
      <x:c r="O185" s="2" t="str">
        <x:v>Unreserved inventory snapshot</x:v>
      </x:c>
      <x:c r="P185" s="2"/>
      <x:c r="Q185" s="2" t="str">
        <x:v>https://www.digikey.com/en/products/detail/kemet/C0805C103K1RACTU/411158</x:v>
      </x:c>
    </x:row>
    <x:row r="186" ht="44" customHeight="1">
      <x:c r="A186" s="17" t="str">
        <x:v>OF0180</x:v>
      </x:c>
      <x:c r="B186" s="17" t="str">
        <x:v>C0805C223K1RACTU</x:v>
      </x:c>
      <x:c r="C186" s="17" t="str">
        <x:v>LCSC</x:v>
      </x:c>
      <x:c r="D186" s="17" t="str">
        <x:v>C2178056</x:v>
      </x:c>
      <x:c r="E186" s="24" t="d">
        <x:v>2026-10-12T10:44:15.395Z</x:v>
      </x:c>
      <x:c r="F186" s="18" t="n">
        <x:v>20</x:v>
      </x:c>
      <x:c r="G186" s="18" t="n">
        <x:v>20</x:v>
      </x:c>
      <x:c r="H186" s="18" t="n">
        <x:v>3880</x:v>
      </x:c>
      <x:c r="I186" s="18" t="n">
        <x:v>200</x:v>
      </x:c>
      <x:c r="J186" s="25" t="n">
        <x:v>0.018</x:v>
      </x:c>
      <x:c r="K186" s="25" t="n">
        <x:v>0</x:v>
      </x:c>
      <x:c r="L186" s="26" t="str">
        <x:v>Not stated by captured product payload</x:v>
      </x:c>
      <x:c r="M186" s="26" t="str">
        <x:v>Not independently stated in this supplement</x:v>
      </x:c>
      <x:c r="N186" s="23" t="b">
        <x:v>0</x:v>
      </x:c>
      <x:c r="O186" s="2" t="str">
        <x:v>Unreserved inventory snapshot</x:v>
      </x:c>
      <x:c r="P186" s="2"/>
      <x:c r="Q186" s="2" t="str">
        <x:v>https://www.lcsc.com/product-detail/C2178056.html</x:v>
      </x:c>
    </x:row>
    <x:row r="187" ht="44" customHeight="1">
      <x:c r="A187" s="17" t="str">
        <x:v>OF0181</x:v>
      </x:c>
      <x:c r="B187" s="17" t="str">
        <x:v>C0805C475K4RACTU</x:v>
      </x:c>
      <x:c r="C187" s="17" t="str">
        <x:v>DigiKey</x:v>
      </x:c>
      <x:c r="D187" s="17" t="str">
        <x:v>Not stated</x:v>
      </x:c>
      <x:c r="E187" s="24" t="d">
        <x:v>2026-10-12T11:28:25.477Z</x:v>
      </x:c>
      <x:c r="F187" s="18" t="n">
        <x:v>1</x:v>
      </x:c>
      <x:c r="G187" s="18" t="n">
        <x:v>1</x:v>
      </x:c>
      <x:c r="H187" s="18" t="n">
        <x:v>280009</x:v>
      </x:c>
      <x:c r="I187" s="18" t="n">
        <x:v>100</x:v>
      </x:c>
      <x:c r="J187" s="25" t="n">
        <x:v>0.1347</x:v>
      </x:c>
      <x:c r="K187" s="25" t="n">
        <x:v>0</x:v>
      </x:c>
      <x:c r="L187" s="26" t="str">
        <x:v>Active</x:v>
      </x:c>
      <x:c r="M187" s="26" t="str">
        <x:v>Not independently stated in this supplement</x:v>
      </x:c>
      <x:c r="N187" s="23" t="b">
        <x:v>0</x:v>
      </x:c>
      <x:c r="O187" s="2" t="str">
        <x:v>Unreserved inventory snapshot</x:v>
      </x:c>
      <x:c r="P187" s="2"/>
      <x:c r="Q187" s="2" t="str">
        <x:v>https://www.digikey.com/en/products/detail/kemet/C0805C475K4RACTU/3317449</x:v>
      </x:c>
    </x:row>
    <x:row r="188" ht="44" customHeight="1">
      <x:c r="A188" s="17" t="str">
        <x:v>OF0182</x:v>
      </x:c>
      <x:c r="B188" s="17" t="str">
        <x:v>CGA6N3X7R2A225K230AB</x:v>
      </x:c>
      <x:c r="C188" s="17" t="str">
        <x:v>DigiKey</x:v>
      </x:c>
      <x:c r="D188" s="17" t="str">
        <x:v>Not stated</x:v>
      </x:c>
      <x:c r="E188" s="24" t="d">
        <x:v>2026-10-12T11:28:25.475Z</x:v>
      </x:c>
      <x:c r="F188" s="18" t="n">
        <x:v>1</x:v>
      </x:c>
      <x:c r="G188" s="18" t="n">
        <x:v>1</x:v>
      </x:c>
      <x:c r="H188" s="18" t="n">
        <x:v>31398</x:v>
      </x:c>
      <x:c r="I188" s="18" t="n">
        <x:v>500</x:v>
      </x:c>
      <x:c r="J188" s="25" t="n">
        <x:v>0.44122</x:v>
      </x:c>
      <x:c r="K188" s="25" t="n">
        <x:v>0</x:v>
      </x:c>
      <x:c r="L188" s="26" t="str">
        <x:v>Active</x:v>
      </x:c>
      <x:c r="M188" s="26" t="str">
        <x:v>Not independently stated in this supplement</x:v>
      </x:c>
      <x:c r="N188" s="23" t="b">
        <x:v>0</x:v>
      </x:c>
      <x:c r="O188" s="2" t="str">
        <x:v>Unreserved inventory snapshot</x:v>
      </x:c>
      <x:c r="P188" s="2"/>
      <x:c r="Q188" s="2" t="str">
        <x:v>https://www.digikey.com/en/products/detail/tdk-corporation/CGA6N3X7R2A225K230AB/2443344</x:v>
      </x:c>
    </x:row>
    <x:row r="189" ht="44" customHeight="1">
      <x:c r="A189" s="17" t="str">
        <x:v>OF0183</x:v>
      </x:c>
      <x:c r="B189" s="17" t="str">
        <x:v>CL10B225KP8NNNC</x:v>
      </x:c>
      <x:c r="C189" s="17" t="str">
        <x:v>LCSC</x:v>
      </x:c>
      <x:c r="D189" s="17" t="str">
        <x:v>C100082</x:v>
      </x:c>
      <x:c r="E189" s="24" t="d">
        <x:v>2026-10-12T10:44:15.993Z</x:v>
      </x:c>
      <x:c r="F189" s="18" t="n">
        <x:v>20</x:v>
      </x:c>
      <x:c r="G189" s="18" t="n">
        <x:v>20</x:v>
      </x:c>
      <x:c r="H189" s="18" t="n">
        <x:v>274380</x:v>
      </x:c>
      <x:c r="I189" s="18" t="n">
        <x:v>600</x:v>
      </x:c>
      <x:c r="J189" s="25" t="n">
        <x:v>0.0179</x:v>
      </x:c>
      <x:c r="K189" s="25" t="n">
        <x:v>0</x:v>
      </x:c>
      <x:c r="L189" s="26" t="str">
        <x:v>Not stated by captured product payload</x:v>
      </x:c>
      <x:c r="M189" s="26" t="str">
        <x:v>MassProduction</x:v>
      </x:c>
      <x:c r="N189" s="23" t="b">
        <x:v>0</x:v>
      </x:c>
      <x:c r="O189" s="2" t="str">
        <x:v>Unreserved inventory snapshot</x:v>
      </x:c>
      <x:c r="P189" s="2"/>
      <x:c r="Q189" s="2" t="str">
        <x:v>https://www.lcsc.com/product-detail/C100082.html</x:v>
      </x:c>
    </x:row>
    <x:row r="190" ht="44" customHeight="1">
      <x:c r="A190" s="17" t="str">
        <x:v>OF0184</x:v>
      </x:c>
      <x:c r="B190" s="17" t="str">
        <x:v>CL21B105KBFNNNF</x:v>
      </x:c>
      <x:c r="C190" s="17" t="str">
        <x:v>LCSC</x:v>
      </x:c>
      <x:c r="D190" s="17" t="str">
        <x:v>C16195091</x:v>
      </x:c>
      <x:c r="E190" s="24" t="d">
        <x:v>2026-10-12T17:02:10.378Z</x:v>
      </x:c>
      <x:c r="F190" s="18" t="n">
        <x:v>10</x:v>
      </x:c>
      <x:c r="G190" s="18" t="n">
        <x:v>10</x:v>
      </x:c>
      <x:c r="H190" s="18" t="n">
        <x:v>450</x:v>
      </x:c>
      <x:c r="I190" s="18" t="n">
        <x:v>300</x:v>
      </x:c>
      <x:c r="J190" s="25" t="n">
        <x:v>0.0286</x:v>
      </x:c>
      <x:c r="K190" s="25" t="n">
        <x:v>0</x:v>
      </x:c>
      <x:c r="L190" s="26" t="str">
        <x:v>Mass Production per current Samsung exact primary818</x:v>
      </x:c>
      <x:c r="M190" s="26" t="str">
        <x:v>Not independently stated in this supplement</x:v>
      </x:c>
      <x:c r="N190" s="23" t="b">
        <x:v>0</x:v>
      </x:c>
      <x:c r="O190" s="2" t="str">
        <x:v>Unreserved inventory snapshot</x:v>
      </x:c>
      <x:c r="P190" s="2"/>
      <x:c r="Q190" s="2" t="str">
        <x:v>https://www.lcsc.com/product-detail/C16195091.html</x:v>
      </x:c>
    </x:row>
    <x:row r="191" ht="44" customHeight="1">
      <x:c r="A191" s="17" t="str">
        <x:v>OF0185</x:v>
      </x:c>
      <x:c r="B191" s="17" t="str">
        <x:v>CL32B106KBJZW6E</x:v>
      </x:c>
      <x:c r="C191" s="17" t="str">
        <x:v>DigiKey</x:v>
      </x:c>
      <x:c r="D191" s="17" t="str">
        <x:v>Not stated</x:v>
      </x:c>
      <x:c r="E191" s="24" t="d">
        <x:v>2026-10-12T11:28:25.475Z</x:v>
      </x:c>
      <x:c r="F191" s="18" t="n">
        <x:v>1</x:v>
      </x:c>
      <x:c r="G191" s="18" t="n">
        <x:v>1</x:v>
      </x:c>
      <x:c r="H191" s="18" t="n">
        <x:v>167479</x:v>
      </x:c>
      <x:c r="I191" s="18" t="n">
        <x:v>100</x:v>
      </x:c>
      <x:c r="J191" s="25" t="n">
        <x:v>0.4763</x:v>
      </x:c>
      <x:c r="K191" s="25" t="n">
        <x:v>0</x:v>
      </x:c>
      <x:c r="L191" s="26" t="str">
        <x:v>Active</x:v>
      </x:c>
      <x:c r="M191" s="26" t="str">
        <x:v>Not independently stated in this supplement</x:v>
      </x:c>
      <x:c r="N191" s="23" t="b">
        <x:v>0</x:v>
      </x:c>
      <x:c r="O191" s="2" t="str">
        <x:v>Unreserved inventory snapshot</x:v>
      </x:c>
      <x:c r="P191" s="2"/>
      <x:c r="Q191" s="2" t="str">
        <x:v>https://www.digikey.com/en/products/detail/samsung-electro-mechanics-america-inc/CL32B106KBJZW6E/7320557</x:v>
      </x:c>
    </x:row>
    <x:row r="192" ht="44" customHeight="1">
      <x:c r="A192" s="17" t="str">
        <x:v>OF0186</x:v>
      </x:c>
      <x:c r="B192" s="17" t="str">
        <x:v>CL32B226KAJNNNE</x:v>
      </x:c>
      <x:c r="C192" s="17" t="str">
        <x:v>LCSC</x:v>
      </x:c>
      <x:c r="D192" s="17" t="str">
        <x:v>C309062</x:v>
      </x:c>
      <x:c r="E192" s="24" t="d">
        <x:v>2026-10-12T14:52:12.204Z</x:v>
      </x:c>
      <x:c r="F192" s="18" t="n">
        <x:v>1</x:v>
      </x:c>
      <x:c r="G192" s="18" t="n">
        <x:v>1</x:v>
      </x:c>
      <x:c r="H192" s="18" t="n">
        <x:v>42997</x:v>
      </x:c>
      <x:c r="I192" s="18" t="n">
        <x:v>1000</x:v>
      </x:c>
      <x:c r="J192" s="25" t="n">
        <x:v>0.1611</x:v>
      </x:c>
      <x:c r="K192" s="25" t="n">
        <x:v>0</x:v>
      </x:c>
      <x:c r="L192" s="26" t="str">
        <x:v>Mass Production per Samsung primary</x:v>
      </x:c>
      <x:c r="M192" s="26" t="str">
        <x:v>Not independently stated in this supplement</x:v>
      </x:c>
      <x:c r="N192" s="23" t="b">
        <x:v>0</x:v>
      </x:c>
      <x:c r="O192" s="2" t="str">
        <x:v>Unreserved inventory snapshot</x:v>
      </x:c>
      <x:c r="P192" s="2"/>
      <x:c r="Q192" s="2" t="str">
        <x:v>https://www.lcsc.com/product-detail/C309062.html</x:v>
      </x:c>
    </x:row>
    <x:row r="193" ht="44" customHeight="1">
      <x:c r="A193" s="17" t="str">
        <x:v>OF0187</x:v>
      </x:c>
      <x:c r="B193" s="17" t="str">
        <x:v>CL32B476KPJNNWE</x:v>
      </x:c>
      <x:c r="C193" s="17" t="str">
        <x:v>LCSC</x:v>
      </x:c>
      <x:c r="D193" s="17" t="str">
        <x:v>C2932479</x:v>
      </x:c>
      <x:c r="E193" s="24" t="d">
        <x:v>2026-10-12T15:45:30.280Z</x:v>
      </x:c>
      <x:c r="F193" s="18" t="n">
        <x:v>1</x:v>
      </x:c>
      <x:c r="G193" s="18" t="n">
        <x:v>1</x:v>
      </x:c>
      <x:c r="H193" s="18" t="n">
        <x:v>1284</x:v>
      </x:c>
      <x:c r="I193" s="18" t="n">
        <x:v>100</x:v>
      </x:c>
      <x:c r="J193" s="25" t="n">
        <x:v>0.467</x:v>
      </x:c>
      <x:c r="K193" s="25" t="n">
        <x:v>0</x:v>
      </x:c>
      <x:c r="L193" s="26" t="str">
        <x:v>Mass Production per Samsung current-primary756</x:v>
      </x:c>
      <x:c r="M193" s="26" t="str">
        <x:v>Not independently stated in this supplement</x:v>
      </x:c>
      <x:c r="N193" s="23" t="b">
        <x:v>0</x:v>
      </x:c>
      <x:c r="O193" s="2" t="str">
        <x:v>Unreserved inventory snapshot</x:v>
      </x:c>
      <x:c r="P193" s="2"/>
      <x:c r="Q193" s="2" t="str">
        <x:v>https://www.lcsc.com/product-detail/C2932479.html</x:v>
      </x:c>
    </x:row>
    <x:row r="194" ht="44" customHeight="1">
      <x:c r="A194" s="17" t="str">
        <x:v>OF0188</x:v>
      </x:c>
      <x:c r="B194" s="17" t="str">
        <x:v>CRCW04020000Z0ED</x:v>
      </x:c>
      <x:c r="C194" s="17" t="str">
        <x:v>DigiKey</x:v>
      </x:c>
      <x:c r="D194" s="17" t="str">
        <x:v>Not stated</x:v>
      </x:c>
      <x:c r="E194" s="24" t="d">
        <x:v>2026-10-12T11:28:25.475Z</x:v>
      </x:c>
      <x:c r="F194" s="18" t="n">
        <x:v>1</x:v>
      </x:c>
      <x:c r="G194" s="18" t="n">
        <x:v>1</x:v>
      </x:c>
      <x:c r="H194" s="18" t="n">
        <x:v>3541597</x:v>
      </x:c>
      <x:c r="I194" s="18" t="n">
        <x:v>500</x:v>
      </x:c>
      <x:c r="J194" s="25" t="n">
        <x:v>0.00738</x:v>
      </x:c>
      <x:c r="K194" s="25" t="n">
        <x:v>0</x:v>
      </x:c>
      <x:c r="L194" s="26" t="str">
        <x:v>Active</x:v>
      </x:c>
      <x:c r="M194" s="26" t="str">
        <x:v>Not independently stated in this supplement</x:v>
      </x:c>
      <x:c r="N194" s="23" t="b">
        <x:v>0</x:v>
      </x:c>
      <x:c r="O194" s="2" t="str">
        <x:v>Unreserved inventory snapshot</x:v>
      </x:c>
      <x:c r="P194" s="2"/>
      <x:c r="Q194" s="2" t="str">
        <x:v>https://www.digikey.com/en/products/detail/vishay-dale/CRCW04020000Z0ED/1177495</x:v>
      </x:c>
    </x:row>
    <x:row r="195" ht="44" customHeight="1">
      <x:c r="A195" s="17" t="str">
        <x:v>OF0189</x:v>
      </x:c>
      <x:c r="B195" s="17" t="str">
        <x:v>CRCW0402100KFKED</x:v>
      </x:c>
      <x:c r="C195" s="17" t="str">
        <x:v>LCSC</x:v>
      </x:c>
      <x:c r="D195" s="17" t="str">
        <x:v>C481918</x:v>
      </x:c>
      <x:c r="E195" s="24" t="d">
        <x:v>2026-10-12T10:44:16.418Z</x:v>
      </x:c>
      <x:c r="F195" s="18" t="n">
        <x:v>100</x:v>
      </x:c>
      <x:c r="G195" s="18" t="n">
        <x:v>100</x:v>
      </x:c>
      <x:c r="H195" s="18" t="n">
        <x:v>49900</x:v>
      </x:c>
      <x:c r="I195" s="18" t="n">
        <x:v>1000</x:v>
      </x:c>
      <x:c r="J195" s="25" t="n">
        <x:v>0.0032</x:v>
      </x:c>
      <x:c r="K195" s="25" t="n">
        <x:v>0</x:v>
      </x:c>
      <x:c r="L195" s="26" t="str">
        <x:v>Not stated by captured product payload</x:v>
      </x:c>
      <x:c r="M195" s="26" t="str">
        <x:v>Not independently stated in this supplement</x:v>
      </x:c>
      <x:c r="N195" s="23" t="b">
        <x:v>0</x:v>
      </x:c>
      <x:c r="O195" s="2" t="str">
        <x:v>Unreserved inventory snapshot</x:v>
      </x:c>
      <x:c r="P195" s="2"/>
      <x:c r="Q195" s="2" t="str">
        <x:v>https://www.lcsc.com/product-detail/C481918.html</x:v>
      </x:c>
    </x:row>
    <x:row r="196" ht="44" customHeight="1">
      <x:c r="A196" s="17" t="str">
        <x:v>OF0190</x:v>
      </x:c>
      <x:c r="B196" s="17" t="str">
        <x:v>CRCW0402100RFKED</x:v>
      </x:c>
      <x:c r="C196" s="17" t="str">
        <x:v>DigiKey</x:v>
      </x:c>
      <x:c r="D196" s="17" t="str">
        <x:v>Not stated</x:v>
      </x:c>
      <x:c r="E196" s="24" t="d">
        <x:v>2026-10-12T11:28:25.475Z</x:v>
      </x:c>
      <x:c r="F196" s="18" t="n">
        <x:v>1</x:v>
      </x:c>
      <x:c r="G196" s="18" t="n">
        <x:v>1</x:v>
      </x:c>
      <x:c r="H196" s="18" t="n">
        <x:v>2318138</x:v>
      </x:c>
      <x:c r="I196" s="18" t="n">
        <x:v>250</x:v>
      </x:c>
      <x:c r="J196" s="25" t="n">
        <x:v>0.01228</x:v>
      </x:c>
      <x:c r="K196" s="25" t="n">
        <x:v>0</x:v>
      </x:c>
      <x:c r="L196" s="26" t="str">
        <x:v>Active</x:v>
      </x:c>
      <x:c r="M196" s="26" t="str">
        <x:v>Not independently stated in this supplement</x:v>
      </x:c>
      <x:c r="N196" s="23" t="b">
        <x:v>0</x:v>
      </x:c>
      <x:c r="O196" s="2" t="str">
        <x:v>Unreserved inventory snapshot</x:v>
      </x:c>
      <x:c r="P196" s="2"/>
      <x:c r="Q196" s="2" t="str">
        <x:v>https://www.digikey.com/en/products/detail/vishay-dale/CRCW0402100RFKED/1177893</x:v>
      </x:c>
    </x:row>
    <x:row r="197" ht="44" customHeight="1">
      <x:c r="A197" s="17" t="str">
        <x:v>OF0191</x:v>
      </x:c>
      <x:c r="B197" s="17" t="str">
        <x:v>CRCW040210K0FKED</x:v>
      </x:c>
      <x:c r="C197" s="17" t="str">
        <x:v>LCSC</x:v>
      </x:c>
      <x:c r="D197" s="17" t="str">
        <x:v>C71617</x:v>
      </x:c>
      <x:c r="E197" s="24" t="d">
        <x:v>2026-10-12T10:44:17.050Z</x:v>
      </x:c>
      <x:c r="F197" s="18" t="n">
        <x:v>10</x:v>
      </x:c>
      <x:c r="G197" s="18" t="n">
        <x:v>10</x:v>
      </x:c>
      <x:c r="H197" s="18" t="n">
        <x:v>499990</x:v>
      </x:c>
      <x:c r="I197" s="18" t="n">
        <x:v>1000</x:v>
      </x:c>
      <x:c r="J197" s="25" t="n">
        <x:v>0.002</x:v>
      </x:c>
      <x:c r="K197" s="25" t="n">
        <x:v>0</x:v>
      </x:c>
      <x:c r="L197" s="26" t="str">
        <x:v>Not stated by captured product payload</x:v>
      </x:c>
      <x:c r="M197" s="26" t="str">
        <x:v>Not independently stated in this supplement</x:v>
      </x:c>
      <x:c r="N197" s="23" t="b">
        <x:v>0</x:v>
      </x:c>
      <x:c r="O197" s="2" t="str">
        <x:v>Unreserved inventory snapshot</x:v>
      </x:c>
      <x:c r="P197" s="2"/>
      <x:c r="Q197" s="2" t="str">
        <x:v>https://www.lcsc.com/product-detail/C71617.html</x:v>
      </x:c>
    </x:row>
    <x:row r="198" ht="44" customHeight="1">
      <x:c r="A198" s="17" t="str">
        <x:v>OF0192</x:v>
      </x:c>
      <x:c r="B198" s="17" t="str">
        <x:v>CRCW0402150KFKED</x:v>
      </x:c>
      <x:c r="C198" s="17" t="str">
        <x:v>DigiKey</x:v>
      </x:c>
      <x:c r="D198" s="17" t="str">
        <x:v>Not stated</x:v>
      </x:c>
      <x:c r="E198" s="24" t="d">
        <x:v>2026-10-12T11:28:25.473Z</x:v>
      </x:c>
      <x:c r="F198" s="18" t="n">
        <x:v>1</x:v>
      </x:c>
      <x:c r="G198" s="18" t="n">
        <x:v>1</x:v>
      </x:c>
      <x:c r="H198" s="18" t="n">
        <x:v>198771</x:v>
      </x:c>
      <x:c r="I198" s="18" t="n">
        <x:v>100</x:v>
      </x:c>
      <x:c r="J198" s="25" t="n">
        <x:v>0.0157</x:v>
      </x:c>
      <x:c r="K198" s="25" t="n">
        <x:v>0</x:v>
      </x:c>
      <x:c r="L198" s="26" t="str">
        <x:v>Active</x:v>
      </x:c>
      <x:c r="M198" s="26" t="str">
        <x:v>Not independently stated in this supplement</x:v>
      </x:c>
      <x:c r="N198" s="23" t="b">
        <x:v>0</x:v>
      </x:c>
      <x:c r="O198" s="2" t="str">
        <x:v>Unreserved inventory snapshot</x:v>
      </x:c>
      <x:c r="P198" s="2"/>
      <x:c r="Q198" s="2" t="str">
        <x:v>https://www.digikey.com/en/products/detail/vishay-dale/CRCW0402150KFKED/1178253</x:v>
      </x:c>
    </x:row>
    <x:row r="199" ht="44" customHeight="1">
      <x:c r="A199" s="17" t="str">
        <x:v>OF0193</x:v>
      </x:c>
      <x:c r="B199" s="17" t="str">
        <x:v>CRCW0402150RFKED</x:v>
      </x:c>
      <x:c r="C199" s="17" t="str">
        <x:v>DigiKey</x:v>
      </x:c>
      <x:c r="D199" s="17" t="str">
        <x:v>Not stated</x:v>
      </x:c>
      <x:c r="E199" s="24" t="d">
        <x:v>2026-10-12T11:28:25.473Z</x:v>
      </x:c>
      <x:c r="F199" s="18" t="n">
        <x:v>1</x:v>
      </x:c>
      <x:c r="G199" s="18" t="n">
        <x:v>1</x:v>
      </x:c>
      <x:c r="H199" s="18" t="n">
        <x:v>85136</x:v>
      </x:c>
      <x:c r="I199" s="18" t="n">
        <x:v>100</x:v>
      </x:c>
      <x:c r="J199" s="25" t="n">
        <x:v>0.0157</x:v>
      </x:c>
      <x:c r="K199" s="25" t="n">
        <x:v>0</x:v>
      </x:c>
      <x:c r="L199" s="26" t="str">
        <x:v>Active</x:v>
      </x:c>
      <x:c r="M199" s="26" t="str">
        <x:v>Not independently stated in this supplement</x:v>
      </x:c>
      <x:c r="N199" s="23" t="b">
        <x:v>0</x:v>
      </x:c>
      <x:c r="O199" s="2" t="str">
        <x:v>Unreserved inventory snapshot</x:v>
      </x:c>
      <x:c r="P199" s="2"/>
      <x:c r="Q199" s="2" t="str">
        <x:v>https://www.digikey.com/en/products/detail/vishay-dale/CRCW0402150RFKED/1177911</x:v>
      </x:c>
    </x:row>
    <x:row r="200" ht="44" customHeight="1">
      <x:c r="A200" s="17" t="str">
        <x:v>OF0194</x:v>
      </x:c>
      <x:c r="B200" s="17" t="str">
        <x:v>CRCW040215K0FKED</x:v>
      </x:c>
      <x:c r="C200" s="17" t="str">
        <x:v>DigiKey</x:v>
      </x:c>
      <x:c r="D200" s="17" t="str">
        <x:v>Not stated</x:v>
      </x:c>
      <x:c r="E200" s="24" t="d">
        <x:v>2026-10-12T11:28:25.473Z</x:v>
      </x:c>
      <x:c r="F200" s="18" t="n">
        <x:v>1</x:v>
      </x:c>
      <x:c r="G200" s="18" t="n">
        <x:v>1</x:v>
      </x:c>
      <x:c r="H200" s="18" t="n">
        <x:v>515721</x:v>
      </x:c>
      <x:c r="I200" s="18" t="n">
        <x:v>100</x:v>
      </x:c>
      <x:c r="J200" s="25" t="n">
        <x:v>0.0157</x:v>
      </x:c>
      <x:c r="K200" s="25" t="n">
        <x:v>0</x:v>
      </x:c>
      <x:c r="L200" s="26" t="str">
        <x:v>Active</x:v>
      </x:c>
      <x:c r="M200" s="26" t="str">
        <x:v>Not independently stated in this supplement</x:v>
      </x:c>
      <x:c r="N200" s="23" t="b">
        <x:v>0</x:v>
      </x:c>
      <x:c r="O200" s="2" t="str">
        <x:v>Unreserved inventory snapshot</x:v>
      </x:c>
      <x:c r="P200" s="2"/>
      <x:c r="Q200" s="2" t="str">
        <x:v>https://www.digikey.com/en/products/detail/vishay-dale/CRCW040215K0FKED/1178139</x:v>
      </x:c>
    </x:row>
    <x:row r="201" ht="44" customHeight="1">
      <x:c r="A201" s="17" t="str">
        <x:v>OF0195</x:v>
      </x:c>
      <x:c r="B201" s="17" t="str">
        <x:v>CRCW040218K2FKED</x:v>
      </x:c>
      <x:c r="C201" s="17" t="str">
        <x:v>DigiKey</x:v>
      </x:c>
      <x:c r="D201" s="17" t="str">
        <x:v>Not stated</x:v>
      </x:c>
      <x:c r="E201" s="24" t="d">
        <x:v>2026-10-12T11:28:25.473Z</x:v>
      </x:c>
      <x:c r="F201" s="18" t="n">
        <x:v>1</x:v>
      </x:c>
      <x:c r="G201" s="18" t="n">
        <x:v>1</x:v>
      </x:c>
      <x:c r="H201" s="18" t="n">
        <x:v>140682</x:v>
      </x:c>
      <x:c r="I201" s="18" t="n">
        <x:v>250</x:v>
      </x:c>
      <x:c r="J201" s="25" t="n">
        <x:v>0.01228</x:v>
      </x:c>
      <x:c r="K201" s="25" t="n">
        <x:v>0</x:v>
      </x:c>
      <x:c r="L201" s="26" t="str">
        <x:v>Active</x:v>
      </x:c>
      <x:c r="M201" s="26" t="str">
        <x:v>Not independently stated in this supplement</x:v>
      </x:c>
      <x:c r="N201" s="23" t="b">
        <x:v>0</x:v>
      </x:c>
      <x:c r="O201" s="2" t="str">
        <x:v>Unreserved inventory snapshot</x:v>
      </x:c>
      <x:c r="P201" s="2"/>
      <x:c r="Q201" s="2" t="str">
        <x:v>https://www.digikey.com/en/products/detail/vishay-dale/CRCW040218K2FKED/1183265</x:v>
      </x:c>
    </x:row>
    <x:row r="202" ht="44" customHeight="1">
      <x:c r="A202" s="17" t="str">
        <x:v>OF0196</x:v>
      </x:c>
      <x:c r="B202" s="17" t="str">
        <x:v>CRCW04021K00FKED</x:v>
      </x:c>
      <x:c r="C202" s="17" t="str">
        <x:v>DigiKey</x:v>
      </x:c>
      <x:c r="D202" s="17" t="str">
        <x:v>Not stated</x:v>
      </x:c>
      <x:c r="E202" s="24" t="d">
        <x:v>2026-10-12T11:28:25.477Z</x:v>
      </x:c>
      <x:c r="F202" s="18" t="n">
        <x:v>1</x:v>
      </x:c>
      <x:c r="G202" s="18" t="n">
        <x:v>1</x:v>
      </x:c>
      <x:c r="H202" s="18" t="n">
        <x:v>4776908</x:v>
      </x:c>
      <x:c r="I202" s="18" t="n">
        <x:v>1000</x:v>
      </x:c>
      <x:c r="J202" s="25" t="n">
        <x:v>0.00882</x:v>
      </x:c>
      <x:c r="K202" s="25" t="n">
        <x:v>0</x:v>
      </x:c>
      <x:c r="L202" s="26" t="str">
        <x:v>Active</x:v>
      </x:c>
      <x:c r="M202" s="26" t="str">
        <x:v>Not independently stated in this supplement</x:v>
      </x:c>
      <x:c r="N202" s="23" t="b">
        <x:v>0</x:v>
      </x:c>
      <x:c r="O202" s="2" t="str">
        <x:v>Unreserved inventory snapshot</x:v>
      </x:c>
      <x:c r="P202" s="2"/>
      <x:c r="Q202" s="2" t="str">
        <x:v>https://www.digikey.com/en/products/detail/vishay-dale/CRCW04021K00FKED/1178007</x:v>
      </x:c>
    </x:row>
    <x:row r="203" ht="44" customHeight="1">
      <x:c r="A203" s="17" t="str">
        <x:v>OF0197</x:v>
      </x:c>
      <x:c r="B203" s="17" t="str">
        <x:v>CRCW04021M00FKED</x:v>
      </x:c>
      <x:c r="C203" s="17" t="str">
        <x:v>DigiKey</x:v>
      </x:c>
      <x:c r="D203" s="17" t="str">
        <x:v>Not stated</x:v>
      </x:c>
      <x:c r="E203" s="24" t="d">
        <x:v>2026-10-12T11:28:25.477Z</x:v>
      </x:c>
      <x:c r="F203" s="18" t="n">
        <x:v>1</x:v>
      </x:c>
      <x:c r="G203" s="18" t="n">
        <x:v>1</x:v>
      </x:c>
      <x:c r="H203" s="18" t="n">
        <x:v>1403164</x:v>
      </x:c>
      <x:c r="I203" s="18" t="n">
        <x:v>250</x:v>
      </x:c>
      <x:c r="J203" s="25" t="n">
        <x:v>0.01228</x:v>
      </x:c>
      <x:c r="K203" s="25" t="n">
        <x:v>0</x:v>
      </x:c>
      <x:c r="L203" s="26" t="str">
        <x:v>Active</x:v>
      </x:c>
      <x:c r="M203" s="26" t="str">
        <x:v>Not independently stated in this supplement</x:v>
      </x:c>
      <x:c r="N203" s="23" t="b">
        <x:v>0</x:v>
      </x:c>
      <x:c r="O203" s="2" t="str">
        <x:v>Unreserved inventory snapshot</x:v>
      </x:c>
      <x:c r="P203" s="2"/>
      <x:c r="Q203" s="2" t="str">
        <x:v>https://www.digikey.com/en/products/detail/vishay-dale/CRCW04021M00FKED/1183465</x:v>
      </x:c>
    </x:row>
    <x:row r="204" ht="44" customHeight="1">
      <x:c r="A204" s="17" t="str">
        <x:v>OF0198</x:v>
      </x:c>
      <x:c r="B204" s="17" t="str">
        <x:v>CRCW040220K0FKED</x:v>
      </x:c>
      <x:c r="C204" s="17" t="str">
        <x:v>DigiKey</x:v>
      </x:c>
      <x:c r="D204" s="17" t="str">
        <x:v>Not stated</x:v>
      </x:c>
      <x:c r="E204" s="24" t="d">
        <x:v>2026-10-12T11:28:25.477Z</x:v>
      </x:c>
      <x:c r="F204" s="18" t="n">
        <x:v>1</x:v>
      </x:c>
      <x:c r="G204" s="18" t="n">
        <x:v>1</x:v>
      </x:c>
      <x:c r="H204" s="18" t="n">
        <x:v>878975</x:v>
      </x:c>
      <x:c r="I204" s="18" t="n">
        <x:v>250</x:v>
      </x:c>
      <x:c r="J204" s="25" t="n">
        <x:v>0.01228</x:v>
      </x:c>
      <x:c r="K204" s="25" t="n">
        <x:v>0</x:v>
      </x:c>
      <x:c r="L204" s="26" t="str">
        <x:v>Active</x:v>
      </x:c>
      <x:c r="M204" s="26" t="str">
        <x:v>Not independently stated in this supplement</x:v>
      </x:c>
      <x:c r="N204" s="23" t="b">
        <x:v>0</x:v>
      </x:c>
      <x:c r="O204" s="2" t="str">
        <x:v>Unreserved inventory snapshot</x:v>
      </x:c>
      <x:c r="P204" s="2"/>
      <x:c r="Q204" s="2" t="str">
        <x:v>https://www.digikey.com/en/products/detail/vishay-dale/CRCW040220K0FKED/1178153</x:v>
      </x:c>
    </x:row>
    <x:row r="205" ht="44" customHeight="1">
      <x:c r="A205" s="17" t="str">
        <x:v>OF0199</x:v>
      </x:c>
      <x:c r="B205" s="17" t="str">
        <x:v>CRCW040222R0FKED</x:v>
      </x:c>
      <x:c r="C205" s="17" t="str">
        <x:v>DigiKey</x:v>
      </x:c>
      <x:c r="D205" s="17" t="str">
        <x:v>Not stated</x:v>
      </x:c>
      <x:c r="E205" s="24" t="d">
        <x:v>2026-10-12T11:28:25.477Z</x:v>
      </x:c>
      <x:c r="F205" s="18" t="n">
        <x:v>1</x:v>
      </x:c>
      <x:c r="G205" s="18" t="n">
        <x:v>1</x:v>
      </x:c>
      <x:c r="H205" s="18" t="n">
        <x:v>1344218</x:v>
      </x:c>
      <x:c r="I205" s="18" t="n">
        <x:v>1000</x:v>
      </x:c>
      <x:c r="J205" s="25" t="n">
        <x:v>0.00882</x:v>
      </x:c>
      <x:c r="K205" s="25" t="n">
        <x:v>0</x:v>
      </x:c>
      <x:c r="L205" s="26" t="str">
        <x:v>Active</x:v>
      </x:c>
      <x:c r="M205" s="26" t="str">
        <x:v>Not independently stated in this supplement</x:v>
      </x:c>
      <x:c r="N205" s="23" t="b">
        <x:v>0</x:v>
      </x:c>
      <x:c r="O205" s="2" t="str">
        <x:v>Unreserved inventory snapshot</x:v>
      </x:c>
      <x:c r="P205" s="2"/>
      <x:c r="Q205" s="2" t="str">
        <x:v>https://www.digikey.com/en/products/detail/vishay-dale/CRCW040222R0FKED/1177815</x:v>
      </x:c>
    </x:row>
    <x:row r="206" ht="44" customHeight="1">
      <x:c r="A206" s="17" t="str">
        <x:v>OF0200</x:v>
      </x:c>
      <x:c r="B206" s="17" t="str">
        <x:v>CRCW04022K49FKED</x:v>
      </x:c>
      <x:c r="C206" s="17" t="str">
        <x:v>DigiKey</x:v>
      </x:c>
      <x:c r="D206" s="17" t="str">
        <x:v>Not stated</x:v>
      </x:c>
      <x:c r="E206" s="24" t="d">
        <x:v>2026-10-12T11:28:25.473Z</x:v>
      </x:c>
      <x:c r="F206" s="18" t="n">
        <x:v>1</x:v>
      </x:c>
      <x:c r="G206" s="18" t="n">
        <x:v>1</x:v>
      </x:c>
      <x:c r="H206" s="18" t="n">
        <x:v>261937</x:v>
      </x:c>
      <x:c r="I206" s="18" t="n">
        <x:v>250</x:v>
      </x:c>
      <x:c r="J206" s="25" t="n">
        <x:v>0.01228</x:v>
      </x:c>
      <x:c r="K206" s="25" t="n">
        <x:v>0</x:v>
      </x:c>
      <x:c r="L206" s="26" t="str">
        <x:v>Active</x:v>
      </x:c>
      <x:c r="M206" s="26" t="str">
        <x:v>Not independently stated in this supplement</x:v>
      </x:c>
      <x:c r="N206" s="23" t="b">
        <x:v>0</x:v>
      </x:c>
      <x:c r="O206" s="2" t="str">
        <x:v>Unreserved inventory snapshot</x:v>
      </x:c>
      <x:c r="P206" s="2"/>
      <x:c r="Q206" s="2" t="str">
        <x:v>https://www.digikey.com/en/products/detail/vishay-dale/CRCW04022K49FKED/1183166</x:v>
      </x:c>
    </x:row>
    <x:row r="207" ht="44" customHeight="1">
      <x:c r="A207" s="17" t="str">
        <x:v>OF0201</x:v>
      </x:c>
      <x:c r="B207" s="17" t="str">
        <x:v>CRCW0402499RFKED</x:v>
      </x:c>
      <x:c r="C207" s="17" t="str">
        <x:v>DigiKey</x:v>
      </x:c>
      <x:c r="D207" s="17" t="str">
        <x:v>Not stated</x:v>
      </x:c>
      <x:c r="E207" s="24" t="d">
        <x:v>2026-10-12T11:28:25.473Z</x:v>
      </x:c>
      <x:c r="F207" s="18" t="n">
        <x:v>1</x:v>
      </x:c>
      <x:c r="G207" s="18" t="n">
        <x:v>1</x:v>
      </x:c>
      <x:c r="H207" s="18" t="n">
        <x:v>538356</x:v>
      </x:c>
      <x:c r="I207" s="18" t="n">
        <x:v>100</x:v>
      </x:c>
      <x:c r="J207" s="25" t="n">
        <x:v>0.0157</x:v>
      </x:c>
      <x:c r="K207" s="25" t="n">
        <x:v>0</x:v>
      </x:c>
      <x:c r="L207" s="26" t="str">
        <x:v>Active</x:v>
      </x:c>
      <x:c r="M207" s="26" t="str">
        <x:v>Not independently stated in this supplement</x:v>
      </x:c>
      <x:c r="N207" s="23" t="b">
        <x:v>0</x:v>
      </x:c>
      <x:c r="O207" s="2" t="str">
        <x:v>Unreserved inventory snapshot</x:v>
      </x:c>
      <x:c r="P207" s="2"/>
      <x:c r="Q207" s="2" t="str">
        <x:v>https://www.digikey.com/en/products/detail/vishay-dale/CRCW0402499RFKED/1183088</x:v>
      </x:c>
    </x:row>
    <x:row r="208" ht="44" customHeight="1">
      <x:c r="A208" s="17" t="str">
        <x:v>OF0202</x:v>
      </x:c>
      <x:c r="B208" s="17" t="str">
        <x:v>CRCW04024K70FKED</x:v>
      </x:c>
      <x:c r="C208" s="17" t="str">
        <x:v>DigiKey</x:v>
      </x:c>
      <x:c r="D208" s="17" t="str">
        <x:v>Not stated</x:v>
      </x:c>
      <x:c r="E208" s="24" t="d">
        <x:v>2026-10-12T11:28:25.474Z</x:v>
      </x:c>
      <x:c r="F208" s="18" t="n">
        <x:v>1</x:v>
      </x:c>
      <x:c r="G208" s="18" t="n">
        <x:v>1</x:v>
      </x:c>
      <x:c r="H208" s="18" t="n">
        <x:v>1653620</x:v>
      </x:c>
      <x:c r="I208" s="18" t="n">
        <x:v>250</x:v>
      </x:c>
      <x:c r="J208" s="25" t="n">
        <x:v>0.01228</x:v>
      </x:c>
      <x:c r="K208" s="25" t="n">
        <x:v>0</x:v>
      </x:c>
      <x:c r="L208" s="26" t="str">
        <x:v>Active</x:v>
      </x:c>
      <x:c r="M208" s="26" t="str">
        <x:v>Not independently stated in this supplement</x:v>
      </x:c>
      <x:c r="N208" s="23" t="b">
        <x:v>0</x:v>
      </x:c>
      <x:c r="O208" s="2" t="str">
        <x:v>Unreserved inventory snapshot</x:v>
      </x:c>
      <x:c r="P208" s="2"/>
      <x:c r="Q208" s="2" t="str">
        <x:v>https://www.digikey.com/en/products/detail/vishay-dale/CRCW04024K70FKED/1178083</x:v>
      </x:c>
    </x:row>
    <x:row r="209" ht="44" customHeight="1">
      <x:c r="A209" s="17" t="str">
        <x:v>OF0203</x:v>
      </x:c>
      <x:c r="B209" s="17" t="str">
        <x:v>CRCW0402510RFKED</x:v>
      </x:c>
      <x:c r="C209" s="17" t="str">
        <x:v>DigiKey</x:v>
      </x:c>
      <x:c r="D209" s="17" t="str">
        <x:v>Not stated</x:v>
      </x:c>
      <x:c r="E209" s="24" t="d">
        <x:v>2026-10-12T11:28:25.474Z</x:v>
      </x:c>
      <x:c r="F209" s="18" t="n">
        <x:v>1</x:v>
      </x:c>
      <x:c r="G209" s="18" t="n">
        <x:v>1</x:v>
      </x:c>
      <x:c r="H209" s="18" t="n">
        <x:v>234547</x:v>
      </x:c>
      <x:c r="I209" s="18" t="n">
        <x:v>250</x:v>
      </x:c>
      <x:c r="J209" s="25" t="n">
        <x:v>0.013</x:v>
      </x:c>
      <x:c r="K209" s="25" t="n">
        <x:v>0</x:v>
      </x:c>
      <x:c r="L209" s="26" t="str">
        <x:v>Active</x:v>
      </x:c>
      <x:c r="M209" s="26" t="str">
        <x:v>Not independently stated in this supplement</x:v>
      </x:c>
      <x:c r="N209" s="23" t="b">
        <x:v>0</x:v>
      </x:c>
      <x:c r="O209" s="2" t="str">
        <x:v>Unreserved inventory snapshot</x:v>
      </x:c>
      <x:c r="P209" s="2"/>
      <x:c r="Q209" s="2" t="str">
        <x:v>https://www.digikey.com/en/products/detail/vishay-dale/CRCW0402510RFKED/1183089</x:v>
      </x:c>
    </x:row>
    <x:row r="210" ht="44" customHeight="1">
      <x:c r="A210" s="17" t="str">
        <x:v>OF0204</x:v>
      </x:c>
      <x:c r="B210" s="17" t="str">
        <x:v>CRCW04025K10FKED</x:v>
      </x:c>
      <x:c r="C210" s="17" t="str">
        <x:v>DigiKey</x:v>
      </x:c>
      <x:c r="D210" s="17" t="str">
        <x:v>Not stated</x:v>
      </x:c>
      <x:c r="E210" s="24" t="d">
        <x:v>2026-10-12T11:28:25.479Z</x:v>
      </x:c>
      <x:c r="F210" s="18" t="n">
        <x:v>1</x:v>
      </x:c>
      <x:c r="G210" s="18" t="n">
        <x:v>1</x:v>
      </x:c>
      <x:c r="H210" s="18" t="n">
        <x:v>134873</x:v>
      </x:c>
      <x:c r="I210" s="18" t="n">
        <x:v>250</x:v>
      </x:c>
      <x:c r="J210" s="25" t="n">
        <x:v>0.01228</x:v>
      </x:c>
      <x:c r="K210" s="25" t="n">
        <x:v>0</x:v>
      </x:c>
      <x:c r="L210" s="26" t="str">
        <x:v>Active</x:v>
      </x:c>
      <x:c r="M210" s="26" t="str">
        <x:v>Not independently stated in this supplement</x:v>
      </x:c>
      <x:c r="N210" s="23" t="b">
        <x:v>0</x:v>
      </x:c>
      <x:c r="O210" s="2" t="str">
        <x:v>Unreserved inventory snapshot</x:v>
      </x:c>
      <x:c r="P210" s="2"/>
      <x:c r="Q210" s="2" t="str">
        <x:v>https://www.digikey.com/en/products/detail/vishay-dale/CRCW04025K10FKED/1178087</x:v>
      </x:c>
    </x:row>
    <x:row r="211" ht="44" customHeight="1">
      <x:c r="A211" s="17" t="str">
        <x:v>OF0205</x:v>
      </x:c>
      <x:c r="B211" s="17" t="str">
        <x:v>CRCW080575R0FKEA</x:v>
      </x:c>
      <x:c r="C211" s="17" t="str">
        <x:v>DigiKey</x:v>
      </x:c>
      <x:c r="D211" s="17" t="str">
        <x:v>Not stated</x:v>
      </x:c>
      <x:c r="E211" s="24" t="d">
        <x:v>2026-10-12T11:28:25.474Z</x:v>
      </x:c>
      <x:c r="F211" s="18" t="n">
        <x:v>1</x:v>
      </x:c>
      <x:c r="G211" s="18" t="n">
        <x:v>1</x:v>
      </x:c>
      <x:c r="H211" s="18" t="n">
        <x:v>72605</x:v>
      </x:c>
      <x:c r="I211" s="18" t="n">
        <x:v>250</x:v>
      </x:c>
      <x:c r="J211" s="25" t="n">
        <x:v>0.01904</x:v>
      </x:c>
      <x:c r="K211" s="25" t="n">
        <x:v>0</x:v>
      </x:c>
      <x:c r="L211" s="26" t="str">
        <x:v>Active</x:v>
      </x:c>
      <x:c r="M211" s="26" t="str">
        <x:v>Not independently stated in this supplement</x:v>
      </x:c>
      <x:c r="N211" s="23" t="b">
        <x:v>0</x:v>
      </x:c>
      <x:c r="O211" s="2" t="str">
        <x:v>Unreserved inventory snapshot</x:v>
      </x:c>
      <x:c r="P211" s="2"/>
      <x:c r="Q211" s="2" t="str">
        <x:v>https://www.digikey.com/en/products/detail/vishay-dale/CRCW080575R0FKEA/1180655</x:v>
      </x:c>
    </x:row>
    <x:row r="212" ht="44" customHeight="1">
      <x:c r="A212" s="17" t="str">
        <x:v>OF0206</x:v>
      </x:c>
      <x:c r="B212" s="17" t="str">
        <x:v>CRCW12063K30FKEAHP</x:v>
      </x:c>
      <x:c r="C212" s="17" t="str">
        <x:v>DigiKey</x:v>
      </x:c>
      <x:c r="D212" s="17" t="str">
        <x:v>Not stated</x:v>
      </x:c>
      <x:c r="E212" s="24" t="d">
        <x:v>2026-10-12T11:28:25.475Z</x:v>
      </x:c>
      <x:c r="F212" s="18" t="n">
        <x:v>1</x:v>
      </x:c>
      <x:c r="G212" s="18" t="n">
        <x:v>1</x:v>
      </x:c>
      <x:c r="H212" s="18" t="n">
        <x:v>42656</x:v>
      </x:c>
      <x:c r="I212" s="18" t="n">
        <x:v>100</x:v>
      </x:c>
      <x:c r="J212" s="25" t="n">
        <x:v>0.087</x:v>
      </x:c>
      <x:c r="K212" s="25" t="n">
        <x:v>0</x:v>
      </x:c>
      <x:c r="L212" s="26" t="str">
        <x:v>Active</x:v>
      </x:c>
      <x:c r="M212" s="26" t="str">
        <x:v>Not independently stated in this supplement</x:v>
      </x:c>
      <x:c r="N212" s="23" t="b">
        <x:v>0</x:v>
      </x:c>
      <x:c r="O212" s="2" t="str">
        <x:v>Unreserved inventory snapshot</x:v>
      </x:c>
      <x:c r="P212" s="2"/>
      <x:c r="Q212" s="2" t="str">
        <x:v>https://www.digikey.com/en/products/detail/vishay-dale/CRCW12063K30FKEAHP/2227804</x:v>
      </x:c>
    </x:row>
    <x:row r="213" ht="44" customHeight="1">
      <x:c r="A213" s="17" t="str">
        <x:v>OF0207</x:v>
      </x:c>
      <x:c r="B213" s="17" t="str">
        <x:v>DABS2100-13</x:v>
      </x:c>
      <x:c r="C213" s="17" t="str">
        <x:v>DigiKey</x:v>
      </x:c>
      <x:c r="D213" s="17" t="str">
        <x:v>Not stated</x:v>
      </x:c>
      <x:c r="E213" s="24" t="d">
        <x:v>2026-10-12T11:28:25.474Z</x:v>
      </x:c>
      <x:c r="F213" s="18" t="n">
        <x:v>1</x:v>
      </x:c>
      <x:c r="G213" s="18" t="n">
        <x:v>1</x:v>
      </x:c>
      <x:c r="H213" s="18" t="n">
        <x:v>5560</x:v>
      </x:c>
      <x:c r="I213" s="18" t="n">
        <x:v>100</x:v>
      </x:c>
      <x:c r="J213" s="25" t="n">
        <x:v>0.3826</x:v>
      </x:c>
      <x:c r="K213" s="25" t="n">
        <x:v>7</x:v>
      </x:c>
      <x:c r="L213" s="26" t="str">
        <x:v>Active</x:v>
      </x:c>
      <x:c r="M213" s="26" t="str">
        <x:v>Not independently stated in this supplement</x:v>
      </x:c>
      <x:c r="N213" s="23" t="b">
        <x:v>0</x:v>
      </x:c>
      <x:c r="O213" s="2" t="str">
        <x:v>Unreserved inventory snapshot</x:v>
      </x:c>
      <x:c r="P213" s="2"/>
      <x:c r="Q213" s="2" t="str">
        <x:v>https://www.digikey.com/en/products/detail/diodes-incorporated/DABS2100-13/21823604</x:v>
      </x:c>
    </x:row>
    <x:row r="214" ht="44" customHeight="1">
      <x:c r="A214" s="17" t="str">
        <x:v>OF0208</x:v>
      </x:c>
      <x:c r="B214" s="17" t="str">
        <x:v>DLW5BTM102TQ2L</x:v>
      </x:c>
      <x:c r="C214" s="17" t="str">
        <x:v>DigiKey</x:v>
      </x:c>
      <x:c r="D214" s="17" t="str">
        <x:v>Not stated</x:v>
      </x:c>
      <x:c r="E214" s="24" t="d">
        <x:v>2026-10-12T11:28:25.474Z</x:v>
      </x:c>
      <x:c r="F214" s="18" t="n">
        <x:v>1</x:v>
      </x:c>
      <x:c r="G214" s="18" t="n">
        <x:v>1</x:v>
      </x:c>
      <x:c r="H214" s="18" t="n">
        <x:v>9875</x:v>
      </x:c>
      <x:c r="I214" s="18" t="n">
        <x:v>100</x:v>
      </x:c>
      <x:c r="J214" s="25" t="n">
        <x:v>0.6935</x:v>
      </x:c>
      <x:c r="K214" s="25" t="n">
        <x:v>0</x:v>
      </x:c>
      <x:c r="L214" s="26" t="str">
        <x:v>Active</x:v>
      </x:c>
      <x:c r="M214" s="26" t="str">
        <x:v>Not independently stated in this supplement</x:v>
      </x:c>
      <x:c r="N214" s="23" t="b">
        <x:v>0</x:v>
      </x:c>
      <x:c r="O214" s="2" t="str">
        <x:v>Unreserved inventory snapshot</x:v>
      </x:c>
      <x:c r="P214" s="2"/>
      <x:c r="Q214" s="2" t="str">
        <x:v>https://www.digikey.com/en/products/detail/murata-electronics/DLW5BTM102TQ2L/6606032</x:v>
      </x:c>
    </x:row>
    <x:row r="215" ht="44" customHeight="1">
      <x:c r="A215" s="17" t="str">
        <x:v>OF0209</x:v>
      </x:c>
      <x:c r="B215" s="17" t="str">
        <x:v>DMPH3010LK3-13</x:v>
      </x:c>
      <x:c r="C215" s="17" t="str">
        <x:v>DigiKey</x:v>
      </x:c>
      <x:c r="D215" s="17" t="str">
        <x:v>Not stated</x:v>
      </x:c>
      <x:c r="E215" s="24" t="d">
        <x:v>2026-10-12T11:28:25.469Z</x:v>
      </x:c>
      <x:c r="F215" s="18" t="n">
        <x:v>1</x:v>
      </x:c>
      <x:c r="G215" s="18" t="n">
        <x:v>1</x:v>
      </x:c>
      <x:c r="H215" s="18" t="n">
        <x:v>1530</x:v>
      </x:c>
      <x:c r="I215" s="18" t="n">
        <x:v>100</x:v>
      </x:c>
      <x:c r="J215" s="25" t="n">
        <x:v>0.6638</x:v>
      </x:c>
      <x:c r="K215" s="25" t="n">
        <x:v>0</x:v>
      </x:c>
      <x:c r="L215" s="26" t="str">
        <x:v>Active</x:v>
      </x:c>
      <x:c r="M215" s="26" t="str">
        <x:v>Not independently stated in this supplement</x:v>
      </x:c>
      <x:c r="N215" s="23" t="b">
        <x:v>0</x:v>
      </x:c>
      <x:c r="O215" s="2" t="str">
        <x:v>Unreserved inventory snapshot</x:v>
      </x:c>
      <x:c r="P215" s="2"/>
      <x:c r="Q215" s="2" t="str">
        <x:v>https://www.digikey.com/en/products/detail/diodes-incorporated/DMPH3010LK3-13/7352990</x:v>
      </x:c>
    </x:row>
    <x:row r="216" ht="44" customHeight="1">
      <x:c r="A216" s="17" t="str">
        <x:v>OF0210</x:v>
      </x:c>
      <x:c r="B216" s="17" t="str">
        <x:v>E22-900MM22S</x:v>
      </x:c>
      <x:c r="C216" s="17" t="str">
        <x:v>JLCPCB Parts</x:v>
      </x:c>
      <x:c r="D216" s="17" t="str">
        <x:v>C5333985</x:v>
      </x:c>
      <x:c r="E216" s="24" t="d">
        <x:v>2026-10-12T15:00:30.881Z</x:v>
      </x:c>
      <x:c r="F216" s="18" t="n">
        <x:v>2</x:v>
      </x:c>
      <x:c r="G216" s="18" t="n">
        <x:v>1</x:v>
      </x:c>
      <x:c r="H216" s="18" t="n">
        <x:v>419</x:v>
      </x:c>
      <x:c r="I216" s="18" t="n">
        <x:v>100</x:v>
      </x:c>
      <x:c r="J216" s="25" t="n">
        <x:v>4.4024</x:v>
      </x:c>
      <x:c r="K216" s="25" t="n">
        <x:v>0</x:v>
      </x:c>
      <x:c r="L216" s="26" t="str">
        <x:v>Not stated by captured exact product payload</x:v>
      </x:c>
      <x:c r="M216" s="26" t="str">
        <x:v>Not independently stated in this supplement</x:v>
      </x:c>
      <x:c r="N216" s="23" t="b">
        <x:v>1</x:v>
      </x:c>
      <x:c r="O216" s="2" t="str">
        <x:v>JLC PCBA allocation required</x:v>
      </x:c>
      <x:c r="P216" s="2"/>
      <x:c r="Q216" s="2" t="str">
        <x:v>https://jlcpcb.com/partdetail/E22-900MM22S/C5333985</x:v>
      </x:c>
    </x:row>
    <x:row r="217" ht="44" customHeight="1">
      <x:c r="A217" s="17" t="str">
        <x:v>OF0211</x:v>
      </x:c>
      <x:c r="B217" s="17" t="str">
        <x:v>ESP32-S3FN8</x:v>
      </x:c>
      <x:c r="C217" s="17" t="str">
        <x:v>DigiKey</x:v>
      </x:c>
      <x:c r="D217" s="17" t="str">
        <x:v>Not stated</x:v>
      </x:c>
      <x:c r="E217" s="24" t="d">
        <x:v>2026-10-12T11:28:25.470Z</x:v>
      </x:c>
      <x:c r="F217" s="18" t="n">
        <x:v>1</x:v>
      </x:c>
      <x:c r="G217" s="18" t="n">
        <x:v>1</x:v>
      </x:c>
      <x:c r="H217" s="18" t="n">
        <x:v>4387</x:v>
      </x:c>
      <x:c r="I217" s="18" t="n">
        <x:v>100</x:v>
      </x:c>
      <x:c r="J217" s="25" t="n">
        <x:v>3.137</x:v>
      </x:c>
      <x:c r="K217" s="25" t="n">
        <x:v>0</x:v>
      </x:c>
      <x:c r="L217" s="26" t="str">
        <x:v>Active</x:v>
      </x:c>
      <x:c r="M217" s="26" t="str">
        <x:v>Not independently stated in this supplement</x:v>
      </x:c>
      <x:c r="N217" s="23" t="b">
        <x:v>0</x:v>
      </x:c>
      <x:c r="O217" s="2" t="str">
        <x:v>Unreserved inventory snapshot</x:v>
      </x:c>
      <x:c r="P217" s="2"/>
      <x:c r="Q217" s="2" t="str">
        <x:v>https://www.digikey.com/en/products/detail/espressif-systems/ESP32-S3FN8/15822446</x:v>
      </x:c>
    </x:row>
    <x:row r="218" ht="44" customHeight="1">
      <x:c r="A218" s="17" t="str">
        <x:v>OF0212</x:v>
      </x:c>
      <x:c r="B218" s="17" t="str">
        <x:v>F1206HI4000V032TM</x:v>
      </x:c>
      <x:c r="C218" s="17" t="str">
        <x:v>LCSC</x:v>
      </x:c>
      <x:c r="D218" s="17" t="str">
        <x:v>C246771</x:v>
      </x:c>
      <x:c r="E218" s="24" t="d">
        <x:v>2026-10-12T10:44:17.296Z</x:v>
      </x:c>
      <x:c r="F218" s="18" t="n">
        <x:v>5</x:v>
      </x:c>
      <x:c r="G218" s="18" t="n">
        <x:v>5</x:v>
      </x:c>
      <x:c r="H218" s="18" t="n">
        <x:v>6270</x:v>
      </x:c>
      <x:c r="I218" s="18" t="n">
        <x:v>50</x:v>
      </x:c>
      <x:c r="J218" s="25" t="n">
        <x:v>0.228</x:v>
      </x:c>
      <x:c r="K218" s="25" t="n">
        <x:v>0</x:v>
      </x:c>
      <x:c r="L218" s="26" t="str">
        <x:v>Not stated by captured product payload</x:v>
      </x:c>
      <x:c r="M218" s="26" t="str">
        <x:v>Active</x:v>
      </x:c>
      <x:c r="N218" s="23" t="b">
        <x:v>0</x:v>
      </x:c>
      <x:c r="O218" s="2" t="str">
        <x:v>Unreserved inventory snapshot</x:v>
      </x:c>
      <x:c r="P218" s="2"/>
      <x:c r="Q218" s="2" t="str">
        <x:v>https://www.lcsc.com/product-detail/C246771.html</x:v>
      </x:c>
    </x:row>
    <x:row r="219" ht="44" customHeight="1">
      <x:c r="A219" s="17" t="str">
        <x:v>OF0213</x:v>
      </x:c>
      <x:c r="B219" s="17" t="str">
        <x:v>FSUSB42UMX</x:v>
      </x:c>
      <x:c r="C219" s="17" t="str">
        <x:v>LCSC</x:v>
      </x:c>
      <x:c r="D219" s="17" t="str">
        <x:v>C11145</x:v>
      </x:c>
      <x:c r="E219" s="24" t="d">
        <x:v>2026-10-12T10:44:17.334Z</x:v>
      </x:c>
      <x:c r="F219" s="18" t="n">
        <x:v>1</x:v>
      </x:c>
      <x:c r="G219" s="18" t="n">
        <x:v>1</x:v>
      </x:c>
      <x:c r="H219" s="18" t="n">
        <x:v>20301</x:v>
      </x:c>
      <x:c r="I219" s="18" t="n">
        <x:v>100</x:v>
      </x:c>
      <x:c r="J219" s="25" t="n">
        <x:v>0.2549</x:v>
      </x:c>
      <x:c r="K219" s="25" t="n">
        <x:v>0</x:v>
      </x:c>
      <x:c r="L219" s="26" t="str">
        <x:v>Not stated by captured product payload</x:v>
      </x:c>
      <x:c r="M219" s="26" t="str">
        <x:v>Active</x:v>
      </x:c>
      <x:c r="N219" s="23" t="b">
        <x:v>0</x:v>
      </x:c>
      <x:c r="O219" s="2" t="str">
        <x:v>Unreserved inventory snapshot</x:v>
      </x:c>
      <x:c r="P219" s="2"/>
      <x:c r="Q219" s="2" t="str">
        <x:v>https://www.lcsc.com/product-detail/C11145.html</x:v>
      </x:c>
    </x:row>
    <x:row r="220" ht="44" customHeight="1">
      <x:c r="A220" s="17" t="str">
        <x:v>OF0214</x:v>
      </x:c>
      <x:c r="B220" s="17" t="str">
        <x:v>GRM1555C1H270JA01D</x:v>
      </x:c>
      <x:c r="C220" s="17" t="str">
        <x:v>DigiKey</x:v>
      </x:c>
      <x:c r="D220" s="17" t="str">
        <x:v>Not stated</x:v>
      </x:c>
      <x:c r="E220" s="24" t="d">
        <x:v>2026-10-12T11:28:25.470Z</x:v>
      </x:c>
      <x:c r="F220" s="18" t="n">
        <x:v>1</x:v>
      </x:c>
      <x:c r="G220" s="18" t="n">
        <x:v>1</x:v>
      </x:c>
      <x:c r="H220" s="18" t="n">
        <x:v>4471424</x:v>
      </x:c>
      <x:c r="I220" s="18" t="n">
        <x:v>100</x:v>
      </x:c>
      <x:c r="J220" s="25" t="n">
        <x:v>0.0119</x:v>
      </x:c>
      <x:c r="K220" s="25" t="n">
        <x:v>0</x:v>
      </x:c>
      <x:c r="L220" s="26" t="str">
        <x:v>Active</x:v>
      </x:c>
      <x:c r="M220" s="26" t="str">
        <x:v>Not independently stated in this supplement</x:v>
      </x:c>
      <x:c r="N220" s="23" t="b">
        <x:v>0</x:v>
      </x:c>
      <x:c r="O220" s="2" t="str">
        <x:v>Unreserved inventory snapshot</x:v>
      </x:c>
      <x:c r="P220" s="2"/>
      <x:c r="Q220" s="2" t="str">
        <x:v>https://www.digikey.com/en/products/detail/murata-electronics/GRM1555C1H270JA01D/3175188</x:v>
      </x:c>
    </x:row>
    <x:row r="221" ht="44" customHeight="1">
      <x:c r="A221" s="17" t="str">
        <x:v>OF0215</x:v>
      </x:c>
      <x:c r="B221" s="17" t="str">
        <x:v>GRM155R71E222KA01D</x:v>
      </x:c>
      <x:c r="C221" s="17" t="str">
        <x:v>DigiKey</x:v>
      </x:c>
      <x:c r="D221" s="17" t="str">
        <x:v>Not stated</x:v>
      </x:c>
      <x:c r="E221" s="24" t="d">
        <x:v>2026-10-12T11:28:25.470Z</x:v>
      </x:c>
      <x:c r="F221" s="18" t="n">
        <x:v>1</x:v>
      </x:c>
      <x:c r="G221" s="18" t="n">
        <x:v>1</x:v>
      </x:c>
      <x:c r="H221" s="18" t="n">
        <x:v>85441</x:v>
      </x:c>
      <x:c r="I221" s="18" t="n">
        <x:v>100</x:v>
      </x:c>
      <x:c r="J221" s="25" t="n">
        <x:v>0.0113</x:v>
      </x:c>
      <x:c r="K221" s="25" t="n">
        <x:v>0</x:v>
      </x:c>
      <x:c r="L221" s="26" t="str">
        <x:v>Active</x:v>
      </x:c>
      <x:c r="M221" s="26" t="str">
        <x:v>Not independently stated in this supplement</x:v>
      </x:c>
      <x:c r="N221" s="23" t="b">
        <x:v>0</x:v>
      </x:c>
      <x:c r="O221" s="2" t="str">
        <x:v>Unreserved inventory snapshot</x:v>
      </x:c>
      <x:c r="P221" s="2"/>
      <x:c r="Q221" s="2" t="str">
        <x:v>https://www.digikey.com/en/products/detail/murata-electronics/GRM155R71E222KA01D/2175226</x:v>
      </x:c>
    </x:row>
    <x:row r="222" ht="44" customHeight="1">
      <x:c r="A222" s="17" t="str">
        <x:v>OF0216</x:v>
      </x:c>
      <x:c r="B222" s="17" t="str">
        <x:v>GRM188R72A104KA35D</x:v>
      </x:c>
      <x:c r="C222" s="17" t="str">
        <x:v>DigiKey</x:v>
      </x:c>
      <x:c r="D222" s="17" t="str">
        <x:v>Exact GRM188R72A104KA35D Cut Tape</x:v>
      </x:c>
      <x:c r="E222" s="24" t="d">
        <x:v>2026-10-12T17:08:59.064Z</x:v>
      </x:c>
      <x:c r="F222" s="18" t="n">
        <x:v>1</x:v>
      </x:c>
      <x:c r="G222" s="18" t="n">
        <x:v>1</x:v>
      </x:c>
      <x:c r="H222" s="18" t="n">
        <x:v>404101</x:v>
      </x:c>
      <x:c r="I222" s="18" t="n">
        <x:v>100</x:v>
      </x:c>
      <x:c r="J222" s="25" t="n">
        <x:v>0.0532</x:v>
      </x:c>
      <x:c r="K222" s="25" t="n">
        <x:v>0</x:v>
      </x:c>
      <x:c r="L222" s="26" t="str">
        <x:v>Manufacturer primary816 InProduction; distributor Active</x:v>
      </x:c>
      <x:c r="M222" s="26" t="str">
        <x:v>Not independently stated in this supplement</x:v>
      </x:c>
      <x:c r="N222" s="23" t="b">
        <x:v>0</x:v>
      </x:c>
      <x:c r="O222" s="2" t="str">
        <x:v>Unreserved inventory snapshot</x:v>
      </x:c>
      <x:c r="P222" s="2"/>
      <x:c r="Q222" s="2" t="str">
        <x:v>https://www.digikey.com/en/products/detail/murata-electronics/GRM188R72A104KA35D/702826</x:v>
      </x:c>
    </x:row>
    <x:row r="223" ht="44" customHeight="1">
      <x:c r="A223" s="17" t="str">
        <x:v>OF0217</x:v>
      </x:c>
      <x:c r="B223" s="17" t="str">
        <x:v>GRM31C5C1H224JE02L</x:v>
      </x:c>
      <x:c r="C223" s="17" t="str">
        <x:v>LCSC</x:v>
      </x:c>
      <x:c r="D223" s="17" t="str">
        <x:v>C464977</x:v>
      </x:c>
      <x:c r="E223" s="24" t="d">
        <x:v>2026-10-12T14:52:12.198Z</x:v>
      </x:c>
      <x:c r="F223" s="18" t="n">
        <x:v>5</x:v>
      </x:c>
      <x:c r="G223" s="18" t="n">
        <x:v>5</x:v>
      </x:c>
      <x:c r="H223" s="18" t="n">
        <x:v>68865</x:v>
      </x:c>
      <x:c r="I223" s="18" t="n">
        <x:v>50</x:v>
      </x:c>
      <x:c r="J223" s="25" t="n">
        <x:v>0.2897</x:v>
      </x:c>
      <x:c r="K223" s="25" t="n">
        <x:v>0</x:v>
      </x:c>
      <x:c r="L223" s="26" t="str">
        <x:v>Active per Murata/DigiKey primary</x:v>
      </x:c>
      <x:c r="M223" s="26" t="str">
        <x:v>Not independently stated in this supplement</x:v>
      </x:c>
      <x:c r="N223" s="23" t="b">
        <x:v>0</x:v>
      </x:c>
      <x:c r="O223" s="2" t="str">
        <x:v>Unreserved inventory snapshot</x:v>
      </x:c>
      <x:c r="P223" s="2"/>
      <x:c r="Q223" s="2" t="str">
        <x:v>https://www.lcsc.com/product-detail/C464977.html</x:v>
      </x:c>
    </x:row>
    <x:row r="224" ht="44" customHeight="1">
      <x:c r="A224" s="17" t="str">
        <x:v>OF0218</x:v>
      </x:c>
      <x:c r="B224" s="17" t="str">
        <x:v>GRM31C5C2A683JA01L</x:v>
      </x:c>
      <x:c r="C224" s="17" t="str">
        <x:v>DigiKey</x:v>
      </x:c>
      <x:c r="D224" s="17" t="str">
        <x:v>Not stated</x:v>
      </x:c>
      <x:c r="E224" s="24" t="d">
        <x:v>2026-10-12T11:28:25.475Z</x:v>
      </x:c>
      <x:c r="F224" s="18" t="n">
        <x:v>1</x:v>
      </x:c>
      <x:c r="G224" s="18" t="n">
        <x:v>1</x:v>
      </x:c>
      <x:c r="H224" s="18" t="n">
        <x:v>22417</x:v>
      </x:c>
      <x:c r="I224" s="18" t="n">
        <x:v>100</x:v>
      </x:c>
      <x:c r="J224" s="25" t="n">
        <x:v>0.2061</x:v>
      </x:c>
      <x:c r="K224" s="25" t="n">
        <x:v>0</x:v>
      </x:c>
      <x:c r="L224" s="26" t="str">
        <x:v>Active</x:v>
      </x:c>
      <x:c r="M224" s="26" t="str">
        <x:v>Not independently stated in this supplement</x:v>
      </x:c>
      <x:c r="N224" s="23" t="b">
        <x:v>0</x:v>
      </x:c>
      <x:c r="O224" s="2" t="str">
        <x:v>Unreserved inventory snapshot</x:v>
      </x:c>
      <x:c r="P224" s="2"/>
      <x:c r="Q224" s="2" t="str">
        <x:v>https://www.digikey.com/en/products/detail/murata-electronics/GRM31C5C2A683JA01L/10704119</x:v>
      </x:c>
    </x:row>
    <x:row r="225" ht="44" customHeight="1">
      <x:c r="A225" s="17" t="str">
        <x:v>OF0219</x:v>
      </x:c>
      <x:c r="B225" s="17" t="str">
        <x:v>H2414QR</x:v>
      </x:c>
      <x:c r="C225" s="17" t="str">
        <x:v>LCSC</x:v>
      </x:c>
      <x:c r="D225" s="17" t="str">
        <x:v>C4155001</x:v>
      </x:c>
      <x:c r="E225" s="24" t="d">
        <x:v>2026-10-12T10:44:18.557Z</x:v>
      </x:c>
      <x:c r="F225" s="18" t="n">
        <x:v>1</x:v>
      </x:c>
      <x:c r="G225" s="18" t="n">
        <x:v>1</x:v>
      </x:c>
      <x:c r="H225" s="18" t="n">
        <x:v>606</x:v>
      </x:c>
      <x:c r="I225" s="18" t="n">
        <x:v>100</x:v>
      </x:c>
      <x:c r="J225" s="25" t="n">
        <x:v>0.6439</x:v>
      </x:c>
      <x:c r="K225" s="25" t="n">
        <x:v>0</x:v>
      </x:c>
      <x:c r="L225" s="26" t="str">
        <x:v>Not stated by captured product payload</x:v>
      </x:c>
      <x:c r="M225" s="26" t="str">
        <x:v>Not independently stated in this supplement</x:v>
      </x:c>
      <x:c r="N225" s="23" t="b">
        <x:v>0</x:v>
      </x:c>
      <x:c r="O225" s="2" t="str">
        <x:v>Unreserved inventory snapshot</x:v>
      </x:c>
      <x:c r="P225" s="2"/>
      <x:c r="Q225" s="2" t="str">
        <x:v>https://www.lcsc.com/product-detail/C4155001.html</x:v>
      </x:c>
    </x:row>
    <x:row r="226" ht="44" customHeight="1">
      <x:c r="A226" s="17" t="str">
        <x:v>OF0220</x:v>
      </x:c>
      <x:c r="B226" s="17" t="str">
        <x:v>KGM05ACG1H150FH</x:v>
      </x:c>
      <x:c r="C226" s="17" t="str">
        <x:v>DigiKey</x:v>
      </x:c>
      <x:c r="D226" s="17" t="str">
        <x:v>Not stated</x:v>
      </x:c>
      <x:c r="E226" s="24" t="d">
        <x:v>2026-10-12T11:28:25.467Z</x:v>
      </x:c>
      <x:c r="F226" s="18" t="n">
        <x:v>1</x:v>
      </x:c>
      <x:c r="G226" s="18" t="n">
        <x:v>1</x:v>
      </x:c>
      <x:c r="H226" s="18" t="n">
        <x:v>36414</x:v>
      </x:c>
      <x:c r="I226" s="18" t="n">
        <x:v>100</x:v>
      </x:c>
      <x:c r="J226" s="25" t="n">
        <x:v>0.2879</x:v>
      </x:c>
      <x:c r="K226" s="25" t="n">
        <x:v>0</x:v>
      </x:c>
      <x:c r="L226" s="26" t="str">
        <x:v>Active</x:v>
      </x:c>
      <x:c r="M226" s="26" t="str">
        <x:v>Not independently stated in this supplement</x:v>
      </x:c>
      <x:c r="N226" s="23" t="b">
        <x:v>0</x:v>
      </x:c>
      <x:c r="O226" s="2" t="str">
        <x:v>Unreserved inventory snapshot</x:v>
      </x:c>
      <x:c r="P226" s="2"/>
      <x:c r="Q226" s="2" t="str">
        <x:v>https://www.digikey.com/en/products/detail/kyocera-avx/KGM05ACG1H150FH/1597388</x:v>
      </x:c>
    </x:row>
    <x:row r="227" ht="44" customHeight="1">
      <x:c r="A227" s="17" t="str">
        <x:v>OF0221</x:v>
      </x:c>
      <x:c r="B227" s="17" t="str">
        <x:v>L4CL1206LR050DNR-A</x:v>
      </x:c>
      <x:c r="C227" s="17" t="str">
        <x:v>DigiKey</x:v>
      </x:c>
      <x:c r="D227" s="17" t="str">
        <x:v>Not stated</x:v>
      </x:c>
      <x:c r="E227" s="24" t="d">
        <x:v>2026-10-12T11:28:25.484Z</x:v>
      </x:c>
      <x:c r="F227" s="18" t="n">
        <x:v>1</x:v>
      </x:c>
      <x:c r="G227" s="18" t="n">
        <x:v>1</x:v>
      </x:c>
      <x:c r="H227" s="18" t="n">
        <x:v>4377</x:v>
      </x:c>
      <x:c r="I227" s="18" t="n">
        <x:v>100</x:v>
      </x:c>
      <x:c r="J227" s="25" t="n">
        <x:v>0.7217</x:v>
      </x:c>
      <x:c r="K227" s="25" t="n">
        <x:v>0</x:v>
      </x:c>
      <x:c r="L227" s="26" t="str">
        <x:v>Active</x:v>
      </x:c>
      <x:c r="M227" s="26" t="str">
        <x:v>Not independently stated in this supplement</x:v>
      </x:c>
      <x:c r="N227" s="23" t="b">
        <x:v>0</x:v>
      </x:c>
      <x:c r="O227" s="2" t="str">
        <x:v>Unreserved inventory snapshot</x:v>
      </x:c>
      <x:c r="P227" s="2"/>
      <x:c r="Q227" s="2" t="str">
        <x:v>https://www.digikey.com/en/products/detail/littelfuse-inc/L4CL1206LR050DNR-A/21737223</x:v>
      </x:c>
    </x:row>
    <x:row r="228" ht="44" customHeight="1">
      <x:c r="A228" s="17" t="str">
        <x:v>OF0222</x:v>
      </x:c>
      <x:c r="B228" s="17" t="str">
        <x:v>LQW15AN24NH00D</x:v>
      </x:c>
      <x:c r="C228" s="17" t="str">
        <x:v>DigiKey</x:v>
      </x:c>
      <x:c r="D228" s="17" t="str">
        <x:v>Not stated</x:v>
      </x:c>
      <x:c r="E228" s="24" t="d">
        <x:v>2026-10-12T11:28:25.467Z</x:v>
      </x:c>
      <x:c r="F228" s="18" t="n">
        <x:v>1</x:v>
      </x:c>
      <x:c r="G228" s="18" t="n">
        <x:v>1</x:v>
      </x:c>
      <x:c r="H228" s="18" t="n">
        <x:v>11410</x:v>
      </x:c>
      <x:c r="I228" s="18" t="n">
        <x:v>100</x:v>
      </x:c>
      <x:c r="J228" s="25" t="n">
        <x:v>0.0757</x:v>
      </x:c>
      <x:c r="K228" s="25" t="n">
        <x:v>0</x:v>
      </x:c>
      <x:c r="L228" s="26" t="str">
        <x:v>Active</x:v>
      </x:c>
      <x:c r="M228" s="26" t="str">
        <x:v>Not independently stated in this supplement</x:v>
      </x:c>
      <x:c r="N228" s="23" t="b">
        <x:v>0</x:v>
      </x:c>
      <x:c r="O228" s="2" t="str">
        <x:v>Unreserved inventory snapshot</x:v>
      </x:c>
      <x:c r="P228" s="2"/>
      <x:c r="Q228" s="2" t="str">
        <x:v>https://www.digikey.com/en/products/detail/murata-electronics/LQW15AN24NH00D/700017</x:v>
      </x:c>
    </x:row>
    <x:row r="229" ht="44" customHeight="1">
      <x:c r="A229" s="17" t="str">
        <x:v>OF0223</x:v>
      </x:c>
      <x:c r="B229" s="17" t="str">
        <x:v>MMSZ5240B-7-F</x:v>
      </x:c>
      <x:c r="C229" s="17" t="str">
        <x:v>DigiKey</x:v>
      </x:c>
      <x:c r="D229" s="17" t="str">
        <x:v>Not stated</x:v>
      </x:c>
      <x:c r="E229" s="24" t="d">
        <x:v>2026-10-12T11:28:25.478Z</x:v>
      </x:c>
      <x:c r="F229" s="18" t="n">
        <x:v>1</x:v>
      </x:c>
      <x:c r="G229" s="18" t="n">
        <x:v>1</x:v>
      </x:c>
      <x:c r="H229" s="18" t="n">
        <x:v>4023</x:v>
      </x:c>
      <x:c r="I229" s="18" t="n">
        <x:v>100</x:v>
      </x:c>
      <x:c r="J229" s="25" t="n">
        <x:v>0.0787</x:v>
      </x:c>
      <x:c r="K229" s="25" t="n">
        <x:v>0</x:v>
      </x:c>
      <x:c r="L229" s="26" t="str">
        <x:v>Active</x:v>
      </x:c>
      <x:c r="M229" s="26" t="str">
        <x:v>Not independently stated in this supplement</x:v>
      </x:c>
      <x:c r="N229" s="23" t="b">
        <x:v>0</x:v>
      </x:c>
      <x:c r="O229" s="2" t="str">
        <x:v>Unreserved inventory snapshot</x:v>
      </x:c>
      <x:c r="P229" s="2"/>
      <x:c r="Q229" s="2" t="str">
        <x:v>https://www.digikey.com/en/products/detail/diodes-incorporated/MMSZ5240B-7-F/814369</x:v>
      </x:c>
    </x:row>
    <x:row r="230" ht="44" customHeight="1">
      <x:c r="A230" s="17" t="str">
        <x:v>OF0224</x:v>
      </x:c>
      <x:c r="B230" s="17" t="str">
        <x:v>MP2329GG-P</x:v>
      </x:c>
      <x:c r="C230" s="17" t="str">
        <x:v>MPS direct</x:v>
      </x:c>
      <x:c r="D230" s="17" t="str">
        <x:v>MP2329GG-P or primary same-die GG-Z reel alias</x:v>
      </x:c>
      <x:c r="E230" s="24" t="d">
        <x:v>2026-10-12T00:00:00.000Z</x:v>
      </x:c>
      <x:c r="F230" s="18" t="n">
        <x:v>1</x:v>
      </x:c>
      <x:c r="G230" s="18" t="n">
        <x:v>1</x:v>
      </x:c>
      <x:c r="H230" s="18" t="n">
        <x:v>11638</x:v>
      </x:c>
      <x:c r="I230" s="18" t="n">
        <x:v>100</x:v>
      </x:c>
      <x:c r="J230" s="25" t="n">
        <x:v>1.15</x:v>
      </x:c>
      <x:c r="K230" s="25" t="n">
        <x:v>0</x:v>
      </x:c>
      <x:c r="L230" s="26" t="str">
        <x:v>Orderable manufacturer development inventory; no explicit lifecycle label from current order table</x:v>
      </x:c>
      <x:c r="M230" s="26" t="str">
        <x:v>Active</x:v>
      </x:c>
      <x:c r="N230" s="23" t="b">
        <x:v>0</x:v>
      </x:c>
      <x:c r="O230" s="2" t="str">
        <x:v>Scheduled MPS availability / supplier acceptance</x:v>
      </x:c>
      <x:c r="P230" s="2"/>
      <x:c r="Q230" s="2" t="str">
        <x:v>https://www.monolithicpower.com/en/products/power-management/mp2329.html</x:v>
      </x:c>
    </x:row>
    <x:row r="231" ht="44" customHeight="1">
      <x:c r="A231" s="17" t="str">
        <x:v>OF0225</x:v>
      </x:c>
      <x:c r="B231" s="17" t="str">
        <x:v>MP4583GQVE-Z</x:v>
      </x:c>
      <x:c r="C231" s="17" t="str">
        <x:v>MPS direct</x:v>
      </x:c>
      <x:c r="D231" s="17" t="str">
        <x:v>MP4583GQVE-Z</x:v>
      </x:c>
      <x:c r="E231" s="24" t="d">
        <x:v>2026-10-12T11:24:35.631Z</x:v>
      </x:c>
      <x:c r="F231" s="18" t="n">
        <x:v>1</x:v>
      </x:c>
      <x:c r="G231" s="18" t="n">
        <x:v>1</x:v>
      </x:c>
      <x:c r="H231" s="18" t="n">
        <x:v>100</x:v>
      </x:c>
      <x:c r="I231" s="18" t="n">
        <x:v>100</x:v>
      </x:c>
      <x:c r="J231" s="25" t="n">
        <x:v>1.72</x:v>
      </x:c>
      <x:c r="K231" s="25" t="n">
        <x:v>0</x:v>
      </x:c>
      <x:c r="L231" s="26" t="str">
        <x:v>Not stated by current manufacturer order table</x:v>
      </x:c>
      <x:c r="M231" s="26" t="str">
        <x:v>Active</x:v>
      </x:c>
      <x:c r="N231" s="23" t="b">
        <x:v>0</x:v>
      </x:c>
      <x:c r="O231" s="2" t="str">
        <x:v>MPS company inventory/limit must cover lot</x:v>
      </x:c>
      <x:c r="P231" s="2"/>
      <x:c r="Q231" s="2" t="str">
        <x:v>https://www.monolithicpower.com/en/products/mp4583.html</x:v>
      </x:c>
    </x:row>
    <x:row r="232" ht="44" customHeight="1">
      <x:c r="A232" s="17" t="str">
        <x:v>OF0226</x:v>
      </x:c>
      <x:c r="B232" s="17" t="str">
        <x:v>NCA9536DQJ</x:v>
      </x:c>
      <x:c r="C232" s="17" t="str">
        <x:v>DigiKey</x:v>
      </x:c>
      <x:c r="D232" s="17" t="str">
        <x:v>1727-NCA9536DQJCT-ND</x:v>
      </x:c>
      <x:c r="E232" s="24" t="d">
        <x:v>2026-10-12T17:35:50.724Z</x:v>
      </x:c>
      <x:c r="F232" s="18" t="n">
        <x:v>1</x:v>
      </x:c>
      <x:c r="G232" s="18" t="n">
        <x:v>1</x:v>
      </x:c>
      <x:c r="H232" s="18" t="n">
        <x:v>648</x:v>
      </x:c>
      <x:c r="I232" s="18" t="n">
        <x:v>100</x:v>
      </x:c>
      <x:c r="J232" s="25" t="n">
        <x:v>0.4527</x:v>
      </x:c>
      <x:c r="K232" s="25" t="n">
        <x:v>0</x:v>
      </x:c>
      <x:c r="L232" s="26" t="str">
        <x:v>Active</x:v>
      </x:c>
      <x:c r="M232" s="26" t="str">
        <x:v>Not independently stated in this supplement</x:v>
      </x:c>
      <x:c r="N232" s="23" t="b">
        <x:v>0</x:v>
      </x:c>
      <x:c r="O232" s="2" t="str">
        <x:v>Unreserved inventory snapshot</x:v>
      </x:c>
      <x:c r="P232" s="2"/>
      <x:c r="Q232" s="2" t="str">
        <x:v>https://www.digikey.com/en/products/detail/nexperia-usa-inc/NCA9536DQJ/29535394</x:v>
      </x:c>
    </x:row>
    <x:row r="233" ht="44" customHeight="1">
      <x:c r="A233" s="17" t="str">
        <x:v>OF0227</x:v>
      </x:c>
      <x:c r="B233" s="17" t="str">
        <x:v>NX3008NBK,215</x:v>
      </x:c>
      <x:c r="C233" s="17" t="str">
        <x:v>DigiKey</x:v>
      </x:c>
      <x:c r="D233" s="17" t="str">
        <x:v>Not stated</x:v>
      </x:c>
      <x:c r="E233" s="24" t="d">
        <x:v>2026-10-12T11:28:25.479Z</x:v>
      </x:c>
      <x:c r="F233" s="18" t="n">
        <x:v>1</x:v>
      </x:c>
      <x:c r="G233" s="18" t="n">
        <x:v>1</x:v>
      </x:c>
      <x:c r="H233" s="18" t="n">
        <x:v>3387</x:v>
      </x:c>
      <x:c r="I233" s="18" t="n">
        <x:v>100</x:v>
      </x:c>
      <x:c r="J233" s="25" t="n">
        <x:v>0.0796</x:v>
      </x:c>
      <x:c r="K233" s="25" t="n">
        <x:v>0</x:v>
      </x:c>
      <x:c r="L233" s="26" t="str">
        <x:v>Active</x:v>
      </x:c>
      <x:c r="M233" s="26" t="str">
        <x:v>Not independently stated in this supplement</x:v>
      </x:c>
      <x:c r="N233" s="23" t="b">
        <x:v>0</x:v>
      </x:c>
      <x:c r="O233" s="2" t="str">
        <x:v>Unreserved inventory snapshot</x:v>
      </x:c>
      <x:c r="P233" s="2"/>
      <x:c r="Q233" s="2" t="str">
        <x:v>https://www.digikey.com/en/products/detail/nexperia-usa-inc/NX3008NBK-215/2779967</x:v>
      </x:c>
    </x:row>
    <x:row r="234" ht="44" customHeight="1">
      <x:c r="A234" s="17" t="str">
        <x:v>OF0228</x:v>
      </x:c>
      <x:c r="B234" s="17" t="str">
        <x:v>PSMN015-100YLX</x:v>
      </x:c>
      <x:c r="C234" s="17" t="str">
        <x:v>DigiKey</x:v>
      </x:c>
      <x:c r="D234" s="17" t="str">
        <x:v>Not stated</x:v>
      </x:c>
      <x:c r="E234" s="24" t="d">
        <x:v>2026-10-12T11:28:25.468Z</x:v>
      </x:c>
      <x:c r="F234" s="18" t="n">
        <x:v>1</x:v>
      </x:c>
      <x:c r="G234" s="18" t="n">
        <x:v>1</x:v>
      </x:c>
      <x:c r="H234" s="18" t="n">
        <x:v>825</x:v>
      </x:c>
      <x:c r="I234" s="18" t="n">
        <x:v>100</x:v>
      </x:c>
      <x:c r="J234" s="25" t="n">
        <x:v>0.8312</x:v>
      </x:c>
      <x:c r="K234" s="25" t="n">
        <x:v>0</x:v>
      </x:c>
      <x:c r="L234" s="26" t="str">
        <x:v>Active</x:v>
      </x:c>
      <x:c r="M234" s="26" t="str">
        <x:v>Not independently stated in this supplement</x:v>
      </x:c>
      <x:c r="N234" s="23" t="b">
        <x:v>0</x:v>
      </x:c>
      <x:c r="O234" s="2" t="str">
        <x:v>Unreserved inventory snapshot</x:v>
      </x:c>
      <x:c r="P234" s="2"/>
      <x:c r="Q234" s="2" t="str">
        <x:v>https://www.digikey.com/en/products/detail/nexperia-usa-inc/PSMN015-100YLX/5981419</x:v>
      </x:c>
    </x:row>
    <x:row r="235" ht="44" customHeight="1">
      <x:c r="A235" s="17" t="str">
        <x:v>OF0229</x:v>
      </x:c>
      <x:c r="B235" s="17" t="str">
        <x:v>RC0402FR-07240RL</x:v>
      </x:c>
      <x:c r="C235" s="17" t="str">
        <x:v>DigiKey</x:v>
      </x:c>
      <x:c r="D235" s="17" t="str">
        <x:v>Not stated</x:v>
      </x:c>
      <x:c r="E235" s="24" t="d">
        <x:v>2026-10-12T11:28:25.479Z</x:v>
      </x:c>
      <x:c r="F235" s="18" t="n">
        <x:v>1</x:v>
      </x:c>
      <x:c r="G235" s="18" t="n">
        <x:v>1</x:v>
      </x:c>
      <x:c r="H235" s="18" t="n">
        <x:v>880015</x:v>
      </x:c>
      <x:c r="I235" s="18" t="n">
        <x:v>100</x:v>
      </x:c>
      <x:c r="J235" s="25" t="n">
        <x:v>0.0097</x:v>
      </x:c>
      <x:c r="K235" s="25" t="n">
        <x:v>0</x:v>
      </x:c>
      <x:c r="L235" s="26" t="str">
        <x:v>Active</x:v>
      </x:c>
      <x:c r="M235" s="26" t="str">
        <x:v>Not independently stated in this supplement</x:v>
      </x:c>
      <x:c r="N235" s="23" t="b">
        <x:v>0</x:v>
      </x:c>
      <x:c r="O235" s="2" t="str">
        <x:v>Unreserved inventory snapshot</x:v>
      </x:c>
      <x:c r="P235" s="2"/>
      <x:c r="Q235" s="2" t="str">
        <x:v>https://www.digikey.com/en/products/detail/yageo/RC0402FR-07240RL/2827564</x:v>
      </x:c>
    </x:row>
    <x:row r="236" ht="44" customHeight="1">
      <x:c r="A236" s="17" t="str">
        <x:v>OF0230</x:v>
      </x:c>
      <x:c r="B236" s="17" t="str">
        <x:v>RC0603FR-0718K2L</x:v>
      </x:c>
      <x:c r="C236" s="17" t="str">
        <x:v>DigiKey</x:v>
      </x:c>
      <x:c r="D236" s="17" t="str">
        <x:v>Not stated</x:v>
      </x:c>
      <x:c r="E236" s="24" t="d">
        <x:v>2026-10-12T11:28:25.466Z</x:v>
      </x:c>
      <x:c r="F236" s="18" t="n">
        <x:v>1</x:v>
      </x:c>
      <x:c r="G236" s="18" t="n">
        <x:v>1</x:v>
      </x:c>
      <x:c r="H236" s="18" t="n">
        <x:v>88477</x:v>
      </x:c>
      <x:c r="I236" s="18" t="n">
        <x:v>100</x:v>
      </x:c>
      <x:c r="J236" s="25" t="n">
        <x:v>0.0122</x:v>
      </x:c>
      <x:c r="K236" s="25" t="n">
        <x:v>0</x:v>
      </x:c>
      <x:c r="L236" s="26" t="str">
        <x:v>Active</x:v>
      </x:c>
      <x:c r="M236" s="26" t="str">
        <x:v>Not independently stated in this supplement</x:v>
      </x:c>
      <x:c r="N236" s="23" t="b">
        <x:v>0</x:v>
      </x:c>
      <x:c r="O236" s="2" t="str">
        <x:v>Unreserved inventory snapshot</x:v>
      </x:c>
      <x:c r="P236" s="2"/>
      <x:c r="Q236" s="2" t="str">
        <x:v>https://www.digikey.com/en/products/detail/yageo/RC0603FR-0718K2L/729938</x:v>
      </x:c>
    </x:row>
    <x:row r="237" ht="44" customHeight="1">
      <x:c r="A237" s="17" t="str">
        <x:v>OF0231</x:v>
      </x:c>
      <x:c r="B237" s="17" t="str">
        <x:v>RG1608N-222-W-T1</x:v>
      </x:c>
      <x:c r="C237" s="17" t="str">
        <x:v>DigiKey</x:v>
      </x:c>
      <x:c r="D237" s="17" t="str">
        <x:v>Not stated</x:v>
      </x:c>
      <x:c r="E237" s="24" t="d">
        <x:v>2026-10-12T11:28:25.466Z</x:v>
      </x:c>
      <x:c r="F237" s="18" t="n">
        <x:v>1</x:v>
      </x:c>
      <x:c r="G237" s="18" t="n">
        <x:v>1</x:v>
      </x:c>
      <x:c r="H237" s="18" t="n">
        <x:v>87579</x:v>
      </x:c>
      <x:c r="I237" s="18" t="n">
        <x:v>100</x:v>
      </x:c>
      <x:c r="J237" s="25" t="n">
        <x:v>0.4381</x:v>
      </x:c>
      <x:c r="K237" s="25" t="n">
        <x:v>0</x:v>
      </x:c>
      <x:c r="L237" s="26" t="str">
        <x:v>Active</x:v>
      </x:c>
      <x:c r="M237" s="26" t="str">
        <x:v>Not independently stated in this supplement</x:v>
      </x:c>
      <x:c r="N237" s="23" t="b">
        <x:v>0</x:v>
      </x:c>
      <x:c r="O237" s="2" t="str">
        <x:v>Unreserved inventory snapshot</x:v>
      </x:c>
      <x:c r="P237" s="2"/>
      <x:c r="Q237" s="2" t="str">
        <x:v>https://www.digikey.com/en/products/detail/susumu/RG1608N-222-W-T1/600605</x:v>
      </x:c>
    </x:row>
    <x:row r="238" ht="44" customHeight="1">
      <x:c r="A238" s="17" t="str">
        <x:v>OF0232</x:v>
      </x:c>
      <x:c r="B238" s="17" t="str">
        <x:v>RG1608N-392-W-T1</x:v>
      </x:c>
      <x:c r="C238" s="17" t="str">
        <x:v>DigiKey</x:v>
      </x:c>
      <x:c r="D238" s="17" t="str">
        <x:v>Not stated</x:v>
      </x:c>
      <x:c r="E238" s="24" t="d">
        <x:v>2026-10-12T11:28:25.466Z</x:v>
      </x:c>
      <x:c r="F238" s="18" t="n">
        <x:v>1</x:v>
      </x:c>
      <x:c r="G238" s="18" t="n">
        <x:v>1</x:v>
      </x:c>
      <x:c r="H238" s="18" t="n">
        <x:v>9903</x:v>
      </x:c>
      <x:c r="I238" s="18" t="n">
        <x:v>100</x:v>
      </x:c>
      <x:c r="J238" s="25" t="n">
        <x:v>0.4381</x:v>
      </x:c>
      <x:c r="K238" s="25" t="n">
        <x:v>0</x:v>
      </x:c>
      <x:c r="L238" s="26" t="str">
        <x:v>Active</x:v>
      </x:c>
      <x:c r="M238" s="26" t="str">
        <x:v>Not independently stated in this supplement</x:v>
      </x:c>
      <x:c r="N238" s="23" t="b">
        <x:v>0</x:v>
      </x:c>
      <x:c r="O238" s="2" t="str">
        <x:v>Unreserved inventory snapshot</x:v>
      </x:c>
      <x:c r="P238" s="2"/>
      <x:c r="Q238" s="2" t="str">
        <x:v>https://www.digikey.com/en/products/detail/susumu/RG1608N-392-W-T1/600611</x:v>
      </x:c>
    </x:row>
    <x:row r="239" ht="44" customHeight="1">
      <x:c r="A239" s="17" t="str">
        <x:v>OF0233</x:v>
      </x:c>
      <x:c r="B239" s="17" t="str">
        <x:v>RG1608N-682-W-T1</x:v>
      </x:c>
      <x:c r="C239" s="17" t="str">
        <x:v>DigiKey</x:v>
      </x:c>
      <x:c r="D239" s="17" t="str">
        <x:v>Not stated</x:v>
      </x:c>
      <x:c r="E239" s="24" t="d">
        <x:v>2026-10-12T11:28:25.472Z</x:v>
      </x:c>
      <x:c r="F239" s="18" t="n">
        <x:v>1</x:v>
      </x:c>
      <x:c r="G239" s="18" t="n">
        <x:v>1</x:v>
      </x:c>
      <x:c r="H239" s="18" t="n">
        <x:v>3134</x:v>
      </x:c>
      <x:c r="I239" s="18" t="n">
        <x:v>100</x:v>
      </x:c>
      <x:c r="J239" s="25" t="n">
        <x:v>0.4133</x:v>
      </x:c>
      <x:c r="K239" s="25" t="n">
        <x:v>0</x:v>
      </x:c>
      <x:c r="L239" s="26" t="str">
        <x:v>Active</x:v>
      </x:c>
      <x:c r="M239" s="26" t="str">
        <x:v>Not independently stated in this supplement</x:v>
      </x:c>
      <x:c r="N239" s="23" t="b">
        <x:v>0</x:v>
      </x:c>
      <x:c r="O239" s="2" t="str">
        <x:v>Unreserved inventory snapshot</x:v>
      </x:c>
      <x:c r="P239" s="2"/>
      <x:c r="Q239" s="2" t="str">
        <x:v>https://www.digikey.com/en/products/detail/susumu/RG1608N-682-W-T1/600805</x:v>
      </x:c>
    </x:row>
    <x:row r="240" ht="44" customHeight="1">
      <x:c r="A240" s="17" t="str">
        <x:v>OF0234</x:v>
      </x:c>
      <x:c r="B240" s="17" t="str">
        <x:v>RHA0J471MCN1GS</x:v>
      </x:c>
      <x:c r="C240" s="17" t="str">
        <x:v>DigiKey</x:v>
      </x:c>
      <x:c r="D240" s="17" t="str">
        <x:v>Not stated</x:v>
      </x:c>
      <x:c r="E240" s="24" t="d">
        <x:v>2026-10-12T11:28:25.471Z</x:v>
      </x:c>
      <x:c r="F240" s="18" t="n">
        <x:v>1</x:v>
      </x:c>
      <x:c r="G240" s="18" t="n">
        <x:v>1</x:v>
      </x:c>
      <x:c r="H240" s="18" t="n">
        <x:v>43782</x:v>
      </x:c>
      <x:c r="I240" s="18" t="n">
        <x:v>100</x:v>
      </x:c>
      <x:c r="J240" s="25" t="n">
        <x:v>0.6091</x:v>
      </x:c>
      <x:c r="K240" s="25" t="n">
        <x:v>0</x:v>
      </x:c>
      <x:c r="L240" s="26" t="str">
        <x:v>Active</x:v>
      </x:c>
      <x:c r="M240" s="26" t="str">
        <x:v>Not independently stated in this supplement</x:v>
      </x:c>
      <x:c r="N240" s="23" t="b">
        <x:v>0</x:v>
      </x:c>
      <x:c r="O240" s="2" t="str">
        <x:v>Unreserved inventory snapshot</x:v>
      </x:c>
      <x:c r="P240" s="2"/>
      <x:c r="Q240" s="2" t="str">
        <x:v>https://www.digikey.com/en/products/detail/nichicon/RHA0J471MCN1GS/2209461</x:v>
      </x:c>
    </x:row>
    <x:row r="241" ht="44" customHeight="1">
      <x:c r="A241" s="17" t="str">
        <x:v>OF0235</x:v>
      </x:c>
      <x:c r="B241" s="17" t="str">
        <x:v>RN73R1ETTP9650B25</x:v>
      </x:c>
      <x:c r="C241" s="17" t="str">
        <x:v>DigiKey</x:v>
      </x:c>
      <x:c r="D241" s="17" t="str">
        <x:v>Not stated</x:v>
      </x:c>
      <x:c r="E241" s="24" t="d">
        <x:v>2026-10-12T11:28:25.475Z</x:v>
      </x:c>
      <x:c r="F241" s="18" t="n">
        <x:v>1</x:v>
      </x:c>
      <x:c r="G241" s="18" t="n">
        <x:v>1</x:v>
      </x:c>
      <x:c r="H241" s="18" t="n">
        <x:v>292</x:v>
      </x:c>
      <x:c r="I241" s="18" t="n">
        <x:v>100</x:v>
      </x:c>
      <x:c r="J241" s="25" t="n">
        <x:v>0.0891</x:v>
      </x:c>
      <x:c r="K241" s="25" t="n">
        <x:v>0</x:v>
      </x:c>
      <x:c r="L241" s="26" t="str">
        <x:v>Active</x:v>
      </x:c>
      <x:c r="M241" s="26" t="str">
        <x:v>Not independently stated in this supplement</x:v>
      </x:c>
      <x:c r="N241" s="23" t="b">
        <x:v>0</x:v>
      </x:c>
      <x:c r="O241" s="2" t="str">
        <x:v>Unreserved inventory snapshot</x:v>
      </x:c>
      <x:c r="P241" s="2"/>
      <x:c r="Q241" s="2" t="str">
        <x:v>https://www.digikey.com/en/products/detail/koa-speer-electronics-inc/RN73R1ETTP9650B25/10007834</x:v>
      </x:c>
    </x:row>
    <x:row r="242" ht="44" customHeight="1">
      <x:c r="A242" s="17" t="str">
        <x:v>OF0236</x:v>
      </x:c>
      <x:c r="B242" s="17" t="str">
        <x:v>RT0402BRD07107KL</x:v>
      </x:c>
      <x:c r="C242" s="17" t="str">
        <x:v>DigiKey</x:v>
      </x:c>
      <x:c r="D242" s="17" t="str">
        <x:v>Not stated</x:v>
      </x:c>
      <x:c r="E242" s="24" t="d">
        <x:v>2026-10-12T11:28:25.471Z</x:v>
      </x:c>
      <x:c r="F242" s="18" t="n">
        <x:v>1</x:v>
      </x:c>
      <x:c r="G242" s="18" t="n">
        <x:v>1</x:v>
      </x:c>
      <x:c r="H242" s="18" t="n">
        <x:v>1437</x:v>
      </x:c>
      <x:c r="I242" s="18" t="n">
        <x:v>100</x:v>
      </x:c>
      <x:c r="J242" s="25" t="n">
        <x:v>0.0846</x:v>
      </x:c>
      <x:c r="K242" s="25" t="n">
        <x:v>0</x:v>
      </x:c>
      <x:c r="L242" s="26" t="str">
        <x:v>Active</x:v>
      </x:c>
      <x:c r="M242" s="26" t="str">
        <x:v>Not independently stated in this supplement</x:v>
      </x:c>
      <x:c r="N242" s="23" t="b">
        <x:v>0</x:v>
      </x:c>
      <x:c r="O242" s="2" t="str">
        <x:v>Unreserved inventory snapshot</x:v>
      </x:c>
      <x:c r="P242" s="2"/>
      <x:c r="Q242" s="2" t="str">
        <x:v>https://www.digikey.com/en/products/detail/yageo/RT0402BRD07107KL/7708214</x:v>
      </x:c>
    </x:row>
    <x:row r="243" ht="44" customHeight="1">
      <x:c r="A243" s="17" t="str">
        <x:v>OF0237</x:v>
      </x:c>
      <x:c r="B243" s="17" t="str">
        <x:v>RT0402BRD0711K3L</x:v>
      </x:c>
      <x:c r="C243" s="17" t="str">
        <x:v>DigiKey</x:v>
      </x:c>
      <x:c r="D243" s="17" t="str">
        <x:v>Not stated</x:v>
      </x:c>
      <x:c r="E243" s="24" t="d">
        <x:v>2026-10-12T11:28:25.471Z</x:v>
      </x:c>
      <x:c r="F243" s="18" t="n">
        <x:v>1</x:v>
      </x:c>
      <x:c r="G243" s="18" t="n">
        <x:v>1</x:v>
      </x:c>
      <x:c r="H243" s="18" t="n">
        <x:v>37762</x:v>
      </x:c>
      <x:c r="I243" s="18" t="n">
        <x:v>100</x:v>
      </x:c>
      <x:c r="J243" s="25" t="n">
        <x:v>0.0736</x:v>
      </x:c>
      <x:c r="K243" s="25" t="n">
        <x:v>0</x:v>
      </x:c>
      <x:c r="L243" s="26" t="str">
        <x:v>Active</x:v>
      </x:c>
      <x:c r="M243" s="26" t="str">
        <x:v>Not independently stated in this supplement</x:v>
      </x:c>
      <x:c r="N243" s="23" t="b">
        <x:v>0</x:v>
      </x:c>
      <x:c r="O243" s="2" t="str">
        <x:v>Unreserved inventory snapshot</x:v>
      </x:c>
      <x:c r="P243" s="2"/>
      <x:c r="Q243" s="2" t="str">
        <x:v>https://www.digikey.com/en/products/detail/yageo/RT0402BRD0711K3L/6616321</x:v>
      </x:c>
    </x:row>
    <x:row r="244" ht="44" customHeight="1">
      <x:c r="A244" s="17" t="str">
        <x:v>OF0238</x:v>
      </x:c>
      <x:c r="B244" s="17" t="str">
        <x:v>RT0402BRD0717K4L</x:v>
      </x:c>
      <x:c r="C244" s="17" t="str">
        <x:v>DigiKey</x:v>
      </x:c>
      <x:c r="D244" s="17" t="str">
        <x:v>Not stated</x:v>
      </x:c>
      <x:c r="E244" s="24" t="d">
        <x:v>2026-10-12T11:28:25.468Z</x:v>
      </x:c>
      <x:c r="F244" s="18" t="n">
        <x:v>1</x:v>
      </x:c>
      <x:c r="G244" s="18" t="n">
        <x:v>1</x:v>
      </x:c>
      <x:c r="H244" s="18" t="n">
        <x:v>1781</x:v>
      </x:c>
      <x:c r="I244" s="18" t="n">
        <x:v>100</x:v>
      </x:c>
      <x:c r="J244" s="25" t="n">
        <x:v>0.0694</x:v>
      </x:c>
      <x:c r="K244" s="25" t="n">
        <x:v>0</x:v>
      </x:c>
      <x:c r="L244" s="26" t="str">
        <x:v>Active</x:v>
      </x:c>
      <x:c r="M244" s="26" t="str">
        <x:v>Not independently stated in this supplement</x:v>
      </x:c>
      <x:c r="N244" s="23" t="b">
        <x:v>0</x:v>
      </x:c>
      <x:c r="O244" s="2" t="str">
        <x:v>Unreserved inventory snapshot</x:v>
      </x:c>
      <x:c r="P244" s="2"/>
      <x:c r="Q244" s="2" t="str">
        <x:v>https://www.digikey.com/en/products/detail/yageo/RT0402BRD0717K4L/1069068</x:v>
      </x:c>
    </x:row>
    <x:row r="245" ht="44" customHeight="1">
      <x:c r="A245" s="17" t="str">
        <x:v>OF0239</x:v>
      </x:c>
      <x:c r="B245" s="17" t="str">
        <x:v>RT0402BRD071KL</x:v>
      </x:c>
      <x:c r="C245" s="17" t="str">
        <x:v>DigiKey</x:v>
      </x:c>
      <x:c r="D245" s="17" t="str">
        <x:v>Not stated</x:v>
      </x:c>
      <x:c r="E245" s="24" t="d">
        <x:v>2026-10-12T11:28:25.471Z</x:v>
      </x:c>
      <x:c r="F245" s="18" t="n">
        <x:v>1</x:v>
      </x:c>
      <x:c r="G245" s="18" t="n">
        <x:v>1</x:v>
      </x:c>
      <x:c r="H245" s="18" t="n">
        <x:v>374004</x:v>
      </x:c>
      <x:c r="I245" s="18" t="n">
        <x:v>100</x:v>
      </x:c>
      <x:c r="J245" s="25" t="n">
        <x:v>0.0736</x:v>
      </x:c>
      <x:c r="K245" s="25" t="n">
        <x:v>0</x:v>
      </x:c>
      <x:c r="L245" s="26" t="str">
        <x:v>Active</x:v>
      </x:c>
      <x:c r="M245" s="26" t="str">
        <x:v>Not independently stated in this supplement</x:v>
      </x:c>
      <x:c r="N245" s="23" t="b">
        <x:v>0</x:v>
      </x:c>
      <x:c r="O245" s="2" t="str">
        <x:v>Unreserved inventory snapshot</x:v>
      </x:c>
      <x:c r="P245" s="2"/>
      <x:c r="Q245" s="2" t="str">
        <x:v>https://www.digikey.com/en/products/detail/yageo/RT0402BRD071KL/5138834</x:v>
      </x:c>
    </x:row>
    <x:row r="246" ht="44" customHeight="1">
      <x:c r="A246" s="17" t="str">
        <x:v>OF0240</x:v>
      </x:c>
      <x:c r="B246" s="17" t="str">
        <x:v>RT0402BRD07301RL</x:v>
      </x:c>
      <x:c r="C246" s="17" t="str">
        <x:v>DigiKey</x:v>
      </x:c>
      <x:c r="D246" s="17" t="str">
        <x:v>Not stated</x:v>
      </x:c>
      <x:c r="E246" s="24" t="d">
        <x:v>2026-10-12T11:28:25.481Z</x:v>
      </x:c>
      <x:c r="F246" s="18" t="n">
        <x:v>1</x:v>
      </x:c>
      <x:c r="G246" s="18" t="n">
        <x:v>1</x:v>
      </x:c>
      <x:c r="H246" s="18" t="n">
        <x:v>1053</x:v>
      </x:c>
      <x:c r="I246" s="18" t="n">
        <x:v>100</x:v>
      </x:c>
      <x:c r="J246" s="25" t="n">
        <x:v>0.0694</x:v>
      </x:c>
      <x:c r="K246" s="25" t="n">
        <x:v>0</x:v>
      </x:c>
      <x:c r="L246" s="26" t="str">
        <x:v>Active</x:v>
      </x:c>
      <x:c r="M246" s="26" t="str">
        <x:v>Not independently stated in this supplement</x:v>
      </x:c>
      <x:c r="N246" s="23" t="b">
        <x:v>0</x:v>
      </x:c>
      <x:c r="O246" s="2" t="str">
        <x:v>Unreserved inventory snapshot</x:v>
      </x:c>
      <x:c r="P246" s="2"/>
      <x:c r="Q246" s="2" t="str">
        <x:v>https://www.digikey.com/en/products/detail/yageo/RT0402BRD07301RL/1069200</x:v>
      </x:c>
    </x:row>
    <x:row r="247" ht="44" customHeight="1">
      <x:c r="A247" s="17" t="str">
        <x:v>OF0241</x:v>
      </x:c>
      <x:c r="B247" s="17" t="str">
        <x:v>RT0402BRD0757K6L</x:v>
      </x:c>
      <x:c r="C247" s="17" t="str">
        <x:v>DigiKey</x:v>
      </x:c>
      <x:c r="D247" s="17" t="str">
        <x:v>Not stated</x:v>
      </x:c>
      <x:c r="E247" s="24" t="d">
        <x:v>2026-10-12T11:28:25.468Z</x:v>
      </x:c>
      <x:c r="F247" s="18" t="n">
        <x:v>1</x:v>
      </x:c>
      <x:c r="G247" s="18" t="n">
        <x:v>1</x:v>
      </x:c>
      <x:c r="H247" s="18" t="n">
        <x:v>19539</x:v>
      </x:c>
      <x:c r="I247" s="18" t="n">
        <x:v>100</x:v>
      </x:c>
      <x:c r="J247" s="25" t="n">
        <x:v>0.0736</x:v>
      </x:c>
      <x:c r="K247" s="25" t="n">
        <x:v>0</x:v>
      </x:c>
      <x:c r="L247" s="26" t="str">
        <x:v>Active</x:v>
      </x:c>
      <x:c r="M247" s="26" t="str">
        <x:v>Not independently stated in this supplement</x:v>
      </x:c>
      <x:c r="N247" s="23" t="b">
        <x:v>0</x:v>
      </x:c>
      <x:c r="O247" s="2" t="str">
        <x:v>Unreserved inventory snapshot</x:v>
      </x:c>
      <x:c r="P247" s="2"/>
      <x:c r="Q247" s="2" t="str">
        <x:v>https://www.digikey.com/en/products/detail/yageo/RT0402BRD0757K6L/6616439</x:v>
      </x:c>
    </x:row>
    <x:row r="248" ht="44" customHeight="1">
      <x:c r="A248" s="17" t="str">
        <x:v>OF0242</x:v>
      </x:c>
      <x:c r="B248" s="17" t="str">
        <x:v>RT0402BRD0780K6L</x:v>
      </x:c>
      <x:c r="C248" s="17" t="str">
        <x:v>DigiKey</x:v>
      </x:c>
      <x:c r="D248" s="17" t="str">
        <x:v>Not stated</x:v>
      </x:c>
      <x:c r="E248" s="24" t="d">
        <x:v>2026-10-12T11:28:25.481Z</x:v>
      </x:c>
      <x:c r="F248" s="18" t="n">
        <x:v>1</x:v>
      </x:c>
      <x:c r="G248" s="18" t="n">
        <x:v>1</x:v>
      </x:c>
      <x:c r="H248" s="18" t="n">
        <x:v>6673</x:v>
      </x:c>
      <x:c r="I248" s="18" t="n">
        <x:v>100</x:v>
      </x:c>
      <x:c r="J248" s="25" t="n">
        <x:v>0.0694</x:v>
      </x:c>
      <x:c r="K248" s="25" t="n">
        <x:v>0</x:v>
      </x:c>
      <x:c r="L248" s="26" t="str">
        <x:v>Active</x:v>
      </x:c>
      <x:c r="M248" s="26" t="str">
        <x:v>Not independently stated in this supplement</x:v>
      </x:c>
      <x:c r="N248" s="23" t="b">
        <x:v>0</x:v>
      </x:c>
      <x:c r="O248" s="2" t="str">
        <x:v>Unreserved inventory snapshot</x:v>
      </x:c>
      <x:c r="P248" s="2"/>
      <x:c r="Q248" s="2" t="str">
        <x:v>https://www.digikey.com/en/products/detail/yageo/RT0402BRD0780K6L/1069400</x:v>
      </x:c>
    </x:row>
    <x:row r="249" ht="44" customHeight="1">
      <x:c r="A249" s="17" t="str">
        <x:v>OF0243</x:v>
      </x:c>
      <x:c r="B249" s="17" t="str">
        <x:v>RT0402BRD0782K5L</x:v>
      </x:c>
      <x:c r="C249" s="17" t="str">
        <x:v>DigiKey</x:v>
      </x:c>
      <x:c r="D249" s="17" t="str">
        <x:v>Not stated</x:v>
      </x:c>
      <x:c r="E249" s="24" t="d">
        <x:v>2026-10-12T11:28:25.481Z</x:v>
      </x:c>
      <x:c r="F249" s="18" t="n">
        <x:v>1</x:v>
      </x:c>
      <x:c r="G249" s="18" t="n">
        <x:v>1</x:v>
      </x:c>
      <x:c r="H249" s="18" t="n">
        <x:v>60091</x:v>
      </x:c>
      <x:c r="I249" s="18" t="n">
        <x:v>100</x:v>
      </x:c>
      <x:c r="J249" s="25" t="n">
        <x:v>0.0694</x:v>
      </x:c>
      <x:c r="K249" s="25" t="n">
        <x:v>0</x:v>
      </x:c>
      <x:c r="L249" s="26" t="str">
        <x:v>Active</x:v>
      </x:c>
      <x:c r="M249" s="26" t="str">
        <x:v>Not independently stated in this supplement</x:v>
      </x:c>
      <x:c r="N249" s="23" t="b">
        <x:v>0</x:v>
      </x:c>
      <x:c r="O249" s="2" t="str">
        <x:v>Unreserved inventory snapshot</x:v>
      </x:c>
      <x:c r="P249" s="2"/>
      <x:c r="Q249" s="2" t="str">
        <x:v>https://www.digikey.com/en/products/detail/yageo/RT0402BRD0782K5L/1069404</x:v>
      </x:c>
    </x:row>
    <x:row r="250" ht="44" customHeight="1">
      <x:c r="A250" s="17" t="str">
        <x:v>OF0244</x:v>
      </x:c>
      <x:c r="B250" s="17" t="str">
        <x:v>RT0603BRD0710KL</x:v>
      </x:c>
      <x:c r="C250" s="17" t="str">
        <x:v>DigiKey</x:v>
      </x:c>
      <x:c r="D250" s="17" t="str">
        <x:v>Not stated</x:v>
      </x:c>
      <x:c r="E250" s="24" t="d">
        <x:v>2026-10-12T11:28:25.481Z</x:v>
      </x:c>
      <x:c r="F250" s="18" t="n">
        <x:v>1</x:v>
      </x:c>
      <x:c r="G250" s="18" t="n">
        <x:v>1</x:v>
      </x:c>
      <x:c r="H250" s="18" t="n">
        <x:v>269413</x:v>
      </x:c>
      <x:c r="I250" s="18" t="n">
        <x:v>100</x:v>
      </x:c>
      <x:c r="J250" s="25" t="n">
        <x:v>0.058</x:v>
      </x:c>
      <x:c r="K250" s="25" t="n">
        <x:v>0</x:v>
      </x:c>
      <x:c r="L250" s="26" t="str">
        <x:v>Active</x:v>
      </x:c>
      <x:c r="M250" s="26" t="str">
        <x:v>Not independently stated in this supplement</x:v>
      </x:c>
      <x:c r="N250" s="23" t="b">
        <x:v>0</x:v>
      </x:c>
      <x:c r="O250" s="2" t="str">
        <x:v>Unreserved inventory snapshot</x:v>
      </x:c>
      <x:c r="P250" s="2"/>
      <x:c r="Q250" s="2" t="str">
        <x:v>https://www.digikey.com/en/products/detail/yageo/RT0603BRD0710KL/4340589</x:v>
      </x:c>
    </x:row>
    <x:row r="251" ht="44" customHeight="1">
      <x:c r="A251" s="17" t="str">
        <x:v>OF0245</x:v>
      </x:c>
      <x:c r="B251" s="17" t="str">
        <x:v>RT0603BRD07140KL</x:v>
      </x:c>
      <x:c r="C251" s="17" t="str">
        <x:v>DigiKey</x:v>
      </x:c>
      <x:c r="D251" s="17" t="str">
        <x:v>Not stated</x:v>
      </x:c>
      <x:c r="E251" s="24" t="d">
        <x:v>2026-10-12T11:28:25.479Z</x:v>
      </x:c>
      <x:c r="F251" s="18" t="n">
        <x:v>1</x:v>
      </x:c>
      <x:c r="G251" s="18" t="n">
        <x:v>1</x:v>
      </x:c>
      <x:c r="H251" s="18" t="n">
        <x:v>9088</x:v>
      </x:c>
      <x:c r="I251" s="18" t="n">
        <x:v>100</x:v>
      </x:c>
      <x:c r="J251" s="25" t="n">
        <x:v>0.058</x:v>
      </x:c>
      <x:c r="K251" s="25" t="n">
        <x:v>0</x:v>
      </x:c>
      <x:c r="L251" s="26" t="str">
        <x:v>Active</x:v>
      </x:c>
      <x:c r="M251" s="26" t="str">
        <x:v>Not independently stated in this supplement</x:v>
      </x:c>
      <x:c r="N251" s="23" t="b">
        <x:v>0</x:v>
      </x:c>
      <x:c r="O251" s="2" t="str">
        <x:v>Unreserved inventory snapshot</x:v>
      </x:c>
      <x:c r="P251" s="2"/>
      <x:c r="Q251" s="2" t="str">
        <x:v>https://www.digikey.com/en/products/detail/yageo/RT0603BRD07140KL/1072246</x:v>
      </x:c>
    </x:row>
    <x:row r="252" ht="44" customHeight="1">
      <x:c r="A252" s="17" t="str">
        <x:v>OF0246</x:v>
      </x:c>
      <x:c r="B252" s="17" t="str">
        <x:v>RT0603BRD0727KL</x:v>
      </x:c>
      <x:c r="C252" s="17" t="str">
        <x:v>DigiKey</x:v>
      </x:c>
      <x:c r="D252" s="17" t="str">
        <x:v>Not stated</x:v>
      </x:c>
      <x:c r="E252" s="24" t="d">
        <x:v>2026-10-12T11:28:25.468Z</x:v>
      </x:c>
      <x:c r="F252" s="18" t="n">
        <x:v>1</x:v>
      </x:c>
      <x:c r="G252" s="18" t="n">
        <x:v>1</x:v>
      </x:c>
      <x:c r="H252" s="18" t="n">
        <x:v>17245</x:v>
      </x:c>
      <x:c r="I252" s="18" t="n">
        <x:v>100</x:v>
      </x:c>
      <x:c r="J252" s="25" t="n">
        <x:v>0.058</x:v>
      </x:c>
      <x:c r="K252" s="25" t="n">
        <x:v>0</x:v>
      </x:c>
      <x:c r="L252" s="26" t="str">
        <x:v>Active</x:v>
      </x:c>
      <x:c r="M252" s="26" t="str">
        <x:v>Not independently stated in this supplement</x:v>
      </x:c>
      <x:c r="N252" s="23" t="b">
        <x:v>0</x:v>
      </x:c>
      <x:c r="O252" s="2" t="str">
        <x:v>Unreserved inventory snapshot</x:v>
      </x:c>
      <x:c r="P252" s="2"/>
      <x:c r="Q252" s="2" t="str">
        <x:v>https://www.digikey.com/en/products/detail/yageo/RT0603BRD0727KL/1072410</x:v>
      </x:c>
    </x:row>
    <x:row r="253" ht="44" customHeight="1">
      <x:c r="A253" s="17" t="str">
        <x:v>OF0247</x:v>
      </x:c>
      <x:c r="B253" s="17" t="str">
        <x:v>RT0603BRD072K26L</x:v>
      </x:c>
      <x:c r="C253" s="17" t="str">
        <x:v>DigiKey</x:v>
      </x:c>
      <x:c r="D253" s="17" t="str">
        <x:v>Not stated</x:v>
      </x:c>
      <x:c r="E253" s="24" t="d">
        <x:v>2026-10-12T11:28:25.479Z</x:v>
      </x:c>
      <x:c r="F253" s="18" t="n">
        <x:v>1</x:v>
      </x:c>
      <x:c r="G253" s="18" t="n">
        <x:v>1</x:v>
      </x:c>
      <x:c r="H253" s="18" t="n">
        <x:v>12101</x:v>
      </x:c>
      <x:c r="I253" s="18" t="n">
        <x:v>100</x:v>
      </x:c>
      <x:c r="J253" s="25" t="n">
        <x:v>0.0615</x:v>
      </x:c>
      <x:c r="K253" s="25" t="n">
        <x:v>0</x:v>
      </x:c>
      <x:c r="L253" s="26" t="str">
        <x:v>Active</x:v>
      </x:c>
      <x:c r="M253" s="26" t="str">
        <x:v>Not independently stated in this supplement</x:v>
      </x:c>
      <x:c r="N253" s="23" t="b">
        <x:v>0</x:v>
      </x:c>
      <x:c r="O253" s="2" t="str">
        <x:v>Unreserved inventory snapshot</x:v>
      </x:c>
      <x:c r="P253" s="2"/>
      <x:c r="Q253" s="2" t="str">
        <x:v>https://www.digikey.com/en/products/detail/yageo/RT0603BRD072K26L/5139063</x:v>
      </x:c>
    </x:row>
    <x:row r="254" ht="44" customHeight="1">
      <x:c r="A254" s="17" t="str">
        <x:v>OF0248</x:v>
      </x:c>
      <x:c r="B254" s="17" t="str">
        <x:v>RT0603BRD0732K4L</x:v>
      </x:c>
      <x:c r="C254" s="17" t="str">
        <x:v>LCSC</x:v>
      </x:c>
      <x:c r="D254" s="17" t="str">
        <x:v>C861323</x:v>
      </x:c>
      <x:c r="E254" s="24" t="d">
        <x:v>2026-10-12T10:44:20.869Z</x:v>
      </x:c>
      <x:c r="F254" s="18" t="n">
        <x:v>20</x:v>
      </x:c>
      <x:c r="G254" s="18" t="n">
        <x:v>20</x:v>
      </x:c>
      <x:c r="H254" s="18" t="n">
        <x:v>18400</x:v>
      </x:c>
      <x:c r="I254" s="18" t="n">
        <x:v>200</x:v>
      </x:c>
      <x:c r="J254" s="25" t="n">
        <x:v>0.0358</x:v>
      </x:c>
      <x:c r="K254" s="25" t="n">
        <x:v>0</x:v>
      </x:c>
      <x:c r="L254" s="26" t="str">
        <x:v>Not stated by captured product payload</x:v>
      </x:c>
      <x:c r="M254" s="26" t="str">
        <x:v>Not independently stated in this supplement</x:v>
      </x:c>
      <x:c r="N254" s="23" t="b">
        <x:v>0</x:v>
      </x:c>
      <x:c r="O254" s="2" t="str">
        <x:v>Unreserved inventory snapshot</x:v>
      </x:c>
      <x:c r="P254" s="2"/>
      <x:c r="Q254" s="2" t="str">
        <x:v>https://www.lcsc.com/product-detail/C861323.html</x:v>
      </x:c>
    </x:row>
    <x:row r="255" ht="44" customHeight="1">
      <x:c r="A255" s="17" t="str">
        <x:v>OF0249</x:v>
      </x:c>
      <x:c r="B255" s="17" t="str">
        <x:v>RT0603BRD074K99L</x:v>
      </x:c>
      <x:c r="C255" s="17" t="str">
        <x:v>DigiKey</x:v>
      </x:c>
      <x:c r="D255" s="17" t="str">
        <x:v>Not stated</x:v>
      </x:c>
      <x:c r="E255" s="24" t="d">
        <x:v>2026-10-12T11:28:25.479Z</x:v>
      </x:c>
      <x:c r="F255" s="18" t="n">
        <x:v>1</x:v>
      </x:c>
      <x:c r="G255" s="18" t="n">
        <x:v>1</x:v>
      </x:c>
      <x:c r="H255" s="18" t="n">
        <x:v>42019</x:v>
      </x:c>
      <x:c r="I255" s="18" t="n">
        <x:v>100</x:v>
      </x:c>
      <x:c r="J255" s="25" t="n">
        <x:v>0.058</x:v>
      </x:c>
      <x:c r="K255" s="25" t="n">
        <x:v>0</x:v>
      </x:c>
      <x:c r="L255" s="26" t="str">
        <x:v>Active</x:v>
      </x:c>
      <x:c r="M255" s="26" t="str">
        <x:v>Not independently stated in this supplement</x:v>
      </x:c>
      <x:c r="N255" s="23" t="b">
        <x:v>0</x:v>
      </x:c>
      <x:c r="O255" s="2" t="str">
        <x:v>Unreserved inventory snapshot</x:v>
      </x:c>
      <x:c r="P255" s="2"/>
      <x:c r="Q255" s="2" t="str">
        <x:v>https://www.digikey.com/en/products/detail/yageo/RT0603BRD074K99L/1072563</x:v>
      </x:c>
    </x:row>
    <x:row r="256" ht="44" customHeight="1">
      <x:c r="A256" s="17" t="str">
        <x:v>OF0250</x:v>
      </x:c>
      <x:c r="B256" s="17" t="str">
        <x:v>RT0603BRD0768KL</x:v>
      </x:c>
      <x:c r="C256" s="17" t="str">
        <x:v>DigiKey</x:v>
      </x:c>
      <x:c r="D256" s="17" t="str">
        <x:v>Not stated</x:v>
      </x:c>
      <x:c r="E256" s="24" t="d">
        <x:v>2026-10-12T11:28:25.468Z</x:v>
      </x:c>
      <x:c r="F256" s="18" t="n">
        <x:v>1</x:v>
      </x:c>
      <x:c r="G256" s="18" t="n">
        <x:v>1</x:v>
      </x:c>
      <x:c r="H256" s="18" t="n">
        <x:v>21008</x:v>
      </x:c>
      <x:c r="I256" s="18" t="n">
        <x:v>100</x:v>
      </x:c>
      <x:c r="J256" s="25" t="n">
        <x:v>0.0615</x:v>
      </x:c>
      <x:c r="K256" s="25" t="n">
        <x:v>0</x:v>
      </x:c>
      <x:c r="L256" s="26" t="str">
        <x:v>Active</x:v>
      </x:c>
      <x:c r="M256" s="26" t="str">
        <x:v>Not independently stated in this supplement</x:v>
      </x:c>
      <x:c r="N256" s="23" t="b">
        <x:v>0</x:v>
      </x:c>
      <x:c r="O256" s="2" t="str">
        <x:v>Unreserved inventory snapshot</x:v>
      </x:c>
      <x:c r="P256" s="2"/>
      <x:c r="Q256" s="2" t="str">
        <x:v>https://www.digikey.com/en/products/detail/yageo/RT0603BRD0768KL/6616742</x:v>
      </x:c>
    </x:row>
    <x:row r="257" ht="44" customHeight="1">
      <x:c r="A257" s="17" t="str">
        <x:v>OF0251</x:v>
      </x:c>
      <x:c r="B257" s="17" t="str">
        <x:v>RT0603BRD0793K1L</x:v>
      </x:c>
      <x:c r="C257" s="17" t="str">
        <x:v>DigiKey</x:v>
      </x:c>
      <x:c r="D257" s="17" t="str">
        <x:v>Not stated</x:v>
      </x:c>
      <x:c r="E257" s="24" t="d">
        <x:v>2026-10-12T11:28:25.479Z</x:v>
      </x:c>
      <x:c r="F257" s="18" t="n">
        <x:v>1</x:v>
      </x:c>
      <x:c r="G257" s="18" t="n">
        <x:v>1</x:v>
      </x:c>
      <x:c r="H257" s="18" t="n">
        <x:v>66948</x:v>
      </x:c>
      <x:c r="I257" s="18" t="n">
        <x:v>100</x:v>
      </x:c>
      <x:c r="J257" s="25" t="n">
        <x:v>0.0615</x:v>
      </x:c>
      <x:c r="K257" s="25" t="n">
        <x:v>0</x:v>
      </x:c>
      <x:c r="L257" s="26" t="str">
        <x:v>Active</x:v>
      </x:c>
      <x:c r="M257" s="26" t="str">
        <x:v>Not independently stated in this supplement</x:v>
      </x:c>
      <x:c r="N257" s="23" t="b">
        <x:v>0</x:v>
      </x:c>
      <x:c r="O257" s="2" t="str">
        <x:v>Unreserved inventory snapshot</x:v>
      </x:c>
      <x:c r="P257" s="2"/>
      <x:c r="Q257" s="2" t="str">
        <x:v>https://www.digikey.com/en/products/detail/yageo/RT0603BRD0793K1L/5139200</x:v>
      </x:c>
    </x:row>
    <x:row r="258" ht="44" customHeight="1">
      <x:c r="A258" s="17" t="str">
        <x:v>OF0252</x:v>
      </x:c>
      <x:c r="B258" s="17" t="str">
        <x:v>RT0603BRD07953RL</x:v>
      </x:c>
      <x:c r="C258" s="17" t="str">
        <x:v>DigiKey</x:v>
      </x:c>
      <x:c r="D258" s="17" t="str">
        <x:v>Not stated</x:v>
      </x:c>
      <x:c r="E258" s="24" t="d">
        <x:v>2026-10-12T11:28:25.470Z</x:v>
      </x:c>
      <x:c r="F258" s="18" t="n">
        <x:v>1</x:v>
      </x:c>
      <x:c r="G258" s="18" t="n">
        <x:v>1</x:v>
      </x:c>
      <x:c r="H258" s="18" t="n">
        <x:v>5255</x:v>
      </x:c>
      <x:c r="I258" s="18" t="n">
        <x:v>100</x:v>
      </x:c>
      <x:c r="J258" s="25" t="n">
        <x:v>0.058</x:v>
      </x:c>
      <x:c r="K258" s="25" t="n">
        <x:v>0</x:v>
      </x:c>
      <x:c r="L258" s="26" t="str">
        <x:v>Active</x:v>
      </x:c>
      <x:c r="M258" s="26" t="str">
        <x:v>Not independently stated in this supplement</x:v>
      </x:c>
      <x:c r="N258" s="23" t="b">
        <x:v>0</x:v>
      </x:c>
      <x:c r="O258" s="2" t="str">
        <x:v>Unreserved inventory snapshot</x:v>
      </x:c>
      <x:c r="P258" s="2"/>
      <x:c r="Q258" s="2" t="str">
        <x:v>https://www.digikey.com/en/products/detail/yageo/RT0603BRD07953RL/1072685</x:v>
      </x:c>
    </x:row>
    <x:row r="259" ht="44" customHeight="1">
      <x:c r="A259" s="17" t="str">
        <x:v>OF0253</x:v>
      </x:c>
      <x:c r="B259" s="17" t="str">
        <x:v>RTL8125BG-CG</x:v>
      </x:c>
      <x:c r="C259" s="17" t="str">
        <x:v>LCSC</x:v>
      </x:c>
      <x:c r="D259" s="17" t="str">
        <x:v>C3013605</x:v>
      </x:c>
      <x:c r="E259" s="24" t="d">
        <x:v>2026-10-12T10:44:20.995Z</x:v>
      </x:c>
      <x:c r="F259" s="18" t="n">
        <x:v>1</x:v>
      </x:c>
      <x:c r="G259" s="18" t="n">
        <x:v>1</x:v>
      </x:c>
      <x:c r="H259" s="18" t="n">
        <x:v>310</x:v>
      </x:c>
      <x:c r="I259" s="18" t="n">
        <x:v>100</x:v>
      </x:c>
      <x:c r="J259" s="25" t="n">
        <x:v>2.8684</x:v>
      </x:c>
      <x:c r="K259" s="25" t="n">
        <x:v>0</x:v>
      </x:c>
      <x:c r="L259" s="26" t="str">
        <x:v>Not stated by captured product payload</x:v>
      </x:c>
      <x:c r="M259" s="26" t="str">
        <x:v>Not independently stated in this supplement</x:v>
      </x:c>
      <x:c r="N259" s="23" t="b">
        <x:v>0</x:v>
      </x:c>
      <x:c r="O259" s="2" t="str">
        <x:v>Unreserved inventory snapshot</x:v>
      </x:c>
      <x:c r="P259" s="2"/>
      <x:c r="Q259" s="2" t="str">
        <x:v>https://www.lcsc.com/product-detail/C3013605.html</x:v>
      </x:c>
    </x:row>
    <x:row r="260" ht="44" customHeight="1">
      <x:c r="A260" s="17" t="str">
        <x:v>OF0254</x:v>
      </x:c>
      <x:c r="B260" s="17" t="str">
        <x:v>S1B-13-F</x:v>
      </x:c>
      <x:c r="C260" s="17" t="str">
        <x:v>DigiKey</x:v>
      </x:c>
      <x:c r="D260" s="17" t="str">
        <x:v>Not stated</x:v>
      </x:c>
      <x:c r="E260" s="24" t="d">
        <x:v>2026-10-12T11:28:25.470Z</x:v>
      </x:c>
      <x:c r="F260" s="18" t="n">
        <x:v>1</x:v>
      </x:c>
      <x:c r="G260" s="18" t="n">
        <x:v>1</x:v>
      </x:c>
      <x:c r="H260" s="18" t="n">
        <x:v>716497</x:v>
      </x:c>
      <x:c r="I260" s="18" t="n">
        <x:v>100</x:v>
      </x:c>
      <x:c r="J260" s="25" t="n">
        <x:v>0.1005</x:v>
      </x:c>
      <x:c r="K260" s="25" t="n">
        <x:v>0</x:v>
      </x:c>
      <x:c r="L260" s="26" t="str">
        <x:v>Active</x:v>
      </x:c>
      <x:c r="M260" s="26" t="str">
        <x:v>Not independently stated in this supplement</x:v>
      </x:c>
      <x:c r="N260" s="23" t="b">
        <x:v>0</x:v>
      </x:c>
      <x:c r="O260" s="2" t="str">
        <x:v>Unreserved inventory snapshot</x:v>
      </x:c>
      <x:c r="P260" s="2"/>
      <x:c r="Q260" s="2" t="str">
        <x:v>https://www.digikey.com/en/products/detail/diodes-incorporated/S1B-13-F/725026</x:v>
      </x:c>
    </x:row>
    <x:row r="261" ht="44" customHeight="1">
      <x:c r="A261" s="17" t="str">
        <x:v>OF0255</x:v>
      </x:c>
      <x:c r="B261" s="17" t="str">
        <x:v>SIM8066-6-1-14-01-A</x:v>
      </x:c>
      <x:c r="C261" s="17" t="str">
        <x:v>LCSC</x:v>
      </x:c>
      <x:c r="D261" s="17" t="str">
        <x:v>C3032925</x:v>
      </x:c>
      <x:c r="E261" s="24" t="d">
        <x:v>2026-10-12T10:44:21.132Z</x:v>
      </x:c>
      <x:c r="F261" s="18" t="n">
        <x:v>1</x:v>
      </x:c>
      <x:c r="G261" s="18" t="n">
        <x:v>1</x:v>
      </x:c>
      <x:c r="H261" s="18" t="n">
        <x:v>1893</x:v>
      </x:c>
      <x:c r="I261" s="18" t="n">
        <x:v>100</x:v>
      </x:c>
      <x:c r="J261" s="25" t="n">
        <x:v>1.0686</x:v>
      </x:c>
      <x:c r="K261" s="25" t="n">
        <x:v>0</x:v>
      </x:c>
      <x:c r="L261" s="26" t="str">
        <x:v>Not stated by captured product payload</x:v>
      </x:c>
      <x:c r="M261" s="26" t="str">
        <x:v>Active</x:v>
      </x:c>
      <x:c r="N261" s="23" t="b">
        <x:v>0</x:v>
      </x:c>
      <x:c r="O261" s="2" t="str">
        <x:v>Unreserved inventory snapshot</x:v>
      </x:c>
      <x:c r="P261" s="2"/>
      <x:c r="Q261" s="2" t="str">
        <x:v>https://www.lcsc.com/product-detail/C3032925.html</x:v>
      </x:c>
    </x:row>
    <x:row r="262" ht="44" customHeight="1">
      <x:c r="A262" s="17" t="str">
        <x:v>OF0256</x:v>
      </x:c>
      <x:c r="B262" s="17" t="str">
        <x:v>SMBJ13A</x:v>
      </x:c>
      <x:c r="C262" s="17" t="str">
        <x:v>DigiKey</x:v>
      </x:c>
      <x:c r="D262" s="17" t="str">
        <x:v>Not stated</x:v>
      </x:c>
      <x:c r="E262" s="24" t="d">
        <x:v>2026-10-12T11:28:25.470Z</x:v>
      </x:c>
      <x:c r="F262" s="18" t="n">
        <x:v>1</x:v>
      </x:c>
      <x:c r="G262" s="18" t="n">
        <x:v>1</x:v>
      </x:c>
      <x:c r="H262" s="18" t="n">
        <x:v>1346</x:v>
      </x:c>
      <x:c r="I262" s="18" t="n">
        <x:v>100</x:v>
      </x:c>
      <x:c r="J262" s="25" t="n">
        <x:v>0.2077</x:v>
      </x:c>
      <x:c r="K262" s="25" t="n">
        <x:v>0</x:v>
      </x:c>
      <x:c r="L262" s="26" t="str">
        <x:v>Active</x:v>
      </x:c>
      <x:c r="M262" s="26" t="str">
        <x:v>Not independently stated in this supplement</x:v>
      </x:c>
      <x:c r="N262" s="23" t="b">
        <x:v>0</x:v>
      </x:c>
      <x:c r="O262" s="2" t="str">
        <x:v>Unreserved inventory snapshot</x:v>
      </x:c>
      <x:c r="P262" s="2"/>
      <x:c r="Q262" s="2" t="str">
        <x:v>https://www.digikey.com/en/products/detail/littelfuse-inc/SMBJ13A/285974</x:v>
      </x:c>
    </x:row>
    <x:row r="263" ht="44" customHeight="1">
      <x:c r="A263" s="17" t="str">
        <x:v>OF0257</x:v>
      </x:c>
      <x:c r="B263" s="17" t="str">
        <x:v>SMCJ51A-E3/57T</x:v>
      </x:c>
      <x:c r="C263" s="17" t="str">
        <x:v>DigiKey</x:v>
      </x:c>
      <x:c r="D263" s="17" t="str">
        <x:v>Not stated</x:v>
      </x:c>
      <x:c r="E263" s="24" t="d">
        <x:v>2026-10-12T11:28:25.471Z</x:v>
      </x:c>
      <x:c r="F263" s="18" t="n">
        <x:v>1</x:v>
      </x:c>
      <x:c r="G263" s="18" t="n">
        <x:v>1</x:v>
      </x:c>
      <x:c r="H263" s="18" t="n">
        <x:v>214</x:v>
      </x:c>
      <x:c r="I263" s="18" t="n">
        <x:v>100</x:v>
      </x:c>
      <x:c r="J263" s="25" t="n">
        <x:v>0.44</x:v>
      </x:c>
      <x:c r="K263" s="25" t="n">
        <x:v>0</x:v>
      </x:c>
      <x:c r="L263" s="26" t="str">
        <x:v>Active</x:v>
      </x:c>
      <x:c r="M263" s="26" t="str">
        <x:v>Not independently stated in this supplement</x:v>
      </x:c>
      <x:c r="N263" s="23" t="b">
        <x:v>0</x:v>
      </x:c>
      <x:c r="O263" s="2" t="str">
        <x:v>Unreserved inventory snapshot</x:v>
      </x:c>
      <x:c r="P263" s="2"/>
      <x:c r="Q263" s="2" t="str">
        <x:v>https://www.digikey.com/en/products/detail/vishay-general-semiconductor-diodes-division/SMCJ51A-E3-57T/2413463</x:v>
      </x:c>
    </x:row>
    <x:row r="264" ht="44" customHeight="1">
      <x:c r="A264" s="17" t="str">
        <x:v>OF0258</x:v>
      </x:c>
      <x:c r="B264" s="17" t="str">
        <x:v>SN74AUP1G17DBVR</x:v>
      </x:c>
      <x:c r="C264" s="17" t="str">
        <x:v>DigiKey</x:v>
      </x:c>
      <x:c r="D264" s="17" t="str">
        <x:v>Not stated</x:v>
      </x:c>
      <x:c r="E264" s="24" t="d">
        <x:v>2026-10-12T11:28:25.482Z</x:v>
      </x:c>
      <x:c r="F264" s="18" t="n">
        <x:v>1</x:v>
      </x:c>
      <x:c r="G264" s="18" t="n">
        <x:v>1</x:v>
      </x:c>
      <x:c r="H264" s="18" t="n">
        <x:v>7107</x:v>
      </x:c>
      <x:c r="I264" s="18" t="n">
        <x:v>100</x:v>
      </x:c>
      <x:c r="J264" s="25" t="n">
        <x:v>0.2161</x:v>
      </x:c>
      <x:c r="K264" s="25" t="n">
        <x:v>0</x:v>
      </x:c>
      <x:c r="L264" s="26" t="str">
        <x:v>Active</x:v>
      </x:c>
      <x:c r="M264" s="26" t="str">
        <x:v>Not independently stated in this supplement</x:v>
      </x:c>
      <x:c r="N264" s="23" t="b">
        <x:v>0</x:v>
      </x:c>
      <x:c r="O264" s="2" t="str">
        <x:v>Unreserved inventory snapshot</x:v>
      </x:c>
      <x:c r="P264" s="2"/>
      <x:c r="Q264" s="2" t="str">
        <x:v>https://www.digikey.com/en/products/detail/texas-instruments/SN74AUP1G17DBVR/864081</x:v>
      </x:c>
    </x:row>
    <x:row r="265" ht="44" customHeight="1">
      <x:c r="A265" s="17" t="str">
        <x:v>OF0259</x:v>
      </x:c>
      <x:c r="B265" s="17" t="str">
        <x:v>SN74AXC8T245PWR</x:v>
      </x:c>
      <x:c r="C265" s="17" t="str">
        <x:v>LCSC</x:v>
      </x:c>
      <x:c r="D265" s="17" t="str">
        <x:v>C882718</x:v>
      </x:c>
      <x:c r="E265" s="24" t="d">
        <x:v>2026-10-12T10:44:21.375Z</x:v>
      </x:c>
      <x:c r="F265" s="18" t="n">
        <x:v>1</x:v>
      </x:c>
      <x:c r="G265" s="18" t="n">
        <x:v>1</x:v>
      </x:c>
      <x:c r="H265" s="18" t="n">
        <x:v>9132</x:v>
      </x:c>
      <x:c r="I265" s="18" t="n">
        <x:v>100</x:v>
      </x:c>
      <x:c r="J265" s="25" t="n">
        <x:v>0.7007</x:v>
      </x:c>
      <x:c r="K265" s="25" t="n">
        <x:v>0</x:v>
      </x:c>
      <x:c r="L265" s="26" t="str">
        <x:v>Not stated by captured product payload</x:v>
      </x:c>
      <x:c r="M265" s="26" t="str">
        <x:v>ACTIVE</x:v>
      </x:c>
      <x:c r="N265" s="23" t="b">
        <x:v>0</x:v>
      </x:c>
      <x:c r="O265" s="2" t="str">
        <x:v>Unreserved inventory snapshot</x:v>
      </x:c>
      <x:c r="P265" s="2"/>
      <x:c r="Q265" s="2" t="str">
        <x:v>https://www.lcsc.com/product-detail/C882718.html</x:v>
      </x:c>
    </x:row>
    <x:row r="266" ht="44" customHeight="1">
      <x:c r="A266" s="17" t="str">
        <x:v>OF0260</x:v>
      </x:c>
      <x:c r="B266" s="17" t="str">
        <x:v>SN74LVC1G00DBVR</x:v>
      </x:c>
      <x:c r="C266" s="17" t="str">
        <x:v>LCSC</x:v>
      </x:c>
      <x:c r="D266" s="17" t="str">
        <x:v>C7826</x:v>
      </x:c>
      <x:c r="E266" s="24" t="d">
        <x:v>2026-10-12T10:44:21.444Z</x:v>
      </x:c>
      <x:c r="F266" s="18" t="n">
        <x:v>5</x:v>
      </x:c>
      <x:c r="G266" s="18" t="n">
        <x:v>5</x:v>
      </x:c>
      <x:c r="H266" s="18" t="n">
        <x:v>4575</x:v>
      </x:c>
      <x:c r="I266" s="18" t="n">
        <x:v>150</x:v>
      </x:c>
      <x:c r="J266" s="25" t="n">
        <x:v>0.0928</x:v>
      </x:c>
      <x:c r="K266" s="25" t="n">
        <x:v>0</x:v>
      </x:c>
      <x:c r="L266" s="26" t="str">
        <x:v>Not stated by captured product payload</x:v>
      </x:c>
      <x:c r="M266" s="26" t="str">
        <x:v>ACTIVE</x:v>
      </x:c>
      <x:c r="N266" s="23" t="b">
        <x:v>0</x:v>
      </x:c>
      <x:c r="O266" s="2" t="str">
        <x:v>Unreserved inventory snapshot</x:v>
      </x:c>
      <x:c r="P266" s="2"/>
      <x:c r="Q266" s="2" t="str">
        <x:v>https://www.lcsc.com/product-detail/C7826.html</x:v>
      </x:c>
    </x:row>
    <x:row r="267" ht="44" customHeight="1">
      <x:c r="A267" s="17" t="str">
        <x:v>OF0261</x:v>
      </x:c>
      <x:c r="B267" s="17" t="str">
        <x:v>SN74LVC1G04DBVR</x:v>
      </x:c>
      <x:c r="C267" s="17" t="str">
        <x:v>DigiKey</x:v>
      </x:c>
      <x:c r="D267" s="17" t="str">
        <x:v>Not stated</x:v>
      </x:c>
      <x:c r="E267" s="24" t="d">
        <x:v>2026-10-12T11:28:25.482Z</x:v>
      </x:c>
      <x:c r="F267" s="18" t="n">
        <x:v>1</x:v>
      </x:c>
      <x:c r="G267" s="18" t="n">
        <x:v>1</x:v>
      </x:c>
      <x:c r="H267" s="18" t="n">
        <x:v>353596</x:v>
      </x:c>
      <x:c r="I267" s="18" t="n">
        <x:v>100</x:v>
      </x:c>
      <x:c r="J267" s="25" t="n">
        <x:v>0.0735</x:v>
      </x:c>
      <x:c r="K267" s="25" t="n">
        <x:v>0</x:v>
      </x:c>
      <x:c r="L267" s="26" t="str">
        <x:v>Active</x:v>
      </x:c>
      <x:c r="M267" s="26" t="str">
        <x:v>Not independently stated in this supplement</x:v>
      </x:c>
      <x:c r="N267" s="23" t="b">
        <x:v>0</x:v>
      </x:c>
      <x:c r="O267" s="2" t="str">
        <x:v>Unreserved inventory snapshot</x:v>
      </x:c>
      <x:c r="P267" s="2"/>
      <x:c r="Q267" s="2" t="str">
        <x:v>https://www.digikey.com/en/products/detail/texas-instruments/SN74LVC1G04DBVR/385716</x:v>
      </x:c>
    </x:row>
    <x:row r="268" ht="44" customHeight="1">
      <x:c r="A268" s="17" t="str">
        <x:v>OF0262</x:v>
      </x:c>
      <x:c r="B268" s="17" t="str">
        <x:v>SN74LVC1G08DBVR</x:v>
      </x:c>
      <x:c r="C268" s="17" t="str">
        <x:v>DigiKey</x:v>
      </x:c>
      <x:c r="D268" s="17" t="str">
        <x:v>Not stated</x:v>
      </x:c>
      <x:c r="E268" s="24" t="d">
        <x:v>2026-10-12T11:28:25.483Z</x:v>
      </x:c>
      <x:c r="F268" s="18" t="n">
        <x:v>1</x:v>
      </x:c>
      <x:c r="G268" s="18" t="n">
        <x:v>1</x:v>
      </x:c>
      <x:c r="H268" s="18" t="n">
        <x:v>112885</x:v>
      </x:c>
      <x:c r="I268" s="18" t="n">
        <x:v>100</x:v>
      </x:c>
      <x:c r="J268" s="25" t="n">
        <x:v>0.0599</x:v>
      </x:c>
      <x:c r="K268" s="25" t="n">
        <x:v>0</x:v>
      </x:c>
      <x:c r="L268" s="26" t="str">
        <x:v>Active</x:v>
      </x:c>
      <x:c r="M268" s="26" t="str">
        <x:v>Not independently stated in this supplement</x:v>
      </x:c>
      <x:c r="N268" s="23" t="b">
        <x:v>0</x:v>
      </x:c>
      <x:c r="O268" s="2" t="str">
        <x:v>Unreserved inventory snapshot</x:v>
      </x:c>
      <x:c r="P268" s="2"/>
      <x:c r="Q268" s="2" t="str">
        <x:v>https://www.digikey.com/en/products/detail/texas-instruments/SN74LVC1G08DBVR/385718</x:v>
      </x:c>
    </x:row>
    <x:row r="269" ht="44" customHeight="1">
      <x:c r="A269" s="17" t="str">
        <x:v>OF0263</x:v>
      </x:c>
      <x:c r="B269" s="17" t="str">
        <x:v>SN74LVC1G11DBVR</x:v>
      </x:c>
      <x:c r="C269" s="17" t="str">
        <x:v>DigiKey</x:v>
      </x:c>
      <x:c r="D269" s="17" t="str">
        <x:v>Not stated</x:v>
      </x:c>
      <x:c r="E269" s="24" t="d">
        <x:v>2026-10-12T11:28:25.482Z</x:v>
      </x:c>
      <x:c r="F269" s="18" t="n">
        <x:v>1</x:v>
      </x:c>
      <x:c r="G269" s="18" t="n">
        <x:v>1</x:v>
      </x:c>
      <x:c r="H269" s="18" t="n">
        <x:v>90366</x:v>
      </x:c>
      <x:c r="I269" s="18" t="n">
        <x:v>250</x:v>
      </x:c>
      <x:c r="J269" s="25" t="n">
        <x:v>0.18668</x:v>
      </x:c>
      <x:c r="K269" s="25" t="n">
        <x:v>0</x:v>
      </x:c>
      <x:c r="L269" s="26" t="str">
        <x:v>Active</x:v>
      </x:c>
      <x:c r="M269" s="26" t="str">
        <x:v>Not independently stated in this supplement</x:v>
      </x:c>
      <x:c r="N269" s="23" t="b">
        <x:v>0</x:v>
      </x:c>
      <x:c r="O269" s="2" t="str">
        <x:v>Unreserved inventory snapshot</x:v>
      </x:c>
      <x:c r="P269" s="2"/>
      <x:c r="Q269" s="2" t="str">
        <x:v>https://www.digikey.com/en/products/detail/texas-instruments/SN74LVC1G11DBVR/637182</x:v>
      </x:c>
    </x:row>
    <x:row r="270" ht="44" customHeight="1">
      <x:c r="A270" s="17" t="str">
        <x:v>OF0264</x:v>
      </x:c>
      <x:c r="B270" s="17" t="str">
        <x:v>SN74LVC1G32DBVR</x:v>
      </x:c>
      <x:c r="C270" s="17" t="str">
        <x:v>LCSC</x:v>
      </x:c>
      <x:c r="D270" s="17" t="str">
        <x:v>C10096</x:v>
      </x:c>
      <x:c r="E270" s="24" t="d">
        <x:v>2026-10-12T10:44:21.583Z</x:v>
      </x:c>
      <x:c r="F270" s="18" t="n">
        <x:v>10</x:v>
      </x:c>
      <x:c r="G270" s="18" t="n">
        <x:v>10</x:v>
      </x:c>
      <x:c r="H270" s="18" t="n">
        <x:v>108990</x:v>
      </x:c>
      <x:c r="I270" s="18" t="n">
        <x:v>100</x:v>
      </x:c>
      <x:c r="J270" s="25" t="n">
        <x:v>0.0569</x:v>
      </x:c>
      <x:c r="K270" s="25" t="n">
        <x:v>0</x:v>
      </x:c>
      <x:c r="L270" s="26" t="str">
        <x:v>Not stated by captured product payload</x:v>
      </x:c>
      <x:c r="M270" s="26" t="str">
        <x:v>ACTIVE</x:v>
      </x:c>
      <x:c r="N270" s="23" t="b">
        <x:v>0</x:v>
      </x:c>
      <x:c r="O270" s="2" t="str">
        <x:v>Unreserved inventory snapshot</x:v>
      </x:c>
      <x:c r="P270" s="2"/>
      <x:c r="Q270" s="2" t="str">
        <x:v>https://www.lcsc.com/product-detail/C10096.html</x:v>
      </x:c>
    </x:row>
    <x:row r="271" ht="44" customHeight="1">
      <x:c r="A271" s="17" t="str">
        <x:v>OF0265</x:v>
      </x:c>
      <x:c r="B271" s="17" t="str">
        <x:v>SN74LVC1G97DBVR</x:v>
      </x:c>
      <x:c r="C271" s="17" t="str">
        <x:v>DigiKey</x:v>
      </x:c>
      <x:c r="D271" s="17" t="str">
        <x:v>Not stated</x:v>
      </x:c>
      <x:c r="E271" s="24" t="d">
        <x:v>2026-10-12T11:28:25.479Z</x:v>
      </x:c>
      <x:c r="F271" s="18" t="n">
        <x:v>1</x:v>
      </x:c>
      <x:c r="G271" s="18" t="n">
        <x:v>1</x:v>
      </x:c>
      <x:c r="H271" s="18" t="n">
        <x:v>24044</x:v>
      </x:c>
      <x:c r="I271" s="18" t="n">
        <x:v>250</x:v>
      </x:c>
      <x:c r="J271" s="25" t="n">
        <x:v>0.11148</x:v>
      </x:c>
      <x:c r="K271" s="25" t="n">
        <x:v>0</x:v>
      </x:c>
      <x:c r="L271" s="26" t="str">
        <x:v>Active</x:v>
      </x:c>
      <x:c r="M271" s="26" t="str">
        <x:v>Not independently stated in this supplement</x:v>
      </x:c>
      <x:c r="N271" s="23" t="b">
        <x:v>0</x:v>
      </x:c>
      <x:c r="O271" s="2" t="str">
        <x:v>Unreserved inventory snapshot</x:v>
      </x:c>
      <x:c r="P271" s="2"/>
      <x:c r="Q271" s="2" t="str">
        <x:v>https://www.digikey.com/en/products/detail/texas-instruments/SN74LVC1G97DBVR/571196</x:v>
      </x:c>
    </x:row>
    <x:row r="272" ht="44" customHeight="1">
      <x:c r="A272" s="17" t="str">
        <x:v>OF0266</x:v>
      </x:c>
      <x:c r="B272" s="17" t="str">
        <x:v>SN74LVC2G125DCUR</x:v>
      </x:c>
      <x:c r="C272" s="17" t="str">
        <x:v>LCSC</x:v>
      </x:c>
      <x:c r="D272" s="17" t="str">
        <x:v>C21404</x:v>
      </x:c>
      <x:c r="E272" s="24" t="d">
        <x:v>2026-10-12T10:44:22.182Z</x:v>
      </x:c>
      <x:c r="F272" s="18" t="n">
        <x:v>5</x:v>
      </x:c>
      <x:c r="G272" s="18" t="n">
        <x:v>5</x:v>
      </x:c>
      <x:c r="H272" s="18" t="n">
        <x:v>255</x:v>
      </x:c>
      <x:c r="I272" s="18" t="n">
        <x:v>50</x:v>
      </x:c>
      <x:c r="J272" s="25" t="n">
        <x:v>0.1639</x:v>
      </x:c>
      <x:c r="K272" s="25" t="n">
        <x:v>0</x:v>
      </x:c>
      <x:c r="L272" s="26" t="str">
        <x:v>Not stated by captured product payload</x:v>
      </x:c>
      <x:c r="M272" s="26" t="str">
        <x:v>ACTIVE</x:v>
      </x:c>
      <x:c r="N272" s="23" t="b">
        <x:v>0</x:v>
      </x:c>
      <x:c r="O272" s="2" t="str">
        <x:v>Unreserved inventory snapshot</x:v>
      </x:c>
      <x:c r="P272" s="2"/>
      <x:c r="Q272" s="2" t="str">
        <x:v>https://www.lcsc.com/product-detail/C21404.html</x:v>
      </x:c>
    </x:row>
    <x:row r="273" ht="44" customHeight="1">
      <x:c r="A273" s="17" t="str">
        <x:v>OF0267</x:v>
      </x:c>
      <x:c r="B273" s="17" t="str">
        <x:v>SN74LVC3G17DCUR</x:v>
      </x:c>
      <x:c r="C273" s="17" t="str">
        <x:v>DigiKey</x:v>
      </x:c>
      <x:c r="D273" s="17" t="str">
        <x:v>Not stated</x:v>
      </x:c>
      <x:c r="E273" s="24" t="d">
        <x:v>2026-10-12T11:28:25.479Z</x:v>
      </x:c>
      <x:c r="F273" s="18" t="n">
        <x:v>1</x:v>
      </x:c>
      <x:c r="G273" s="18" t="n">
        <x:v>1</x:v>
      </x:c>
      <x:c r="H273" s="18" t="n">
        <x:v>7399</x:v>
      </x:c>
      <x:c r="I273" s="18" t="n">
        <x:v>100</x:v>
      </x:c>
      <x:c r="J273" s="25" t="n">
        <x:v>0.2482</x:v>
      </x:c>
      <x:c r="K273" s="25" t="n">
        <x:v>0</x:v>
      </x:c>
      <x:c r="L273" s="26" t="str">
        <x:v>Active</x:v>
      </x:c>
      <x:c r="M273" s="26" t="str">
        <x:v>Not independently stated in this supplement</x:v>
      </x:c>
      <x:c r="N273" s="23" t="b">
        <x:v>0</x:v>
      </x:c>
      <x:c r="O273" s="2" t="str">
        <x:v>Unreserved inventory snapshot</x:v>
      </x:c>
      <x:c r="P273" s="2"/>
      <x:c r="Q273" s="2" t="str">
        <x:v>https://www.digikey.com/en/products/detail/texas-instruments/SN74LVC3G17DCUR/863652</x:v>
      </x:c>
    </x:row>
    <x:row r="274" ht="44" customHeight="1">
      <x:c r="A274" s="17" t="str">
        <x:v>OF0268</x:v>
      </x:c>
      <x:c r="B274" s="17" t="str">
        <x:v>SRP1265A-220M</x:v>
      </x:c>
      <x:c r="C274" s="17" t="str">
        <x:v>DigiKey</x:v>
      </x:c>
      <x:c r="D274" s="17" t="str">
        <x:v>Not stated</x:v>
      </x:c>
      <x:c r="E274" s="24" t="d">
        <x:v>2026-10-12T11:28:25.478Z</x:v>
      </x:c>
      <x:c r="F274" s="18" t="n">
        <x:v>1</x:v>
      </x:c>
      <x:c r="G274" s="18" t="n">
        <x:v>1</x:v>
      </x:c>
      <x:c r="H274" s="18" t="n">
        <x:v>5520</x:v>
      </x:c>
      <x:c r="I274" s="18" t="n">
        <x:v>100</x:v>
      </x:c>
      <x:c r="J274" s="25" t="n">
        <x:v>1.1288</x:v>
      </x:c>
      <x:c r="K274" s="25" t="n">
        <x:v>0</x:v>
      </x:c>
      <x:c r="L274" s="26" t="str">
        <x:v>Active</x:v>
      </x:c>
      <x:c r="M274" s="26" t="str">
        <x:v>Not independently stated in this supplement</x:v>
      </x:c>
      <x:c r="N274" s="23" t="b">
        <x:v>0</x:v>
      </x:c>
      <x:c r="O274" s="2" t="str">
        <x:v>Unreserved inventory snapshot</x:v>
      </x:c>
      <x:c r="P274" s="2"/>
      <x:c r="Q274" s="2" t="str">
        <x:v>https://www.digikey.com/en/products/detail/bourns-inc/SRP1265A-220M/4876624</x:v>
      </x:c>
    </x:row>
    <x:row r="275" ht="44" customHeight="1">
      <x:c r="A275" s="17" t="str">
        <x:v>OF0269</x:v>
      </x:c>
      <x:c r="B275" s="17" t="str">
        <x:v>SRP5030TA-2R2M</x:v>
      </x:c>
      <x:c r="C275" s="17" t="str">
        <x:v>DigiKey</x:v>
      </x:c>
      <x:c r="D275" s="17" t="str">
        <x:v>Not stated</x:v>
      </x:c>
      <x:c r="E275" s="24" t="d">
        <x:v>2026-10-12T11:28:25.478Z</x:v>
      </x:c>
      <x:c r="F275" s="18" t="n">
        <x:v>1</x:v>
      </x:c>
      <x:c r="G275" s="18" t="n">
        <x:v>1</x:v>
      </x:c>
      <x:c r="H275" s="18" t="n">
        <x:v>7030</x:v>
      </x:c>
      <x:c r="I275" s="18" t="n">
        <x:v>250</x:v>
      </x:c>
      <x:c r="J275" s="25" t="n">
        <x:v>0.64872</x:v>
      </x:c>
      <x:c r="K275" s="25" t="n">
        <x:v>0</x:v>
      </x:c>
      <x:c r="L275" s="26" t="str">
        <x:v>Active</x:v>
      </x:c>
      <x:c r="M275" s="26" t="str">
        <x:v>Not independently stated in this supplement</x:v>
      </x:c>
      <x:c r="N275" s="23" t="b">
        <x:v>0</x:v>
      </x:c>
      <x:c r="O275" s="2" t="str">
        <x:v>Unreserved inventory snapshot</x:v>
      </x:c>
      <x:c r="P275" s="2"/>
      <x:c r="Q275" s="2" t="str">
        <x:v>https://www.digikey.com/en/products/detail/bourns-inc/SRP5030TA-2R2M/5429671</x:v>
      </x:c>
    </x:row>
    <x:row r="276" ht="44" customHeight="1">
      <x:c r="A276" s="17" t="str">
        <x:v>OF0270</x:v>
      </x:c>
      <x:c r="B276" s="17" t="str">
        <x:v>SRP6030CA-2R2M</x:v>
      </x:c>
      <x:c r="C276" s="17" t="str">
        <x:v>DigiKey</x:v>
      </x:c>
      <x:c r="D276" s="17" t="str">
        <x:v>Not stated</x:v>
      </x:c>
      <x:c r="E276" s="24" t="d">
        <x:v>2026-10-12T11:28:25.469Z</x:v>
      </x:c>
      <x:c r="F276" s="18" t="n">
        <x:v>1</x:v>
      </x:c>
      <x:c r="G276" s="18" t="n">
        <x:v>1</x:v>
      </x:c>
      <x:c r="H276" s="18" t="n">
        <x:v>5195</x:v>
      </x:c>
      <x:c r="I276" s="18" t="n">
        <x:v>100</x:v>
      </x:c>
      <x:c r="J276" s="25" t="n">
        <x:v>1.0704</x:v>
      </x:c>
      <x:c r="K276" s="25" t="n">
        <x:v>0</x:v>
      </x:c>
      <x:c r="L276" s="26" t="str">
        <x:v>Active</x:v>
      </x:c>
      <x:c r="M276" s="26" t="str">
        <x:v>Not independently stated in this supplement</x:v>
      </x:c>
      <x:c r="N276" s="23" t="b">
        <x:v>0</x:v>
      </x:c>
      <x:c r="O276" s="2" t="str">
        <x:v>Unreserved inventory snapshot</x:v>
      </x:c>
      <x:c r="P276" s="2"/>
      <x:c r="Q276" s="2" t="str">
        <x:v>https://www.digikey.com/en/products/detail/bourns-inc/SRP6030CA-2R2M/9351038</x:v>
      </x:c>
    </x:row>
    <x:row r="277" ht="44" customHeight="1">
      <x:c r="A277" s="17" t="str">
        <x:v>OF0271</x:v>
      </x:c>
      <x:c r="B277" s="17" t="str">
        <x:v>SS-7188S-A-NF</x:v>
      </x:c>
      <x:c r="C277" s="17" t="str">
        <x:v>DigiKey</x:v>
      </x:c>
      <x:c r="D277" s="17" t="str">
        <x:v>Not stated</x:v>
      </x:c>
      <x:c r="E277" s="24" t="d">
        <x:v>2026-10-12T11:28:25.472Z</x:v>
      </x:c>
      <x:c r="F277" s="18" t="n">
        <x:v>1</x:v>
      </x:c>
      <x:c r="G277" s="18" t="n">
        <x:v>1</x:v>
      </x:c>
      <x:c r="H277" s="18" t="n">
        <x:v>5038</x:v>
      </x:c>
      <x:c r="I277" s="18" t="n">
        <x:v>66</x:v>
      </x:c>
      <x:c r="J277" s="25" t="n">
        <x:v>2.06515</x:v>
      </x:c>
      <x:c r="K277" s="25" t="n">
        <x:v>0</x:v>
      </x:c>
      <x:c r="L277" s="26" t="str">
        <x:v>Active</x:v>
      </x:c>
      <x:c r="M277" s="26" t="str">
        <x:v>Not independently stated in this supplement</x:v>
      </x:c>
      <x:c r="N277" s="23" t="b">
        <x:v>0</x:v>
      </x:c>
      <x:c r="O277" s="2" t="str">
        <x:v>Unreserved inventory snapshot</x:v>
      </x:c>
      <x:c r="P277" s="2"/>
      <x:c r="Q277" s="2" t="str">
        <x:v>https://www.digikey.com/en/products/detail/stewart-connector/SS-7188S-A-NF/388309</x:v>
      </x:c>
    </x:row>
    <x:row r="278" ht="44" customHeight="1">
      <x:c r="A278" s="17" t="str">
        <x:v>OF0272</x:v>
      </x:c>
      <x:c r="B278" s="17" t="str">
        <x:v>ST4SI3M004600HFW</x:v>
      </x:c>
      <x:c r="C278" s="17" t="str">
        <x:v>DigiKey</x:v>
      </x:c>
      <x:c r="D278" s="17" t="str">
        <x:v>Not stated</x:v>
      </x:c>
      <x:c r="E278" s="24" t="d">
        <x:v>2026-10-12T11:28:25.472Z</x:v>
      </x:c>
      <x:c r="F278" s="18" t="n">
        <x:v>1</x:v>
      </x:c>
      <x:c r="G278" s="18" t="n">
        <x:v>1</x:v>
      </x:c>
      <x:c r="H278" s="18" t="n">
        <x:v>978</x:v>
      </x:c>
      <x:c r="I278" s="18" t="n">
        <x:v>100</x:v>
      </x:c>
      <x:c r="J278" s="25" t="n">
        <x:v>2.9856</x:v>
      </x:c>
      <x:c r="K278" s="25" t="n">
        <x:v>0</x:v>
      </x:c>
      <x:c r="L278" s="26" t="str">
        <x:v>Active</x:v>
      </x:c>
      <x:c r="M278" s="26" t="str">
        <x:v>Not independently stated in this supplement</x:v>
      </x:c>
      <x:c r="N278" s="23" t="b">
        <x:v>0</x:v>
      </x:c>
      <x:c r="O278" s="2" t="str">
        <x:v>Unreserved inventory snapshot</x:v>
      </x:c>
      <x:c r="P278" s="2"/>
      <x:c r="Q278" s="2" t="str">
        <x:v>https://www.digikey.com/en/products/detail/stmicroelectronics/ST4SI3M004600HFW/27684322</x:v>
      </x:c>
    </x:row>
    <x:row r="279" ht="44" customHeight="1">
      <x:c r="A279" s="17" t="str">
        <x:v>OF0273</x:v>
      </x:c>
      <x:c r="B279" s="17" t="str">
        <x:v>TLV7011DBVR</x:v>
      </x:c>
      <x:c r="C279" s="17" t="str">
        <x:v>LCSC</x:v>
      </x:c>
      <x:c r="D279" s="17" t="str">
        <x:v>C702117</x:v>
      </x:c>
      <x:c r="E279" s="24" t="d">
        <x:v>2026-10-12T10:44:21.887Z</x:v>
      </x:c>
      <x:c r="F279" s="18" t="n">
        <x:v>1</x:v>
      </x:c>
      <x:c r="G279" s="18" t="n">
        <x:v>1</x:v>
      </x:c>
      <x:c r="H279" s="18" t="n">
        <x:v>7083</x:v>
      </x:c>
      <x:c r="I279" s="18" t="n">
        <x:v>100</x:v>
      </x:c>
      <x:c r="J279" s="25" t="n">
        <x:v>0.3368</x:v>
      </x:c>
      <x:c r="K279" s="25" t="n">
        <x:v>0</x:v>
      </x:c>
      <x:c r="L279" s="26" t="str">
        <x:v>Not stated by captured product payload</x:v>
      </x:c>
      <x:c r="M279" s="26" t="str">
        <x:v>ACTIVE</x:v>
      </x:c>
      <x:c r="N279" s="23" t="b">
        <x:v>0</x:v>
      </x:c>
      <x:c r="O279" s="2" t="str">
        <x:v>Unreserved inventory snapshot</x:v>
      </x:c>
      <x:c r="P279" s="2"/>
      <x:c r="Q279" s="2" t="str">
        <x:v>https://www.lcsc.com/product-detail/C702117.html</x:v>
      </x:c>
    </x:row>
    <x:row r="280" ht="44" customHeight="1">
      <x:c r="A280" s="17" t="str">
        <x:v>OF0274</x:v>
      </x:c>
      <x:c r="B280" s="17" t="str">
        <x:v>TMP102AIDRLR</x:v>
      </x:c>
      <x:c r="C280" s="17" t="str">
        <x:v>LCSC</x:v>
      </x:c>
      <x:c r="D280" s="17" t="str">
        <x:v>C99269</x:v>
      </x:c>
      <x:c r="E280" s="24" t="d">
        <x:v>2026-10-12T10:44:22.025Z</x:v>
      </x:c>
      <x:c r="F280" s="18" t="n">
        <x:v>1</x:v>
      </x:c>
      <x:c r="G280" s="18" t="n">
        <x:v>1</x:v>
      </x:c>
      <x:c r="H280" s="18" t="n">
        <x:v>37099</x:v>
      </x:c>
      <x:c r="I280" s="18" t="n">
        <x:v>100</x:v>
      </x:c>
      <x:c r="J280" s="25" t="n">
        <x:v>0.467</x:v>
      </x:c>
      <x:c r="K280" s="25" t="n">
        <x:v>0</x:v>
      </x:c>
      <x:c r="L280" s="26" t="str">
        <x:v>Not stated by captured product payload</x:v>
      </x:c>
      <x:c r="M280" s="26" t="str">
        <x:v>ACTIVE</x:v>
      </x:c>
      <x:c r="N280" s="23" t="b">
        <x:v>0</x:v>
      </x:c>
      <x:c r="O280" s="2" t="str">
        <x:v>Unreserved inventory snapshot</x:v>
      </x:c>
      <x:c r="P280" s="2"/>
      <x:c r="Q280" s="2" t="str">
        <x:v>https://www.lcsc.com/product-detail/C99269.html</x:v>
      </x:c>
    </x:row>
    <x:row r="281" ht="44" customHeight="1">
      <x:c r="A281" s="17" t="str">
        <x:v>OF0275</x:v>
      </x:c>
      <x:c r="B281" s="17" t="str">
        <x:v>TMUX1511PWR</x:v>
      </x:c>
      <x:c r="C281" s="17" t="str">
        <x:v>LCSC</x:v>
      </x:c>
      <x:c r="D281" s="17" t="str">
        <x:v>C2866750</x:v>
      </x:c>
      <x:c r="E281" s="24" t="d">
        <x:v>2026-10-12T10:44:22.322Z</x:v>
      </x:c>
      <x:c r="F281" s="18" t="n">
        <x:v>1</x:v>
      </x:c>
      <x:c r="G281" s="18" t="n">
        <x:v>1</x:v>
      </x:c>
      <x:c r="H281" s="18" t="n">
        <x:v>8282</x:v>
      </x:c>
      <x:c r="I281" s="18" t="n">
        <x:v>100</x:v>
      </x:c>
      <x:c r="J281" s="25" t="n">
        <x:v>0.2911</x:v>
      </x:c>
      <x:c r="K281" s="25" t="n">
        <x:v>0</x:v>
      </x:c>
      <x:c r="L281" s="26" t="str">
        <x:v>Not stated by captured product payload</x:v>
      </x:c>
      <x:c r="M281" s="26" t="str">
        <x:v>ACTIVE</x:v>
      </x:c>
      <x:c r="N281" s="23" t="b">
        <x:v>0</x:v>
      </x:c>
      <x:c r="O281" s="2" t="str">
        <x:v>Unreserved inventory snapshot</x:v>
      </x:c>
      <x:c r="P281" s="2"/>
      <x:c r="Q281" s="2" t="str">
        <x:v>https://www.lcsc.com/product-detail/C2866750.html</x:v>
      </x:c>
    </x:row>
    <x:row r="282" ht="44" customHeight="1">
      <x:c r="A282" s="17" t="str">
        <x:v>OF0276</x:v>
      </x:c>
      <x:c r="B282" s="17" t="str">
        <x:v>TNPW0402100KBEED</x:v>
      </x:c>
      <x:c r="C282" s="17" t="str">
        <x:v>DigiKey</x:v>
      </x:c>
      <x:c r="D282" s="17" t="str">
        <x:v>Not stated</x:v>
      </x:c>
      <x:c r="E282" s="24" t="d">
        <x:v>2026-10-12T11:28:25.472Z</x:v>
      </x:c>
      <x:c r="F282" s="18" t="n">
        <x:v>1</x:v>
      </x:c>
      <x:c r="G282" s="18" t="n">
        <x:v>1</x:v>
      </x:c>
      <x:c r="H282" s="18" t="n">
        <x:v>244638</x:v>
      </x:c>
      <x:c r="I282" s="18" t="n">
        <x:v>100</x:v>
      </x:c>
      <x:c r="J282" s="25" t="n">
        <x:v>0.1812</x:v>
      </x:c>
      <x:c r="K282" s="25" t="n">
        <x:v>0</x:v>
      </x:c>
      <x:c r="L282" s="26" t="str">
        <x:v>Active</x:v>
      </x:c>
      <x:c r="M282" s="26" t="str">
        <x:v>Not independently stated in this supplement</x:v>
      </x:c>
      <x:c r="N282" s="23" t="b">
        <x:v>0</x:v>
      </x:c>
      <x:c r="O282" s="2" t="str">
        <x:v>Unreserved inventory snapshot</x:v>
      </x:c>
      <x:c r="P282" s="2"/>
      <x:c r="Q282" s="2" t="str">
        <x:v>https://www.digikey.com/en/products/detail/vishay-dale/TNPW0402100KBEED/1857037</x:v>
      </x:c>
    </x:row>
    <x:row r="283" ht="44" customHeight="1">
      <x:c r="A283" s="17" t="str">
        <x:v>OF0277</x:v>
      </x:c>
      <x:c r="B283" s="17" t="str">
        <x:v>TNPW040210K0BEED</x:v>
      </x:c>
      <x:c r="C283" s="17" t="str">
        <x:v>LCSC</x:v>
      </x:c>
      <x:c r="D283" s="17" t="str">
        <x:v>C844452</x:v>
      </x:c>
      <x:c r="E283" s="24" t="d">
        <x:v>2026-10-12T10:44:22.524Z</x:v>
      </x:c>
      <x:c r="F283" s="18" t="n">
        <x:v>10</x:v>
      </x:c>
      <x:c r="G283" s="18" t="n">
        <x:v>10</x:v>
      </x:c>
      <x:c r="H283" s="18" t="n">
        <x:v>44520</x:v>
      </x:c>
      <x:c r="I283" s="18" t="n">
        <x:v>1000</x:v>
      </x:c>
      <x:c r="J283" s="25" t="n">
        <x:v>0.0411</x:v>
      </x:c>
      <x:c r="K283" s="25" t="n">
        <x:v>0</x:v>
      </x:c>
      <x:c r="L283" s="26" t="str">
        <x:v>Not stated by captured product payload</x:v>
      </x:c>
      <x:c r="M283" s="26" t="str">
        <x:v>Not independently stated in this supplement</x:v>
      </x:c>
      <x:c r="N283" s="23" t="b">
        <x:v>0</x:v>
      </x:c>
      <x:c r="O283" s="2" t="str">
        <x:v>Unreserved inventory snapshot</x:v>
      </x:c>
      <x:c r="P283" s="2"/>
      <x:c r="Q283" s="2" t="str">
        <x:v>https://www.lcsc.com/product-detail/C844452.html</x:v>
      </x:c>
    </x:row>
    <x:row r="284" ht="44" customHeight="1">
      <x:c r="A284" s="17" t="str">
        <x:v>OF0278</x:v>
      </x:c>
      <x:c r="B284" s="17" t="str">
        <x:v>TNPW04021K24BEED</x:v>
      </x:c>
      <x:c r="C284" s="17" t="str">
        <x:v>DigiKey</x:v>
      </x:c>
      <x:c r="D284" s="17" t="str">
        <x:v>Not stated</x:v>
      </x:c>
      <x:c r="E284" s="24" t="d">
        <x:v>2026-10-12T11:28:25.464Z</x:v>
      </x:c>
      <x:c r="F284" s="18" t="n">
        <x:v>1</x:v>
      </x:c>
      <x:c r="G284" s="18" t="n">
        <x:v>1</x:v>
      </x:c>
      <x:c r="H284" s="18" t="n">
        <x:v>9768</x:v>
      </x:c>
      <x:c r="I284" s="18" t="n">
        <x:v>100</x:v>
      </x:c>
      <x:c r="J284" s="25" t="n">
        <x:v>0.1812</x:v>
      </x:c>
      <x:c r="K284" s="25" t="n">
        <x:v>0</x:v>
      </x:c>
      <x:c r="L284" s="26" t="str">
        <x:v>Active</x:v>
      </x:c>
      <x:c r="M284" s="26" t="str">
        <x:v>Not independently stated in this supplement</x:v>
      </x:c>
      <x:c r="N284" s="23" t="b">
        <x:v>0</x:v>
      </x:c>
      <x:c r="O284" s="2" t="str">
        <x:v>Unreserved inventory snapshot</x:v>
      </x:c>
      <x:c r="P284" s="2"/>
      <x:c r="Q284" s="2" t="str">
        <x:v>https://www.digikey.com/en/products/detail/vishay-dale/TNPW04021K24BEED/4876054</x:v>
      </x:c>
    </x:row>
    <x:row r="285" ht="44" customHeight="1">
      <x:c r="A285" s="17" t="str">
        <x:v>OF0279</x:v>
      </x:c>
      <x:c r="B285" s="17" t="str">
        <x:v>TNPW04024K87BEED</x:v>
      </x:c>
      <x:c r="C285" s="17" t="str">
        <x:v>DigiKey</x:v>
      </x:c>
      <x:c r="D285" s="17" t="str">
        <x:v>Not stated</x:v>
      </x:c>
      <x:c r="E285" s="24" t="d">
        <x:v>2026-10-12T11:28:25.464Z</x:v>
      </x:c>
      <x:c r="F285" s="18" t="n">
        <x:v>1</x:v>
      </x:c>
      <x:c r="G285" s="18" t="n">
        <x:v>1</x:v>
      </x:c>
      <x:c r="H285" s="18" t="n">
        <x:v>8176</x:v>
      </x:c>
      <x:c r="I285" s="18" t="n">
        <x:v>100</x:v>
      </x:c>
      <x:c r="J285" s="25" t="n">
        <x:v>0.1812</x:v>
      </x:c>
      <x:c r="K285" s="25" t="n">
        <x:v>0</x:v>
      </x:c>
      <x:c r="L285" s="26" t="str">
        <x:v>Active</x:v>
      </x:c>
      <x:c r="M285" s="26" t="str">
        <x:v>Not independently stated in this supplement</x:v>
      </x:c>
      <x:c r="N285" s="23" t="b">
        <x:v>0</x:v>
      </x:c>
      <x:c r="O285" s="2" t="str">
        <x:v>Unreserved inventory snapshot</x:v>
      </x:c>
      <x:c r="P285" s="2"/>
      <x:c r="Q285" s="2" t="str">
        <x:v>https://www.digikey.com/en/products/detail/vishay-dale/TNPW04024K87BEED/2217770</x:v>
      </x:c>
    </x:row>
    <x:row r="286" ht="44" customHeight="1">
      <x:c r="A286" s="17" t="str">
        <x:v>OF0280</x:v>
      </x:c>
      <x:c r="B286" s="17" t="str">
        <x:v>TNPW0603100KBEEA</x:v>
      </x:c>
      <x:c r="C286" s="17" t="str">
        <x:v>DigiKey</x:v>
      </x:c>
      <x:c r="D286" s="17" t="str">
        <x:v>Not stated</x:v>
      </x:c>
      <x:c r="E286" s="24" t="d">
        <x:v>2026-10-12T11:28:25.464Z</x:v>
      </x:c>
      <x:c r="F286" s="18" t="n">
        <x:v>1</x:v>
      </x:c>
      <x:c r="G286" s="18" t="n">
        <x:v>1</x:v>
      </x:c>
      <x:c r="H286" s="18" t="n">
        <x:v>88719</x:v>
      </x:c>
      <x:c r="I286" s="18" t="n">
        <x:v>100</x:v>
      </x:c>
      <x:c r="J286" s="25" t="n">
        <x:v>0.1812</x:v>
      </x:c>
      <x:c r="K286" s="25" t="n">
        <x:v>0</x:v>
      </x:c>
      <x:c r="L286" s="26" t="str">
        <x:v>Active</x:v>
      </x:c>
      <x:c r="M286" s="26" t="str">
        <x:v>Not independently stated in this supplement</x:v>
      </x:c>
      <x:c r="N286" s="23" t="b">
        <x:v>0</x:v>
      </x:c>
      <x:c r="O286" s="2" t="str">
        <x:v>Unreserved inventory snapshot</x:v>
      </x:c>
      <x:c r="P286" s="2"/>
      <x:c r="Q286" s="2" t="str">
        <x:v>https://www.digikey.com/en/products/detail/vishay-dale/TNPW0603100KBEEA/1857055</x:v>
      </x:c>
    </x:row>
    <x:row r="287" ht="44" customHeight="1">
      <x:c r="A287" s="17" t="str">
        <x:v>OF0281</x:v>
      </x:c>
      <x:c r="B287" s="17" t="str">
        <x:v>TPD1E05U06DPYR</x:v>
      </x:c>
      <x:c r="C287" s="17" t="str">
        <x:v>DigiKey</x:v>
      </x:c>
      <x:c r="D287" s="17" t="str">
        <x:v>Not stated</x:v>
      </x:c>
      <x:c r="E287" s="24" t="d">
        <x:v>2026-10-12T11:28:25.464Z</x:v>
      </x:c>
      <x:c r="F287" s="18" t="n">
        <x:v>1</x:v>
      </x:c>
      <x:c r="G287" s="18" t="n">
        <x:v>1</x:v>
      </x:c>
      <x:c r="H287" s="18" t="n">
        <x:v>590494</x:v>
      </x:c>
      <x:c r="I287" s="18" t="n">
        <x:v>100</x:v>
      </x:c>
      <x:c r="J287" s="25" t="n">
        <x:v>0.1685</x:v>
      </x:c>
      <x:c r="K287" s="25" t="n">
        <x:v>0</x:v>
      </x:c>
      <x:c r="L287" s="26" t="str">
        <x:v>Active</x:v>
      </x:c>
      <x:c r="M287" s="26" t="str">
        <x:v>Not independently stated in this supplement</x:v>
      </x:c>
      <x:c r="N287" s="23" t="b">
        <x:v>0</x:v>
      </x:c>
      <x:c r="O287" s="2" t="str">
        <x:v>Unreserved inventory snapshot</x:v>
      </x:c>
      <x:c r="P287" s="2"/>
      <x:c r="Q287" s="2" t="str">
        <x:v>https://www.digikey.com/en/products/detail/texas-instruments/TPD1E05U06DPYR/3844805</x:v>
      </x:c>
    </x:row>
    <x:row r="288" ht="44" customHeight="1">
      <x:c r="A288" s="17" t="str">
        <x:v>OF0282</x:v>
      </x:c>
      <x:c r="B288" s="17" t="str">
        <x:v>TPD4E1U06DBVR</x:v>
      </x:c>
      <x:c r="C288" s="17" t="str">
        <x:v>DigiKey</x:v>
      </x:c>
      <x:c r="D288" s="17" t="str">
        <x:v>Not stated</x:v>
      </x:c>
      <x:c r="E288" s="24" t="d">
        <x:v>2026-10-12T11:28:25.469Z</x:v>
      </x:c>
      <x:c r="F288" s="18" t="n">
        <x:v>1</x:v>
      </x:c>
      <x:c r="G288" s="18" t="n">
        <x:v>1</x:v>
      </x:c>
      <x:c r="H288" s="18" t="n">
        <x:v>28706</x:v>
      </x:c>
      <x:c r="I288" s="18" t="n">
        <x:v>100</x:v>
      </x:c>
      <x:c r="J288" s="25" t="n">
        <x:v>0.3809</x:v>
      </x:c>
      <x:c r="K288" s="25" t="n">
        <x:v>0</x:v>
      </x:c>
      <x:c r="L288" s="26" t="str">
        <x:v>Active</x:v>
      </x:c>
      <x:c r="M288" s="26" t="str">
        <x:v>Not independently stated in this supplement</x:v>
      </x:c>
      <x:c r="N288" s="23" t="b">
        <x:v>0</x:v>
      </x:c>
      <x:c r="O288" s="2" t="str">
        <x:v>Unreserved inventory snapshot</x:v>
      </x:c>
      <x:c r="P288" s="2"/>
      <x:c r="Q288" s="2" t="str">
        <x:v>https://www.digikey.com/en/products/detail/texas-instruments/TPD4E1U06DBVR/3929533</x:v>
      </x:c>
    </x:row>
    <x:row r="289" ht="44" customHeight="1">
      <x:c r="A289" s="17" t="str">
        <x:v>OF0283</x:v>
      </x:c>
      <x:c r="B289" s="17" t="str">
        <x:v>TPS2490DGSR</x:v>
      </x:c>
      <x:c r="C289" s="17" t="str">
        <x:v>LCSC</x:v>
      </x:c>
      <x:c r="D289" s="17" t="str">
        <x:v>C139631</x:v>
      </x:c>
      <x:c r="E289" s="24" t="d">
        <x:v>2026-10-12T10:44:22.631Z</x:v>
      </x:c>
      <x:c r="F289" s="18" t="n">
        <x:v>1</x:v>
      </x:c>
      <x:c r="G289" s="18" t="n">
        <x:v>1</x:v>
      </x:c>
      <x:c r="H289" s="18" t="n">
        <x:v>3000</x:v>
      </x:c>
      <x:c r="I289" s="18" t="n">
        <x:v>100</x:v>
      </x:c>
      <x:c r="J289" s="25" t="n">
        <x:v>2.2825</x:v>
      </x:c>
      <x:c r="K289" s="25" t="n">
        <x:v>0</x:v>
      </x:c>
      <x:c r="L289" s="26" t="str">
        <x:v>Not stated by captured product payload</x:v>
      </x:c>
      <x:c r="M289" s="26" t="str">
        <x:v>ACTIVE</x:v>
      </x:c>
      <x:c r="N289" s="23" t="b">
        <x:v>0</x:v>
      </x:c>
      <x:c r="O289" s="2" t="str">
        <x:v>Unreserved inventory snapshot</x:v>
      </x:c>
      <x:c r="P289" s="2"/>
      <x:c r="Q289" s="2" t="str">
        <x:v>https://www.lcsc.com/product-detail/C139631.html</x:v>
      </x:c>
    </x:row>
    <x:row r="290" ht="44" customHeight="1">
      <x:c r="A290" s="17" t="str">
        <x:v>OF0284</x:v>
      </x:c>
      <x:c r="B290" s="17" t="str">
        <x:v>TPS2553DBVR-1</x:v>
      </x:c>
      <x:c r="C290" s="17" t="str">
        <x:v>LCSC</x:v>
      </x:c>
      <x:c r="D290" s="17" t="str">
        <x:v>C111738</x:v>
      </x:c>
      <x:c r="E290" s="24" t="d">
        <x:v>2026-10-12T10:44:22.778Z</x:v>
      </x:c>
      <x:c r="F290" s="18" t="n">
        <x:v>5</x:v>
      </x:c>
      <x:c r="G290" s="18" t="n">
        <x:v>5</x:v>
      </x:c>
      <x:c r="H290" s="18" t="n">
        <x:v>12040</x:v>
      </x:c>
      <x:c r="I290" s="18" t="n">
        <x:v>50</x:v>
      </x:c>
      <x:c r="J290" s="25" t="n">
        <x:v>0.235</x:v>
      </x:c>
      <x:c r="K290" s="25" t="n">
        <x:v>0</x:v>
      </x:c>
      <x:c r="L290" s="26" t="str">
        <x:v>Not stated by captured product payload</x:v>
      </x:c>
      <x:c r="M290" s="26" t="str">
        <x:v>ACTIVE</x:v>
      </x:c>
      <x:c r="N290" s="23" t="b">
        <x:v>0</x:v>
      </x:c>
      <x:c r="O290" s="2" t="str">
        <x:v>Unreserved inventory snapshot</x:v>
      </x:c>
      <x:c r="P290" s="2"/>
      <x:c r="Q290" s="2" t="str">
        <x:v>https://www.lcsc.com/product-detail/C111738.html</x:v>
      </x:c>
    </x:row>
    <x:row r="291" ht="44" customHeight="1">
      <x:c r="A291" s="17" t="str">
        <x:v>OF0285</x:v>
      </x:c>
      <x:c r="B291" s="17" t="str">
        <x:v>TPS259474ARPWR</x:v>
      </x:c>
      <x:c r="C291" s="17" t="str">
        <x:v>LCSC</x:v>
      </x:c>
      <x:c r="D291" s="17" t="str">
        <x:v>C3662807</x:v>
      </x:c>
      <x:c r="E291" s="24" t="d">
        <x:v>2026-10-12T10:44:22.992Z</x:v>
      </x:c>
      <x:c r="F291" s="18" t="n">
        <x:v>1</x:v>
      </x:c>
      <x:c r="G291" s="18" t="n">
        <x:v>1</x:v>
      </x:c>
      <x:c r="H291" s="18" t="n">
        <x:v>208</x:v>
      </x:c>
      <x:c r="I291" s="18" t="n">
        <x:v>100</x:v>
      </x:c>
      <x:c r="J291" s="25" t="n">
        <x:v>1.902</x:v>
      </x:c>
      <x:c r="K291" s="25" t="n">
        <x:v>0</x:v>
      </x:c>
      <x:c r="L291" s="26" t="str">
        <x:v>Not stated by captured product payload</x:v>
      </x:c>
      <x:c r="M291" s="26" t="str">
        <x:v>ACTIVE</x:v>
      </x:c>
      <x:c r="N291" s="23" t="b">
        <x:v>0</x:v>
      </x:c>
      <x:c r="O291" s="2" t="str">
        <x:v>Unreserved inventory snapshot</x:v>
      </x:c>
      <x:c r="P291" s="2"/>
      <x:c r="Q291" s="2" t="str">
        <x:v>https://www.lcsc.com/product-detail/C3662807.html</x:v>
      </x:c>
    </x:row>
    <x:row r="292" ht="44" customHeight="1">
      <x:c r="A292" s="17" t="str">
        <x:v>OF0286</x:v>
      </x:c>
      <x:c r="B292" s="17" t="str">
        <x:v>TPS259474LRPWR</x:v>
      </x:c>
      <x:c r="C292" s="17" t="str">
        <x:v>DigiKey</x:v>
      </x:c>
      <x:c r="D292" s="17" t="str">
        <x:v>Not stated</x:v>
      </x:c>
      <x:c r="E292" s="24" t="d">
        <x:v>2026-10-12T11:28:25.467Z</x:v>
      </x:c>
      <x:c r="F292" s="18" t="n">
        <x:v>1</x:v>
      </x:c>
      <x:c r="G292" s="18" t="n">
        <x:v>1</x:v>
      </x:c>
      <x:c r="H292" s="18" t="n">
        <x:v>39724</x:v>
      </x:c>
      <x:c r="I292" s="18" t="n">
        <x:v>100</x:v>
      </x:c>
      <x:c r="J292" s="25" t="n">
        <x:v>1.1641</x:v>
      </x:c>
      <x:c r="K292" s="25" t="n">
        <x:v>0</x:v>
      </x:c>
      <x:c r="L292" s="26" t="str">
        <x:v>Active</x:v>
      </x:c>
      <x:c r="M292" s="26" t="str">
        <x:v>Not independently stated in this supplement</x:v>
      </x:c>
      <x:c r="N292" s="23" t="b">
        <x:v>0</x:v>
      </x:c>
      <x:c r="O292" s="2" t="str">
        <x:v>Unreserved inventory snapshot</x:v>
      </x:c>
      <x:c r="P292" s="2"/>
      <x:c r="Q292" s="2" t="str">
        <x:v>https://www.digikey.com/en/products/detail/texas-instruments/TPS259474LRPWR/14123976</x:v>
      </x:c>
    </x:row>
    <x:row r="293" ht="44" customHeight="1">
      <x:c r="A293" s="17" t="str">
        <x:v>OF0287</x:v>
      </x:c>
      <x:c r="B293" s="17" t="str">
        <x:v>TPS3435CAKAGDDFR</x:v>
      </x:c>
      <x:c r="C293" s="17" t="str">
        <x:v>DigiKey</x:v>
      </x:c>
      <x:c r="D293" s="17" t="str">
        <x:v>Not stated</x:v>
      </x:c>
      <x:c r="E293" s="24" t="d">
        <x:v>2026-10-12T11:28:25.484Z</x:v>
      </x:c>
      <x:c r="F293" s="18" t="n">
        <x:v>1</x:v>
      </x:c>
      <x:c r="G293" s="18" t="n">
        <x:v>1</x:v>
      </x:c>
      <x:c r="H293" s="18" t="n">
        <x:v>5443</x:v>
      </x:c>
      <x:c r="I293" s="18" t="n">
        <x:v>100</x:v>
      </x:c>
      <x:c r="J293" s="25" t="n">
        <x:v>1.476</x:v>
      </x:c>
      <x:c r="K293" s="25" t="n">
        <x:v>0</x:v>
      </x:c>
      <x:c r="L293" s="26" t="str">
        <x:v>Active</x:v>
      </x:c>
      <x:c r="M293" s="26" t="str">
        <x:v>Not independently stated in this supplement</x:v>
      </x:c>
      <x:c r="N293" s="23" t="b">
        <x:v>0</x:v>
      </x:c>
      <x:c r="O293" s="2" t="str">
        <x:v>Unreserved inventory snapshot</x:v>
      </x:c>
      <x:c r="P293" s="2"/>
      <x:c r="Q293" s="2" t="str">
        <x:v>https://www.digikey.com/en/products/detail/texas-instruments/TPS3435CAKAGDDFR/17748491</x:v>
      </x:c>
    </x:row>
    <x:row r="294" ht="44" customHeight="1">
      <x:c r="A294" s="17" t="str">
        <x:v>OF0288</x:v>
      </x:c>
      <x:c r="B294" s="17" t="str">
        <x:v>TPS3700DDCR</x:v>
      </x:c>
      <x:c r="C294" s="17" t="str">
        <x:v>LCSC</x:v>
      </x:c>
      <x:c r="D294" s="17" t="str">
        <x:v>C33002</x:v>
      </x:c>
      <x:c r="E294" s="24" t="d">
        <x:v>2026-10-12T10:44:23.256Z</x:v>
      </x:c>
      <x:c r="F294" s="18" t="n">
        <x:v>1</x:v>
      </x:c>
      <x:c r="G294" s="18" t="n">
        <x:v>1</x:v>
      </x:c>
      <x:c r="H294" s="18" t="n">
        <x:v>13826</x:v>
      </x:c>
      <x:c r="I294" s="18" t="n">
        <x:v>100</x:v>
      </x:c>
      <x:c r="J294" s="25" t="n">
        <x:v>0.9039</x:v>
      </x:c>
      <x:c r="K294" s="25" t="n">
        <x:v>0</x:v>
      </x:c>
      <x:c r="L294" s="26" t="str">
        <x:v>Not stated by captured product payload</x:v>
      </x:c>
      <x:c r="M294" s="26" t="str">
        <x:v>ACTIVE</x:v>
      </x:c>
      <x:c r="N294" s="23" t="b">
        <x:v>0</x:v>
      </x:c>
      <x:c r="O294" s="2" t="str">
        <x:v>Unreserved inventory snapshot</x:v>
      </x:c>
      <x:c r="P294" s="2"/>
      <x:c r="Q294" s="2" t="str">
        <x:v>https://www.lcsc.com/product-detail/C33002.html</x:v>
      </x:c>
    </x:row>
    <x:row r="295" ht="44" customHeight="1">
      <x:c r="A295" s="17" t="str">
        <x:v>OF0289</x:v>
      </x:c>
      <x:c r="B295" s="17" t="str">
        <x:v>TPS3808G01DBVR</x:v>
      </x:c>
      <x:c r="C295" s="17" t="str">
        <x:v>LCSC</x:v>
      </x:c>
      <x:c r="D295" s="17" t="str">
        <x:v>C19653</x:v>
      </x:c>
      <x:c r="E295" s="24" t="d">
        <x:v>2026-10-12T10:44:23.424Z</x:v>
      </x:c>
      <x:c r="F295" s="18" t="n">
        <x:v>5</x:v>
      </x:c>
      <x:c r="G295" s="18" t="n">
        <x:v>5</x:v>
      </x:c>
      <x:c r="H295" s="18" t="n">
        <x:v>15495</x:v>
      </x:c>
      <x:c r="I295" s="18" t="n">
        <x:v>150</x:v>
      </x:c>
      <x:c r="J295" s="25" t="n">
        <x:v>0.3103</x:v>
      </x:c>
      <x:c r="K295" s="25" t="n">
        <x:v>0</x:v>
      </x:c>
      <x:c r="L295" s="26" t="str">
        <x:v>Not stated by captured product payload</x:v>
      </x:c>
      <x:c r="M295" s="26" t="str">
        <x:v>ACTIVE</x:v>
      </x:c>
      <x:c r="N295" s="23" t="b">
        <x:v>0</x:v>
      </x:c>
      <x:c r="O295" s="2" t="str">
        <x:v>Unreserved inventory snapshot</x:v>
      </x:c>
      <x:c r="P295" s="2"/>
      <x:c r="Q295" s="2" t="str">
        <x:v>https://www.lcsc.com/product-detail/C19653.html</x:v>
      </x:c>
    </x:row>
    <x:row r="296" ht="44" customHeight="1">
      <x:c r="A296" s="17" t="str">
        <x:v>OF0290</x:v>
      </x:c>
      <x:c r="B296" s="17" t="str">
        <x:v>TPS3808G33DBVR</x:v>
      </x:c>
      <x:c r="C296" s="17" t="str">
        <x:v>LCSC</x:v>
      </x:c>
      <x:c r="D296" s="17" t="str">
        <x:v>C43698</x:v>
      </x:c>
      <x:c r="E296" s="24" t="d">
        <x:v>2026-10-12T10:44:23.612Z</x:v>
      </x:c>
      <x:c r="F296" s="18" t="n">
        <x:v>1</x:v>
      </x:c>
      <x:c r="G296" s="18" t="n">
        <x:v>1</x:v>
      </x:c>
      <x:c r="H296" s="18" t="n">
        <x:v>23019</x:v>
      </x:c>
      <x:c r="I296" s="18" t="n">
        <x:v>100</x:v>
      </x:c>
      <x:c r="J296" s="25" t="n">
        <x:v>0.245</x:v>
      </x:c>
      <x:c r="K296" s="25" t="n">
        <x:v>0</x:v>
      </x:c>
      <x:c r="L296" s="26" t="str">
        <x:v>Not stated by captured product payload</x:v>
      </x:c>
      <x:c r="M296" s="26" t="str">
        <x:v>ACTIVE</x:v>
      </x:c>
      <x:c r="N296" s="23" t="b">
        <x:v>0</x:v>
      </x:c>
      <x:c r="O296" s="2" t="str">
        <x:v>Unreserved inventory snapshot</x:v>
      </x:c>
      <x:c r="P296" s="2"/>
      <x:c r="Q296" s="2" t="str">
        <x:v>https://www.lcsc.com/product-detail/C43698.html</x:v>
      </x:c>
    </x:row>
    <x:row r="297" ht="44" customHeight="1">
      <x:c r="A297" s="17" t="str">
        <x:v>OF0291</x:v>
      </x:c>
      <x:c r="B297" s="17" t="str">
        <x:v>TPS389001DSER</x:v>
      </x:c>
      <x:c r="C297" s="17" t="str">
        <x:v>DigiKey</x:v>
      </x:c>
      <x:c r="D297" s="17" t="str">
        <x:v>Not stated</x:v>
      </x:c>
      <x:c r="E297" s="24" t="d">
        <x:v>2026-10-12T11:28:25.467Z</x:v>
      </x:c>
      <x:c r="F297" s="18" t="n">
        <x:v>1</x:v>
      </x:c>
      <x:c r="G297" s="18" t="n">
        <x:v>1</x:v>
      </x:c>
      <x:c r="H297" s="18" t="n">
        <x:v>26260</x:v>
      </x:c>
      <x:c r="I297" s="18" t="n">
        <x:v>100</x:v>
      </x:c>
      <x:c r="J297" s="25" t="n">
        <x:v>1.1273</x:v>
      </x:c>
      <x:c r="K297" s="25" t="n">
        <x:v>0</x:v>
      </x:c>
      <x:c r="L297" s="26" t="str">
        <x:v>Active</x:v>
      </x:c>
      <x:c r="M297" s="26" t="str">
        <x:v>Not independently stated in this supplement</x:v>
      </x:c>
      <x:c r="N297" s="23" t="b">
        <x:v>0</x:v>
      </x:c>
      <x:c r="O297" s="2" t="str">
        <x:v>Unreserved inventory snapshot</x:v>
      </x:c>
      <x:c r="P297" s="2"/>
      <x:c r="Q297" s="2" t="str">
        <x:v>https://www.digikey.com/en/products/detail/texas-instruments/TPS389001DSER/6123505</x:v>
      </x:c>
    </x:row>
    <x:row r="298" ht="44" customHeight="1">
      <x:c r="A298" s="17" t="str">
        <x:v>OF0292</x:v>
      </x:c>
      <x:c r="B298" s="17" t="str">
        <x:v>TPS62912RPUR</x:v>
      </x:c>
      <x:c r="C298" s="17" t="str">
        <x:v>LCSC</x:v>
      </x:c>
      <x:c r="D298" s="17" t="str">
        <x:v>C3198056</x:v>
      </x:c>
      <x:c r="E298" s="24" t="d">
        <x:v>2026-10-12T10:44:23.717Z</x:v>
      </x:c>
      <x:c r="F298" s="18" t="n">
        <x:v>1</x:v>
      </x:c>
      <x:c r="G298" s="18" t="n">
        <x:v>1</x:v>
      </x:c>
      <x:c r="H298" s="18" t="n">
        <x:v>902</x:v>
      </x:c>
      <x:c r="I298" s="18" t="n">
        <x:v>100</x:v>
      </x:c>
      <x:c r="J298" s="25" t="n">
        <x:v>2.9714</x:v>
      </x:c>
      <x:c r="K298" s="25" t="n">
        <x:v>0</x:v>
      </x:c>
      <x:c r="L298" s="26" t="str">
        <x:v>Not stated by captured product payload</x:v>
      </x:c>
      <x:c r="M298" s="26" t="str">
        <x:v>ACTIVE</x:v>
      </x:c>
      <x:c r="N298" s="23" t="b">
        <x:v>0</x:v>
      </x:c>
      <x:c r="O298" s="2" t="str">
        <x:v>Unreserved inventory snapshot</x:v>
      </x:c>
      <x:c r="P298" s="2"/>
      <x:c r="Q298" s="2" t="str">
        <x:v>https://www.lcsc.com/product-detail/C3198056.html</x:v>
      </x:c>
    </x:row>
    <x:row r="299" ht="44" customHeight="1">
      <x:c r="A299" s="17" t="str">
        <x:v>OF0293</x:v>
      </x:c>
      <x:c r="B299" s="17" t="str">
        <x:v>TPS7A2033PDBVR</x:v>
      </x:c>
      <x:c r="C299" s="17" t="str">
        <x:v>LCSC</x:v>
      </x:c>
      <x:c r="D299" s="17" t="str">
        <x:v>C2862740</x:v>
      </x:c>
      <x:c r="E299" s="24" t="d">
        <x:v>2026-10-12T10:44:23.862Z</x:v>
      </x:c>
      <x:c r="F299" s="18" t="n">
        <x:v>5</x:v>
      </x:c>
      <x:c r="G299" s="18" t="n">
        <x:v>5</x:v>
      </x:c>
      <x:c r="H299" s="18" t="n">
        <x:v>179995</x:v>
      </x:c>
      <x:c r="I299" s="18" t="n">
        <x:v>50</x:v>
      </x:c>
      <x:c r="J299" s="25" t="n">
        <x:v>0.1679</x:v>
      </x:c>
      <x:c r="K299" s="25" t="n">
        <x:v>0</x:v>
      </x:c>
      <x:c r="L299" s="26" t="str">
        <x:v>Not stated by captured product payload</x:v>
      </x:c>
      <x:c r="M299" s="26" t="str">
        <x:v>ACTIVE</x:v>
      </x:c>
      <x:c r="N299" s="23" t="b">
        <x:v>0</x:v>
      </x:c>
      <x:c r="O299" s="2" t="str">
        <x:v>Unreserved inventory snapshot</x:v>
      </x:c>
      <x:c r="P299" s="2"/>
      <x:c r="Q299" s="2" t="str">
        <x:v>https://www.lcsc.com/product-detail/C2862740.html</x:v>
      </x:c>
    </x:row>
    <x:row r="300" ht="44" customHeight="1">
      <x:c r="A300" s="17" t="str">
        <x:v>OF0294</x:v>
      </x:c>
      <x:c r="B300" s="17" t="str">
        <x:v>TVS0500DRVR</x:v>
      </x:c>
      <x:c r="C300" s="17" t="str">
        <x:v>DigiKey</x:v>
      </x:c>
      <x:c r="D300" s="17" t="str">
        <x:v>Not stated</x:v>
      </x:c>
      <x:c r="E300" s="24" t="d">
        <x:v>2026-10-12T11:28:25.468Z</x:v>
      </x:c>
      <x:c r="F300" s="18" t="n">
        <x:v>1</x:v>
      </x:c>
      <x:c r="G300" s="18" t="n">
        <x:v>1</x:v>
      </x:c>
      <x:c r="H300" s="18" t="n">
        <x:v>37002</x:v>
      </x:c>
      <x:c r="I300" s="18" t="n">
        <x:v>100</x:v>
      </x:c>
      <x:c r="J300" s="25" t="n">
        <x:v>0.4493</x:v>
      </x:c>
      <x:c r="K300" s="25" t="n">
        <x:v>0</x:v>
      </x:c>
      <x:c r="L300" s="26" t="str">
        <x:v>Active</x:v>
      </x:c>
      <x:c r="M300" s="26" t="str">
        <x:v>Not independently stated in this supplement</x:v>
      </x:c>
      <x:c r="N300" s="23" t="b">
        <x:v>0</x:v>
      </x:c>
      <x:c r="O300" s="2" t="str">
        <x:v>Unreserved inventory snapshot</x:v>
      </x:c>
      <x:c r="P300" s="2"/>
      <x:c r="Q300" s="2" t="str">
        <x:v>https://www.digikey.com/en/products/detail/texas-instruments/TVS0500DRVR/8538263</x:v>
      </x:c>
    </x:row>
    <x:row r="301" ht="44" customHeight="1">
      <x:c r="A301" s="17" t="str">
        <x:v>OF0295</x:v>
      </x:c>
      <x:c r="B301" s="17" t="str">
        <x:v>TYPE-C-31-M-12</x:v>
      </x:c>
      <x:c r="C301" s="17" t="str">
        <x:v>LCSC</x:v>
      </x:c>
      <x:c r="D301" s="17" t="str">
        <x:v>C165948</x:v>
      </x:c>
      <x:c r="E301" s="24" t="d">
        <x:v>2026-10-12T10:44:24.103Z</x:v>
      </x:c>
      <x:c r="F301" s="18" t="n">
        <x:v>5</x:v>
      </x:c>
      <x:c r="G301" s="18" t="n">
        <x:v>5</x:v>
      </x:c>
      <x:c r="H301" s="18" t="n">
        <x:v>380675</x:v>
      </x:c>
      <x:c r="I301" s="18" t="n">
        <x:v>50</x:v>
      </x:c>
      <x:c r="J301" s="25" t="n">
        <x:v>0.1483</x:v>
      </x:c>
      <x:c r="K301" s="25" t="n">
        <x:v>0</x:v>
      </x:c>
      <x:c r="L301" s="26" t="str">
        <x:v>Not stated by captured product payload</x:v>
      </x:c>
      <x:c r="M301" s="26" t="str">
        <x:v>Not independently stated in this supplement</x:v>
      </x:c>
      <x:c r="N301" s="23" t="b">
        <x:v>0</x:v>
      </x:c>
      <x:c r="O301" s="2" t="str">
        <x:v>Unreserved inventory snapshot</x:v>
      </x:c>
      <x:c r="P301" s="2"/>
      <x:c r="Q301" s="2" t="str">
        <x:v>https://www.lcsc.com/product-detail/C165948.html</x:v>
      </x:c>
    </x:row>
    <x:row r="302" ht="44" customHeight="1">
      <x:c r="A302" s="17" t="str">
        <x:v>OF0296</x:v>
      </x:c>
      <x:c r="B302" s="17" t="str">
        <x:v>U.FL-R-SMT-1(80)</x:v>
      </x:c>
      <x:c r="C302" s="17" t="str">
        <x:v>LCSC</x:v>
      </x:c>
      <x:c r="D302" s="17" t="str">
        <x:v>C88374</x:v>
      </x:c>
      <x:c r="E302" s="24" t="d">
        <x:v>2026-10-12T10:44:24.257Z</x:v>
      </x:c>
      <x:c r="F302" s="18" t="n">
        <x:v>5</x:v>
      </x:c>
      <x:c r="G302" s="18" t="n">
        <x:v>5</x:v>
      </x:c>
      <x:c r="H302" s="18" t="n">
        <x:v>92510</x:v>
      </x:c>
      <x:c r="I302" s="18" t="n">
        <x:v>50</x:v>
      </x:c>
      <x:c r="J302" s="25" t="n">
        <x:v>0.0931</x:v>
      </x:c>
      <x:c r="K302" s="25" t="n">
        <x:v>0</x:v>
      </x:c>
      <x:c r="L302" s="26" t="str">
        <x:v>Not stated by captured product payload</x:v>
      </x:c>
      <x:c r="M302" s="26" t="str">
        <x:v>Sales Products</x:v>
      </x:c>
      <x:c r="N302" s="23" t="b">
        <x:v>0</x:v>
      </x:c>
      <x:c r="O302" s="2" t="str">
        <x:v>Unreserved inventory snapshot</x:v>
      </x:c>
      <x:c r="P302" s="2"/>
      <x:c r="Q302" s="2" t="str">
        <x:v>https://www.lcsc.com/product-detail/C88374.html</x:v>
      </x:c>
    </x:row>
    <x:row r="303" ht="44" customHeight="1">
      <x:c r="A303" s="17" t="str">
        <x:v>OF0297</x:v>
      </x:c>
      <x:c r="B303" s="17" t="str">
        <x:v>UHW2A330MPD</x:v>
      </x:c>
      <x:c r="C303" s="17" t="str">
        <x:v>DigiKey</x:v>
      </x:c>
      <x:c r="D303" s="17" t="str">
        <x:v>Not stated</x:v>
      </x:c>
      <x:c r="E303" s="24" t="d">
        <x:v>2026-10-12T11:28:25.468Z</x:v>
      </x:c>
      <x:c r="F303" s="18" t="n">
        <x:v>1</x:v>
      </x:c>
      <x:c r="G303" s="18" t="n">
        <x:v>1</x:v>
      </x:c>
      <x:c r="H303" s="18" t="n">
        <x:v>1506</x:v>
      </x:c>
      <x:c r="I303" s="18" t="n">
        <x:v>100</x:v>
      </x:c>
      <x:c r="J303" s="25" t="n">
        <x:v>0.5136</x:v>
      </x:c>
      <x:c r="K303" s="25" t="n">
        <x:v>0</x:v>
      </x:c>
      <x:c r="L303" s="26" t="str">
        <x:v>Active</x:v>
      </x:c>
      <x:c r="M303" s="26" t="str">
        <x:v>Not independently stated in this supplement</x:v>
      </x:c>
      <x:c r="N303" s="23" t="b">
        <x:v>0</x:v>
      </x:c>
      <x:c r="O303" s="2" t="str">
        <x:v>Unreserved inventory snapshot</x:v>
      </x:c>
      <x:c r="P303" s="2"/>
      <x:c r="Q303" s="2" t="str">
        <x:v>https://www.digikey.com/en/products/detail/nichicon/UHW2A330MPD/21317756</x:v>
      </x:c>
    </x:row>
    <x:row r="304" ht="44" customHeight="1">
      <x:c r="A304" s="17" t="str">
        <x:v>OF0298</x:v>
      </x:c>
      <x:c r="B304" s="17" t="str">
        <x:v>USBLC6-2P6</x:v>
      </x:c>
      <x:c r="C304" s="17" t="str">
        <x:v>DigiKey</x:v>
      </x:c>
      <x:c r="D304" s="17" t="str">
        <x:v>Not stated</x:v>
      </x:c>
      <x:c r="E304" s="24" t="d">
        <x:v>2026-10-12T11:28:25.484Z</x:v>
      </x:c>
      <x:c r="F304" s="18" t="n">
        <x:v>1</x:v>
      </x:c>
      <x:c r="G304" s="18" t="n">
        <x:v>1</x:v>
      </x:c>
      <x:c r="H304" s="18" t="n">
        <x:v>86297</x:v>
      </x:c>
      <x:c r="I304" s="18" t="n">
        <x:v>100</x:v>
      </x:c>
      <x:c r="J304" s="25" t="n">
        <x:v>0.2552</x:v>
      </x:c>
      <x:c r="K304" s="25" t="n">
        <x:v>0</x:v>
      </x:c>
      <x:c r="L304" s="26" t="str">
        <x:v>Active</x:v>
      </x:c>
      <x:c r="M304" s="26" t="str">
        <x:v>Not independently stated in this supplement</x:v>
      </x:c>
      <x:c r="N304" s="23" t="b">
        <x:v>0</x:v>
      </x:c>
      <x:c r="O304" s="2" t="str">
        <x:v>Unreserved inventory snapshot</x:v>
      </x:c>
      <x:c r="P304" s="2"/>
      <x:c r="Q304" s="2" t="str">
        <x:v>https://www.digikey.com/en/products/detail/stmicroelectronics/USBLC6-2P6/1007464</x:v>
      </x:c>
    </x:row>
    <x:row r="305" ht="44" customHeight="1">
      <x:c r="A305" s="17" t="str">
        <x:v>OF0299</x:v>
      </x:c>
      <x:c r="B305" s="17" t="str">
        <x:v>E22-900MM22S</x:v>
      </x:c>
      <x:c r="C305" s="17" t="str">
        <x:v>JLCPCB Parts</x:v>
      </x:c>
      <x:c r="D305" s="17" t="str">
        <x:v>C5333985</x:v>
      </x:c>
      <x:c r="E305" s="24" t="d">
        <x:v>2026-10-12T15:00:30.881Z</x:v>
      </x:c>
      <x:c r="F305" s="18" t="n">
        <x:v>2</x:v>
      </x:c>
      <x:c r="G305" s="18" t="n">
        <x:v>1</x:v>
      </x:c>
      <x:c r="H305" s="18" t="n">
        <x:v>419</x:v>
      </x:c>
      <x:c r="I305" s="18" t="n">
        <x:v>102</x:v>
      </x:c>
      <x:c r="J305" s="25" t="n">
        <x:v>4.4024</x:v>
      </x:c>
      <x:c r="K305" s="25" t="n">
        <x:v>0</x:v>
      </x:c>
      <x:c r="L305" s="26" t="str">
        <x:v>Not stated by captured exact product payload</x:v>
      </x:c>
      <x:c r="M305" s="26" t="str">
        <x:v>Not independently stated in this supplement</x:v>
      </x:c>
      <x:c r="N305" s="23" t="b">
        <x:v>1</x:v>
      </x:c>
      <x:c r="O305" s="2" t="str">
        <x:v>JLC PCBA allocation required</x:v>
      </x:c>
      <x:c r="P305" s="2"/>
      <x:c r="Q305" s="2" t="str">
        <x:v>https://jlcpcb.com/partdetail/E22-900MM22S/C5333985</x:v>
      </x:c>
    </x:row>
    <x:row r="306" ht="24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 ht="24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 ht="24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</x:sheetData>
  <x:pageMargins left="0.7" right="0.7" top="0.75" bottom="0.75" header="0.3" footer="0.3"/>
  <x:tableParts count="1">
    <x:tablePart xmlns:r="http://schemas.openxmlformats.org/officeDocument/2006/relationships" r:id="Rfb465266dbb7461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34" hidden="0" customWidth="1"/>
    <x:col min="4" max="4" width="28" hidden="0" customWidth="1"/>
    <x:col min="5" max="5" width="35" hidden="0" customWidth="1"/>
    <x:col min="6" max="6" width="16" hidden="0" customWidth="1"/>
    <x:col min="7" max="7" width="75" hidden="0" customWidth="1"/>
    <x:col min="8" max="8" width="9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Assembly exclusions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21 unpurchased service / mounting features and 4 fitted THT parts separated from SMT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14" t="str">
        <x:v>Reference</x:v>
      </x:c>
      <x:c r="B6" s="15" t="str">
        <x:v>Category</x:v>
      </x:c>
      <x:c r="C6" s="15" t="str">
        <x:v>MPN</x:v>
      </x:c>
      <x:c r="D6" s="15" t="str">
        <x:v>Manufacturer</x:v>
      </x:c>
      <x:c r="E6" s="15" t="str">
        <x:v>Design value</x:v>
      </x:c>
      <x:c r="F6" s="15" t="str">
        <x:v>Fitted quantity</x:v>
      </x:c>
      <x:c r="G6" s="15" t="str">
        <x:v>Native footprint</x:v>
      </x:c>
      <x:c r="H6" s="16" t="str">
        <x:v>Disposition</x:v>
      </x:c>
    </x:row>
    <x:row r="7" ht="54" customHeight="1">
      <x:c r="A7" s="17" t="str">
        <x:v>H2</x:v>
      </x:c>
      <x:c r="B7" s="17" t="str">
        <x:v>Mounting feature</x:v>
      </x:c>
      <x:c r="C7" s="17" t="str"/>
      <x:c r="D7" s="20" t="str"/>
      <x:c r="E7" s="20" t="str">
        <x:v>M2.5</x:v>
      </x:c>
      <x:c r="F7" s="19" t="n">
        <x:v>0</x:v>
      </x:c>
      <x:c r="G7" s="26" t="str">
        <x:v>carrier:MountingHole_2p7_M2p5_GND_SingleBore</x:v>
      </x:c>
      <x:c r="H7" s="26" t="str">
        <x:v>Native excluded from purchased BOM. No component procurement or SMT placement.</x:v>
      </x:c>
    </x:row>
    <x:row r="8" ht="54" customHeight="1">
      <x:c r="A8" s="17" t="str">
        <x:v>H3</x:v>
      </x:c>
      <x:c r="B8" s="17" t="str">
        <x:v>Mounting feature</x:v>
      </x:c>
      <x:c r="C8" s="17" t="str"/>
      <x:c r="D8" s="20" t="str"/>
      <x:c r="E8" s="20" t="str">
        <x:v>M2.5</x:v>
      </x:c>
      <x:c r="F8" s="19" t="n">
        <x:v>0</x:v>
      </x:c>
      <x:c r="G8" s="26" t="str">
        <x:v>carrier:MountingHole_2p7_M2p5_GND_SingleBore</x:v>
      </x:c>
      <x:c r="H8" s="26" t="str">
        <x:v>Native excluded from purchased BOM. No component procurement or SMT placement.</x:v>
      </x:c>
    </x:row>
    <x:row r="9" ht="54" customHeight="1">
      <x:c r="A9" s="17" t="str">
        <x:v>H4</x:v>
      </x:c>
      <x:c r="B9" s="17" t="str">
        <x:v>Mounting feature</x:v>
      </x:c>
      <x:c r="C9" s="17" t="str"/>
      <x:c r="D9" s="20" t="str"/>
      <x:c r="E9" s="20" t="str">
        <x:v>M2.5</x:v>
      </x:c>
      <x:c r="F9" s="19" t="n">
        <x:v>0</x:v>
      </x:c>
      <x:c r="G9" s="26" t="str">
        <x:v>carrier:MountingHole_2p7_M2p5_GND_SingleBore</x:v>
      </x:c>
      <x:c r="H9" s="26" t="str">
        <x:v>Native excluded from purchased BOM. No component procurement or SMT placement.</x:v>
      </x:c>
    </x:row>
    <x:row r="10" ht="54" customHeight="1">
      <x:c r="A10" s="17" t="str">
        <x:v>H5</x:v>
      </x:c>
      <x:c r="B10" s="17" t="str">
        <x:v>Mounting feature</x:v>
      </x:c>
      <x:c r="C10" s="17" t="str"/>
      <x:c r="D10" s="20" t="str"/>
      <x:c r="E10" s="20" t="str">
        <x:v>M2.5</x:v>
      </x:c>
      <x:c r="F10" s="19" t="n">
        <x:v>0</x:v>
      </x:c>
      <x:c r="G10" s="26" t="str">
        <x:v>carrier:MountingHole_2p7_M2p5_GND_SingleBore</x:v>
      </x:c>
      <x:c r="H10" s="26" t="str">
        <x:v>Native excluded from purchased BOM. No component procurement or SMT placement.</x:v>
      </x:c>
    </x:row>
    <x:row r="11" ht="54" customHeight="1">
      <x:c r="A11" s="17" t="str">
        <x:v>J800</x:v>
      </x:c>
      <x:c r="B11" s="17" t="str">
        <x:v>Service / test pads</x:v>
      </x:c>
      <x:c r="C11" s="17" t="str">
        <x:v>PCB service pads</x:v>
      </x:c>
      <x:c r="D11" s="20" t="str">
        <x:v>board</x:v>
      </x:c>
      <x:c r="E11" s="20" t="str">
        <x:v>OOB recovery 7pads</x:v>
      </x:c>
      <x:c r="F11" s="19" t="n">
        <x:v>0</x:v>
      </x:c>
      <x:c r="G11" s="26" t="str">
        <x:v>carrier:OOB_SERVICE_7PAD</x:v>
      </x:c>
      <x:c r="H11" s="26" t="str">
        <x:v>Native excluded from purchased BOM. No component procurement or SMT placement.</x:v>
      </x:c>
    </x:row>
    <x:row r="12" ht="54" customHeight="1">
      <x:c r="A12" s="17" t="str">
        <x:v>TP1</x:v>
      </x:c>
      <x:c r="B12" s="17" t="str">
        <x:v>Service / test pads</x:v>
      </x:c>
      <x:c r="C12" s="17" t="str"/>
      <x:c r="D12" s="20" t="str"/>
      <x:c r="E12" s="20" t="str">
        <x:v>V12</x:v>
      </x:c>
      <x:c r="F12" s="19" t="n">
        <x:v>0</x:v>
      </x:c>
      <x:c r="G12" s="26" t="str">
        <x:v>TestPoint:TestPoint_Pad_D1.0mm</x:v>
      </x:c>
      <x:c r="H12" s="26" t="str">
        <x:v>Native excluded from purchased BOM. No component procurement or SMT placement.</x:v>
      </x:c>
    </x:row>
    <x:row r="13" ht="54" customHeight="1">
      <x:c r="A13" s="17" t="str">
        <x:v>TP2</x:v>
      </x:c>
      <x:c r="B13" s="17" t="str">
        <x:v>Service / test pads</x:v>
      </x:c>
      <x:c r="C13" s="17" t="str"/>
      <x:c r="D13" s="20" t="str"/>
      <x:c r="E13" s="20" t="str">
        <x:v>V3V7</x:v>
      </x:c>
      <x:c r="F13" s="19" t="n">
        <x:v>0</x:v>
      </x:c>
      <x:c r="G13" s="26" t="str">
        <x:v>TestPoint:TestPoint_Pad_D1.0mm</x:v>
      </x:c>
      <x:c r="H13" s="26" t="str">
        <x:v>Native excluded from purchased BOM. No component procurement or SMT placement.</x:v>
      </x:c>
    </x:row>
    <x:row r="14" ht="54" customHeight="1">
      <x:c r="A14" s="17" t="str">
        <x:v>TP3</x:v>
      </x:c>
      <x:c r="B14" s="17" t="str">
        <x:v>Service / test pads</x:v>
      </x:c>
      <x:c r="C14" s="17" t="str"/>
      <x:c r="D14" s="20" t="str"/>
      <x:c r="E14" s="20" t="str">
        <x:v>V3V3</x:v>
      </x:c>
      <x:c r="F14" s="19" t="n">
        <x:v>0</x:v>
      </x:c>
      <x:c r="G14" s="26" t="str">
        <x:v>TestPoint:TestPoint_Pad_D1.0mm</x:v>
      </x:c>
      <x:c r="H14" s="26" t="str">
        <x:v>Native excluded from purchased BOM. No component procurement or SMT placement.</x:v>
      </x:c>
    </x:row>
    <x:row r="15" ht="54" customHeight="1">
      <x:c r="A15" s="17" t="str">
        <x:v>TP4</x:v>
      </x:c>
      <x:c r="B15" s="17" t="str">
        <x:v>Service / test pads</x:v>
      </x:c>
      <x:c r="C15" s="17" t="str"/>
      <x:c r="D15" s="20" t="str"/>
      <x:c r="E15" s="20" t="str">
        <x:v>V0V95</x:v>
      </x:c>
      <x:c r="F15" s="19" t="n">
        <x:v>0</x:v>
      </x:c>
      <x:c r="G15" s="26" t="str">
        <x:v>TestPoint:TestPoint_Pad_D1.0mm</x:v>
      </x:c>
      <x:c r="H15" s="26" t="str">
        <x:v>Native excluded from purchased BOM. No component procurement or SMT placement.</x:v>
      </x:c>
    </x:row>
    <x:row r="16" ht="54" customHeight="1">
      <x:c r="A16" s="17" t="str">
        <x:v>TP5</x:v>
      </x:c>
      <x:c r="B16" s="17" t="str">
        <x:v>Service / test pads</x:v>
      </x:c>
      <x:c r="C16" s="17" t="str"/>
      <x:c r="D16" s="20" t="str"/>
      <x:c r="E16" s="20" t="str">
        <x:v>GND</x:v>
      </x:c>
      <x:c r="F16" s="19" t="n">
        <x:v>0</x:v>
      </x:c>
      <x:c r="G16" s="26" t="str">
        <x:v>TestPoint:TestPoint_Pad_D1.0mm</x:v>
      </x:c>
      <x:c r="H16" s="26" t="str">
        <x:v>Native excluded from purchased BOM. No component procurement or SMT placement.</x:v>
      </x:c>
    </x:row>
    <x:row r="17" ht="54" customHeight="1">
      <x:c r="A17" s="17" t="str">
        <x:v>TP6</x:v>
      </x:c>
      <x:c r="B17" s="17" t="str">
        <x:v>Service / test pads</x:v>
      </x:c>
      <x:c r="C17" s="17" t="str"/>
      <x:c r="D17" s="20" t="str"/>
      <x:c r="E17" s="20" t="str">
        <x:v>VPOE_P</x:v>
      </x:c>
      <x:c r="F17" s="19" t="n">
        <x:v>0</x:v>
      </x:c>
      <x:c r="G17" s="26" t="str">
        <x:v>TestPoint:TestPoint_Pad_D1.0mm</x:v>
      </x:c>
      <x:c r="H17" s="26" t="str">
        <x:v>Native excluded from purchased BOM. No component procurement or SMT placement.</x:v>
      </x:c>
    </x:row>
    <x:row r="18" ht="54" customHeight="1">
      <x:c r="A18" s="17" t="str">
        <x:v>TP7</x:v>
      </x:c>
      <x:c r="B18" s="17" t="str">
        <x:v>Service / test pads</x:v>
      </x:c>
      <x:c r="C18" s="17" t="str"/>
      <x:c r="D18" s="20" t="str"/>
      <x:c r="E18" s="20" t="str">
        <x:v>UIM2_VDD</x:v>
      </x:c>
      <x:c r="F18" s="19" t="n">
        <x:v>0</x:v>
      </x:c>
      <x:c r="G18" s="26" t="str">
        <x:v>TestPoint:TestPoint_Pad_D1.0mm</x:v>
      </x:c>
      <x:c r="H18" s="26" t="str">
        <x:v>Native excluded from purchased BOM. No component procurement or SMT placement.</x:v>
      </x:c>
    </x:row>
    <x:row r="19" ht="54" customHeight="1">
      <x:c r="A19" s="17" t="str">
        <x:v>TP8</x:v>
      </x:c>
      <x:c r="B19" s="17" t="str">
        <x:v>Service / test pads</x:v>
      </x:c>
      <x:c r="C19" s="17" t="str"/>
      <x:c r="D19" s="20" t="str"/>
      <x:c r="E19" s="20" t="str">
        <x:v>ESIM_CLK</x:v>
      </x:c>
      <x:c r="F19" s="19" t="n">
        <x:v>0</x:v>
      </x:c>
      <x:c r="G19" s="26" t="str">
        <x:v>carrier:TestPoint_Pad_D1.0mm_DenseRevA_TP8</x:v>
      </x:c>
      <x:c r="H19" s="26" t="str">
        <x:v>Native excluded from purchased BOM. No component procurement or SMT placement.</x:v>
      </x:c>
    </x:row>
    <x:row r="20" ht="54" customHeight="1">
      <x:c r="A20" s="17" t="str">
        <x:v>TP9</x:v>
      </x:c>
      <x:c r="B20" s="17" t="str">
        <x:v>Service / test pads</x:v>
      </x:c>
      <x:c r="C20" s="17" t="str"/>
      <x:c r="D20" s="20" t="str"/>
      <x:c r="E20" s="20" t="str">
        <x:v>ESIM_IO</x:v>
      </x:c>
      <x:c r="F20" s="19" t="n">
        <x:v>0</x:v>
      </x:c>
      <x:c r="G20" s="26" t="str">
        <x:v>TestPoint:TestPoint_Pad_D1.0mm</x:v>
      </x:c>
      <x:c r="H20" s="26" t="str">
        <x:v>Native excluded from purchased BOM. No component procurement or SMT placement.</x:v>
      </x:c>
    </x:row>
    <x:row r="21" ht="54" customHeight="1">
      <x:c r="A21" s="17" t="str">
        <x:v>TP10</x:v>
      </x:c>
      <x:c r="B21" s="17" t="str">
        <x:v>Service / test pads</x:v>
      </x:c>
      <x:c r="C21" s="17" t="str"/>
      <x:c r="D21" s="20" t="str"/>
      <x:c r="E21" s="20" t="str">
        <x:v>PCIE_PERST_N</x:v>
      </x:c>
      <x:c r="F21" s="19" t="n">
        <x:v>0</x:v>
      </x:c>
      <x:c r="G21" s="26" t="str">
        <x:v>TestPoint:TestPoint_Pad_D1.0mm</x:v>
      </x:c>
      <x:c r="H21" s="26" t="str">
        <x:v>Native excluded from purchased BOM. No component procurement or SMT placement.</x:v>
      </x:c>
    </x:row>
    <x:row r="22" ht="54" customHeight="1">
      <x:c r="A22" s="17" t="str">
        <x:v>TP101</x:v>
      </x:c>
      <x:c r="B22" s="17" t="str">
        <x:v>Service / test pads</x:v>
      </x:c>
      <x:c r="C22" s="17" t="str"/>
      <x:c r="D22" s="20" t="str"/>
      <x:c r="E22" s="20" t="str">
        <x:v>EE_VDD</x:v>
      </x:c>
      <x:c r="F22" s="19" t="n">
        <x:v>0</x:v>
      </x:c>
      <x:c r="G22" s="26" t="str">
        <x:v>TestPoint:TestPoint_Pad_D1.0mm</x:v>
      </x:c>
      <x:c r="H22" s="26" t="str">
        <x:v>Native excluded from purchased BOM. No component procurement or SMT placement.</x:v>
      </x:c>
    </x:row>
    <x:row r="23" ht="54" customHeight="1">
      <x:c r="A23" s="17" t="str">
        <x:v>TP102</x:v>
      </x:c>
      <x:c r="B23" s="17" t="str">
        <x:v>Service / test pads</x:v>
      </x:c>
      <x:c r="C23" s="17" t="str"/>
      <x:c r="D23" s="20" t="str"/>
      <x:c r="E23" s="20" t="str">
        <x:v>EE_CS</x:v>
      </x:c>
      <x:c r="F23" s="19" t="n">
        <x:v>0</x:v>
      </x:c>
      <x:c r="G23" s="26" t="str">
        <x:v>TestPoint:TestPoint_Pad_D1.0mm</x:v>
      </x:c>
      <x:c r="H23" s="26" t="str">
        <x:v>Native excluded from purchased BOM. No component procurement or SMT placement.</x:v>
      </x:c>
    </x:row>
    <x:row r="24" ht="54" customHeight="1">
      <x:c r="A24" s="17" t="str">
        <x:v>TP103</x:v>
      </x:c>
      <x:c r="B24" s="17" t="str">
        <x:v>Service / test pads</x:v>
      </x:c>
      <x:c r="C24" s="17" t="str"/>
      <x:c r="D24" s="20" t="str"/>
      <x:c r="E24" s="20" t="str">
        <x:v>EE_SK</x:v>
      </x:c>
      <x:c r="F24" s="19" t="n">
        <x:v>0</x:v>
      </x:c>
      <x:c r="G24" s="26" t="str">
        <x:v>TestPoint:TestPoint_Pad_D1.0mm</x:v>
      </x:c>
      <x:c r="H24" s="26" t="str">
        <x:v>Native excluded from purchased BOM. No component procurement or SMT placement.</x:v>
      </x:c>
    </x:row>
    <x:row r="25" ht="54" customHeight="1">
      <x:c r="A25" s="17" t="str">
        <x:v>TP104</x:v>
      </x:c>
      <x:c r="B25" s="17" t="str">
        <x:v>Service / test pads</x:v>
      </x:c>
      <x:c r="C25" s="17" t="str"/>
      <x:c r="D25" s="20" t="str"/>
      <x:c r="E25" s="20" t="str">
        <x:v>EE_DI</x:v>
      </x:c>
      <x:c r="F25" s="19" t="n">
        <x:v>0</x:v>
      </x:c>
      <x:c r="G25" s="26" t="str">
        <x:v>TestPoint:TestPoint_Pad_D1.0mm</x:v>
      </x:c>
      <x:c r="H25" s="26" t="str">
        <x:v>Native excluded from purchased BOM. No component procurement or SMT placement.</x:v>
      </x:c>
    </x:row>
    <x:row r="26" ht="54" customHeight="1">
      <x:c r="A26" s="17" t="str">
        <x:v>TP105</x:v>
      </x:c>
      <x:c r="B26" s="17" t="str">
        <x:v>Service / test pads</x:v>
      </x:c>
      <x:c r="C26" s="17" t="str"/>
      <x:c r="D26" s="20" t="str"/>
      <x:c r="E26" s="20" t="str">
        <x:v>EE_DO</x:v>
      </x:c>
      <x:c r="F26" s="19" t="n">
        <x:v>0</x:v>
      </x:c>
      <x:c r="G26" s="26" t="str">
        <x:v>TestPoint:TestPoint_Pad_D1.0mm</x:v>
      </x:c>
      <x:c r="H26" s="26" t="str">
        <x:v>Native excluded from purchased BOM. No component procurement or SMT placement.</x:v>
      </x:c>
    </x:row>
    <x:row r="27" ht="54" customHeight="1">
      <x:c r="A27" s="17" t="str">
        <x:v>TP106</x:v>
      </x:c>
      <x:c r="B27" s="17" t="str">
        <x:v>Service / test pads</x:v>
      </x:c>
      <x:c r="C27" s="17" t="str"/>
      <x:c r="D27" s="20" t="str"/>
      <x:c r="E27" s="20" t="str">
        <x:v>GND</x:v>
      </x:c>
      <x:c r="F27" s="19" t="n">
        <x:v>0</x:v>
      </x:c>
      <x:c r="G27" s="26" t="str">
        <x:v>TestPoint:TestPoint_Pad_D1.0mm</x:v>
      </x:c>
      <x:c r="H27" s="26" t="str">
        <x:v>Native excluded from purchased BOM. No component procurement or SMT placement.</x:v>
      </x:c>
    </x:row>
    <x:row r="28" ht="54" customHeight="1">
      <x:c r="A28" s="17" t="str">
        <x:v>C725</x:v>
      </x:c>
      <x:c r="B28" s="17" t="str">
        <x:v>THT / manual or selective solder</x:v>
      </x:c>
      <x:c r="C28" s="17" t="str">
        <x:v>UHW2A330MPD</x:v>
      </x:c>
      <x:c r="D28" s="20" t="str">
        <x:v>Nichicon</x:v>
      </x:c>
      <x:c r="E28" s="20" t="str">
        <x:v>33uF100V20%950mArms</x:v>
      </x:c>
      <x:c r="F28" s="19" t="n">
        <x:v>1</x:v>
      </x:c>
      <x:c r="G28" s="26" t="str">
        <x:v>carrier:Nichicon_UHW2A330MPD_Radial_D8_P3.5</x:v>
      </x:c>
      <x:c r="H28" s="26" t="str">
        <x:v>Included in fitted BOM and component cost. Exclude from SMT pick-and-place; quote THT process separately.</x:v>
      </x:c>
    </x:row>
    <x:row r="29" ht="54" customHeight="1">
      <x:c r="A29" s="17" t="str">
        <x:v>J1</x:v>
      </x:c>
      <x:c r="B29" s="17" t="str">
        <x:v>THT / manual or selective solder</x:v>
      </x:c>
      <x:c r="C29" s="17" t="str">
        <x:v>SS-7188S-A-NF</x:v>
      </x:c>
      <x:c r="D29" s="20" t="str">
        <x:v>Stewart Connector / Cinch Connectivity Solutions</x:v>
      </x:c>
      <x:c r="E29" s="20" t="str">
        <x:v>SS-7188S-A-NF shielded8P8C Cat5e</x:v>
      </x:c>
      <x:c r="F29" s="19" t="n">
        <x:v>1</x:v>
      </x:c>
      <x:c r="G29" s="26" t="str">
        <x:v>carrier:Stewart_SS_7188S_A_NF_ComponentSideCorrected</x:v>
      </x:c>
      <x:c r="H29" s="26" t="str">
        <x:v>Included in fitted BOM and component cost. Exclude from SMT pick-and-place; quote THT process separately.</x:v>
      </x:c>
    </x:row>
    <x:row r="30" ht="54" customHeight="1">
      <x:c r="A30" s="17" t="str">
        <x:v>J2</x:v>
      </x:c>
      <x:c r="B30" s="17" t="str">
        <x:v>THT / manual or selective solder</x:v>
      </x:c>
      <x:c r="C30" s="17" t="str">
        <x:v>B2B-XH-A(LF)(SN)</x:v>
      </x:c>
      <x:c r="D30" s="20" t="str">
        <x:v>JST</x:v>
      </x:c>
      <x:c r="E30" s="20" t="str">
        <x:v>DC 12V +/-5% 3A</x:v>
      </x:c>
      <x:c r="F30" s="19" t="n">
        <x:v>1</x:v>
      </x:c>
      <x:c r="G30" s="26" t="str">
        <x:v>Connector_JST:JST_XH_B2B-XH-A_1x02_P2.50mm_Vertical</x:v>
      </x:c>
      <x:c r="H30" s="26" t="str">
        <x:v>Included in fitted BOM and component cost. Exclude from SMT pick-and-place; quote THT process separately.</x:v>
      </x:c>
    </x:row>
    <x:row r="31" ht="54" customHeight="1">
      <x:c r="A31" s="17" t="str">
        <x:v>R727</x:v>
      </x:c>
      <x:c r="B31" s="17" t="str">
        <x:v>THT / manual or selective solder</x:v>
      </x:c>
      <x:c r="C31" s="17" t="str">
        <x:v>AC01000004708JA100</x:v>
      </x:c>
      <x:c r="D31" s="20" t="str">
        <x:v>Vishay</x:v>
      </x:c>
      <x:c r="E31" s="20" t="str">
        <x:v>4.7ohm5%1Wpulsewirewound</x:v>
      </x:c>
      <x:c r="F31" s="19" t="n">
        <x:v>1</x:v>
      </x:c>
      <x:c r="G31" s="26" t="str">
        <x:v>carrier:Vishay_AC01_P17_8_PRIMARY</x:v>
      </x:c>
      <x:c r="H31" s="26" t="str">
        <x:v>Included in fitted BOM and component cost. Exclude from SMT pick-and-place; quote THT process separately.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</x:sheetData>
  <x:pageMargins left="0.7" right="0.7" top="0.75" bottom="0.75" header="0.3" footer="0.3"/>
  <x:tableParts count="1">
    <x:tablePart xmlns:r="http://schemas.openxmlformats.org/officeDocument/2006/relationships" r:id="Rc1d8e3d7f4284442"/>
  </x:tableParts>
</x:worksheet>
</file>